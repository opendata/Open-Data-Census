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nsus Data" sheetId="1" r:id="rId3"/>
    <sheet state="visible" name="Grading Scale" sheetId="2" r:id="rId4"/>
    <sheet state="visible" name="Dataset Descriptions" sheetId="3" r:id="rId5"/>
    <sheet state="visible" name="Places" sheetId="4" r:id="rId6"/>
  </sheets>
  <definedNames/>
  <calcPr/>
</workbook>
</file>

<file path=xl/sharedStrings.xml><?xml version="1.0" encoding="utf-8"?>
<sst xmlns="http://schemas.openxmlformats.org/spreadsheetml/2006/main" count="7322" uniqueCount="849">
  <si>
    <t>Last updated</t>
  </si>
  <si>
    <t>State</t>
  </si>
  <si>
    <t>Type of Data</t>
  </si>
  <si>
    <t>Description</t>
  </si>
  <si>
    <t>Exists</t>
  </si>
  <si>
    <t>Digitized</t>
  </si>
  <si>
    <t>Public</t>
  </si>
  <si>
    <t>Free</t>
  </si>
  <si>
    <t>Online</t>
  </si>
  <si>
    <t>Machine readable</t>
  </si>
  <si>
    <t>Available in bulk</t>
  </si>
  <si>
    <t>No restrictions</t>
  </si>
  <si>
    <t>Up-to-date</t>
  </si>
  <si>
    <t>In the state repository</t>
  </si>
  <si>
    <t>Verifiable</t>
  </si>
  <si>
    <t>Complete</t>
  </si>
  <si>
    <t>Link</t>
  </si>
  <si>
    <t>Comments</t>
  </si>
  <si>
    <t>Score</t>
  </si>
  <si>
    <t>Grade</t>
  </si>
  <si>
    <t>Alabama</t>
  </si>
  <si>
    <t>Address Points</t>
  </si>
  <si>
    <t>unsure</t>
  </si>
  <si>
    <t>no</t>
  </si>
  <si>
    <t>Checkbook</t>
  </si>
  <si>
    <t>yes</t>
  </si>
  <si>
    <t>http://open.alabama.gov/spending_checkbook.aspx</t>
  </si>
  <si>
    <t>At the time that it was surveyed, the data had not been updated for over two months. Does not include a description of the purpose of the expenditure. The results of queries can be exported as Excel files, but so few record-level results can be exported at one time that this hardly quaifies as offering machine-readable data.</t>
  </si>
  <si>
    <t>Companies</t>
  </si>
  <si>
    <t>http://arc-sos.state.al.us/CGI/CORPNAME.MBR/INPUT</t>
  </si>
  <si>
    <t>At the time that it was surveyed, the data was 6 weeks out of date.</t>
  </si>
  <si>
    <t>Incarceration</t>
  </si>
  <si>
    <t>http://www.doc.state.al.us/StatReports.aspx</t>
  </si>
  <si>
    <t>At the time that it was surveyed, data was over two months old.</t>
  </si>
  <si>
    <t>Legislation</t>
  </si>
  <si>
    <t>http://www.legislature.state.al.us/</t>
  </si>
  <si>
    <t>This is surely the worst legislative website in the nation. It is such a mess that it is difficult to assess meaningfully.</t>
  </si>
  <si>
    <t>Population Projections</t>
  </si>
  <si>
    <t>http://cber.cba.ua.edu/edata/est_prj.html</t>
  </si>
  <si>
    <t>Lacks GNIS IDs for localities.</t>
  </si>
  <si>
    <t>Real Estate</t>
  </si>
  <si>
    <t>http://open.alabama.gov/state_properties.aspx</t>
  </si>
  <si>
    <t>The use of each facility is not specified. The data is split between three unrelated websites (one for leased buildings, one for owned buildings, and one for land). Dates are not included for most records, so it is difficult to determine if the data is up-to-date.</t>
  </si>
  <si>
    <t>Restaurant Inspections</t>
  </si>
  <si>
    <t>http://foodscores.state.al.us/</t>
  </si>
  <si>
    <t>Does not include unique identifiers or the outcome of inspections (passed, failed, etc.)</t>
  </si>
  <si>
    <t>Vehicle Crashes</t>
  </si>
  <si>
    <t>http://www.dot.state.al.us/mcrweb/frm/Crash_Facts.pdf</t>
  </si>
  <si>
    <t>This is a PDF from 2012, containing statistics, not raw data. This is the best data source that could be identified.</t>
  </si>
  <si>
    <t>Alaska</t>
  </si>
  <si>
    <t>http://doa.alaska.gov/dof/reports/ckbkonline_reports.html</t>
  </si>
  <si>
    <t>Incomplete, because transaction records lack a description of their purpose and a check or voucher number.</t>
  </si>
  <si>
    <t>https://www.commerce.alaska.gov/cbp/Main/CBPLSearch.aspx?mode=Corp</t>
  </si>
  <si>
    <t>Data is available in links in the sidebar.</t>
  </si>
  <si>
    <t>http://www.correct.state.ak.us/administrative-services/research-records</t>
  </si>
  <si>
    <t>Provided as a PDF, as a small part of a much larger annual report. Incomplete as it lacks historical figures and facility capacity data. Updated annually.</t>
  </si>
  <si>
    <t>http://www.legis.state.ak.us/</t>
  </si>
  <si>
    <t>Incomplete, because it does not specify the date that legislators took office.</t>
  </si>
  <si>
    <t>http://labor.alaska.gov/research/pop/popproj.htm</t>
  </si>
  <si>
    <t>Forecasts are broken down by boroughs and census areas, but no FIPS codes or GNIS IDs are provided for them, making the data incomplete.</t>
  </si>
  <si>
    <t>No such records or references to them can be found, for either land or buildings.</t>
  </si>
  <si>
    <t>http://ak.healthinspections.us/alaska/</t>
  </si>
  <si>
    <t>These are links to PDFs of reports.</t>
  </si>
  <si>
    <t>http://www.dot.alaska.gov/stwdplng/transdata/crash.shtml</t>
  </si>
  <si>
    <t>These are statistics, not data, and they haven't been updated in 5 years. Alaska has a proper data storage system for crash records, called "Highway Data Port," but the URL where it once lived now generates a 404, and we have been unable to track it down.</t>
  </si>
  <si>
    <t>Arizona</t>
  </si>
  <si>
    <t>http://www.azcheckbook.com/</t>
  </si>
  <si>
    <t>Data provided as a zipped TSV. It is only updated once annually, in September.</t>
  </si>
  <si>
    <t>http://ecorp.azcc.gov/</t>
  </si>
  <si>
    <t>HTML version is free. Actual data costs $1,000.</t>
  </si>
  <si>
    <t>https://corrections.az.gov/node/452</t>
  </si>
  <si>
    <t>Provided as PDFs, generated by Excel. Updated daily. Site uses SSL.</t>
  </si>
  <si>
    <t>http://www.azleg.gov/</t>
  </si>
  <si>
    <t>https://population.az.gov/</t>
  </si>
  <si>
    <t>No GNIS IDs.</t>
  </si>
  <si>
    <t>http://azdot.gov/mvd/Statistics/arizona-motor-vehicle-crash-facts</t>
  </si>
  <si>
    <t>These are statistics, not data.</t>
  </si>
  <si>
    <t>Arkansas</t>
  </si>
  <si>
    <t>http://gis.arkansas.gov/?product=situs-address-points</t>
  </si>
  <si>
    <t>Data is affirmatively placed in the public domain.</t>
  </si>
  <si>
    <t>https://www.ark.org/dfa/transparency/expenditures.php</t>
  </si>
  <si>
    <t>Data lacks a description of the purpose of the transaction, as well as a voucher or check number. Provided as CSV and Excel files.</t>
  </si>
  <si>
    <t>https://www.ark.org/sos/special/index.php</t>
  </si>
  <si>
    <t>Requires a $95/year account with the Information Network of Arkansas. Data then costs $2,000 / month. This made it impossible to perform a complete evaluation of this dataset.</t>
  </si>
  <si>
    <t>If this data exists, it appears that it would be at (http://adc.arkansas.gov/resources/Pages/Reports.aspx). This has various types of data, all as PDFs, but none of it correct for this. Note that they sell bulk data of inmate data (http://adc.arkansas.gov/onlineServices/Pages/dataDownload.aspx), requiring a $95/year account plus 10¢ per record, or $1,903.70 in total. This might make it possible to infer population data.</t>
  </si>
  <si>
    <t>http://www.arkleg.state.ar.us/</t>
  </si>
  <si>
    <t>There are third-party references to Arkansas providing CSV files of some legislative data, but our survey was not able to locate any such data.</t>
  </si>
  <si>
    <t>http://iea.ualr.edu/population-estimates-a-projections.html#proj</t>
  </si>
  <si>
    <t>Provided as an Excel file. Lacks FIPS codes or GNIS IDs identifying localities.</t>
  </si>
  <si>
    <t>Arkansas does not provide this data on a statewide basis, state media reports indicate.</t>
  </si>
  <si>
    <t>http://asp.ark.org/services-and-programs/detail/highway-safety-office</t>
  </si>
  <si>
    <t>Arkansas participates in NHTSA's State Data System, so they can be known to be producing crash data meeting minimum standards. However, they do not share that data publicly. Instead, they provide only PDFs of overall statistics that, as of this writing, have not been updated in 2 years.</t>
  </si>
  <si>
    <t>California</t>
  </si>
  <si>
    <t>http://kepler.sos.ca.gov/</t>
  </si>
  <si>
    <t>Doesn’t list shares or officers.</t>
  </si>
  <si>
    <t>http://www.cdcr.ca.gov/Reports_Research/Offender_Information_Services_Branch/Offender_Information_Reports.html</t>
  </si>
  <si>
    <t>ftp://www.leginfo.ca.gov/pub/</t>
  </si>
  <si>
    <t>Data is provided as SQL dumps and as TSV at ftp://www.leginfo.ca.gov/pub/bill/pubinfo_Readme.pdf.</t>
  </si>
  <si>
    <t>http://www.dof.ca.gov/research/demographic/reports/projections/</t>
  </si>
  <si>
    <t>Only Excel files are provided.</t>
  </si>
  <si>
    <t>http://www.spi.dgs.ca.gov/wscripts/spi.asp?action=Main</t>
  </si>
  <si>
    <t>http://www.ca.gov/OnlineServices/OS_Consumers_inspections.html</t>
  </si>
  <si>
    <t>They just link to some counties’ websites.</t>
  </si>
  <si>
    <t>http://www.ots.ca.gov/Media_and_Research/Data_and_Statistics.asp</t>
  </si>
  <si>
    <t>These are statistics, not data. The most recent data is from 2012. Only Excel files are provided.</t>
  </si>
  <si>
    <t>Colorado</t>
  </si>
  <si>
    <t>https://data.colorado.gov/Transportation/2015-Colorado-Address-Layer-Public-/n7je-akky</t>
  </si>
  <si>
    <t>Data is affirmatively placed in the public domain. Verifiable by virtue of being served over HTTPS. This does not include every municipality within Colorado.</t>
  </si>
  <si>
    <t>https://www.colorado.gov/apps/oit/transparency/</t>
  </si>
  <si>
    <t>Data verifiable by being served over HTTPS. Data can only be exported (as CSV) at the conclusion of an interactive process, which only allows a small slice of data to be transferred.</t>
  </si>
  <si>
    <t>https://data.colorado.gov/Business/Colorado-Business-Entities/4ykn-tg5h</t>
  </si>
  <si>
    <t>https://www.colorado.gov/pacific/dcj-ors/ors-corrpops</t>
  </si>
  <si>
    <t>These are statistics, not data. Updated quarterly.</t>
  </si>
  <si>
    <t>http://www.leg.state.co.us/</t>
  </si>
  <si>
    <t>Most information is only available as PDFs.</t>
  </si>
  <si>
    <t>https://data.colorado.gov/Demographics/Colorado-Population-Projections/q5vp-adf3</t>
  </si>
  <si>
    <t>https://www.colorado.gov/pacific/cdphe/foodborne-illness-outbreaks</t>
  </si>
  <si>
    <t>The state is only responsible for inspecting restaurants in Garfield, Grand, Gunnison, Jackson and Moffat counties, but they provide data for none of those counties, nor do they aggregate data for other cities or states.</t>
  </si>
  <si>
    <t>https://www.codot.gov/library/traffic/safety-crash-data/accident-rates-books-coding/crash-summary-books/2012-crash-book/view</t>
  </si>
  <si>
    <t>These are statistics, not data. Data is from 2012.</t>
  </si>
  <si>
    <t>Connecticut</t>
  </si>
  <si>
    <t>https://data.ct.gov/dataset/Address-Points-Preliminary-File/35bv-xa6i</t>
  </si>
  <si>
    <t>Data is available as a zipped Esri FGDB file or as a RESTful (ArcGIS) endpoint. Connecticut aggregates localities' data, but only a handful of localities are publishing data, so this data is nowhere near complete.</t>
  </si>
  <si>
    <t>https://data.ct.gov/dataset/State-of-CT-Open-Expenditures-Ledger/4b3c-3g3a</t>
  </si>
  <si>
    <t>At the time that this dataset was surveyed, there were no descriptions of the purpose of each expense (there is a "Description" field, but it was blank for all records), making it incomplete.</t>
  </si>
  <si>
    <t>http://www.concord-sots.ct.gov/CONCORD/</t>
  </si>
  <si>
    <t>https://data.ct.gov/Public-Safety/Correctional-Facility-Daily-Population-Count-By-Fa/n8x6-s299</t>
  </si>
  <si>
    <t>Data is verifiable by virtue of being provided via HTTPS. Although the linked-to dataset is incomplete, because it lacks facility capacity data, Connecticut provides this in another dataset, at (https://data.ct.gov/Public-Safety/Department-of-Corrections-Quarterly-Average-Facilt/f8ar-pgu4).</t>
  </si>
  <si>
    <t>https://www.cga.ct.gov/asp/menu/legdownload.asp</t>
  </si>
  <si>
    <t>https://data.ct.gov/Government/Connecticut-Town-Population-Projections-2015-2025/mze8-865g</t>
  </si>
  <si>
    <t>https://data.ct.gov/Government/State-Owned-Buildings/r8ci-yhcn</t>
  </si>
  <si>
    <t>This includes buildings—land records are found at https://data.ct.gov/Government/State-Owned-Lands/meyk-xprb.</t>
  </si>
  <si>
    <t>http://opendatact.github.io/ct_restaurant_inspections/</t>
  </si>
  <si>
    <t>Connecticut does not aggregate this data on a statewide basis, but they have set up an interface to access inspection data from localities' websites. The site includes no data, just links to the data.</t>
  </si>
  <si>
    <t>http://www.ctcrash.uconn.edu/</t>
  </si>
  <si>
    <t>Some parts of the site have data only through 2011, while others have data from one year ago. CSV is available, but it requires registering for an account, stepping through a report-generation process, exporting CSV, which is provided via an emailed link.</t>
  </si>
  <si>
    <t>Delaware</t>
  </si>
  <si>
    <t>Agency documentation shows that this dataset exists, but it is nowhere to be found. We have contacted them for further information.</t>
  </si>
  <si>
    <t>http://checkbook.delaware.gov/expSearch.aspx</t>
  </si>
  <si>
    <t>Lacks a description of the purpose of the expense.</t>
  </si>
  <si>
    <t>https://icis.corp.delaware.gov/Ecorp/EntitySearch/NameSearch.aspx</t>
  </si>
  <si>
    <t>Data is incomplete unless purchased, at $20 per record.</t>
  </si>
  <si>
    <t>http://legis.delaware.gov/</t>
  </si>
  <si>
    <t>http://stateplanning.delaware.gov/information/dpc_projections.shtml</t>
  </si>
  <si>
    <t>Data is provided as an Excel file, but it's formatted to be parsed by humans, not software, so it cannot be graded as machine-readable. Localities lack GNIS IDs or FIPS code, so data is incomplete.</t>
  </si>
  <si>
    <t>http://www.dhss.delaware.gov/dhss/dph/hsp/</t>
  </si>
  <si>
    <t>No IDs are provided.</t>
  </si>
  <si>
    <t>Delaware adheres to the Model Minimum Uniform Crash Criteria, so their data can be known to be complete, timely, etc. But they offer none of this data online.</t>
  </si>
  <si>
    <t>Florida</t>
  </si>
  <si>
    <t>http://www.myfloridacfo.com/transparency/vendorpayments.aspx</t>
  </si>
  <si>
    <t>Provided as pipe-delimited text with no column headers, one file per year. Lacks a specific description of the purpose of the expenditure, and instead just provides a general category.</t>
  </si>
  <si>
    <t>http://sunbiz.org/cor_downld.html</t>
  </si>
  <si>
    <t>Data is provided as fixed-width ASCII files, with a new files created each day as a rolling changelog. Quarterly updates are also available.</t>
  </si>
  <si>
    <t>http://www.dc.state.fl.us/pub/pop/facility/index.html</t>
  </si>
  <si>
    <t>Only aviailable as HTML, and lacks data about facilities' capacities or historical data from more than 6 months ago.</t>
  </si>
  <si>
    <t>http://www.leg.state.fl.us/</t>
  </si>
  <si>
    <t>http://edr.state.fl.us/Content/population-demographics/data/</t>
  </si>
  <si>
    <t>http://www.dms.myflorida.com/business_operations/real_estate_development_and_management/facilities_management/florida_state_owned_lands_and_records_information_system_fl_solaris</t>
  </si>
  <si>
    <t>Only PDFs are provided. Data is from 2013, while other data on the site is updated constantly.</t>
  </si>
  <si>
    <t>http://www.floridahealth.gov///statistics-and-data/eh-tracking-and-reporting/food-hygiene.html</t>
  </si>
  <si>
    <t>http://www.flhsmv.gov/resource-center/crash-citation-reports/</t>
  </si>
  <si>
    <t>Copyright statement in footer says the data is owned by “Appriss, Inc.”</t>
  </si>
  <si>
    <t>Georgia</t>
  </si>
  <si>
    <t>http://www.open.georgia.gov/psa/poSearch.aud</t>
  </si>
  <si>
    <t>Query results can be exported as CSV. Footer says data is copyright “DOAA.” Transactions have no date, so it’s impossible to know how current that the data is. Data also lacks check number and expense category.</t>
  </si>
  <si>
    <t>http://gta.georgia.gov/bulk-corporations-data</t>
  </si>
  <si>
    <t>Viewing information in HTML is free, but the data is sold for $1,000. Purchased data is provided as pipe-delimited text. Site uses HTTPS.</t>
  </si>
  <si>
    <t>http://www.legis.ga.gov/</t>
  </si>
  <si>
    <t>https://opb.georgia.gov/population-projections</t>
  </si>
  <si>
    <t>Data is obtained by e-mailing a PDF request form. That has not yet been attempted. Although the site uses HTTPS, that's moot, since the data is sent via email.</t>
  </si>
  <si>
    <t>http://gspc.georgia.gov/</t>
  </si>
  <si>
    <t>Properties don't have any consistent location identifiers. Site uses HTTPS.</t>
  </si>
  <si>
    <t>https://dph.georgia.gov/environmental-health-inspections</t>
  </si>
  <si>
    <t>Not all counties’ data is available.</t>
  </si>
  <si>
    <t>http://www.gahighwaysafety.org/research/</t>
  </si>
  <si>
    <t>These are statistics, not data. Provided only as PDFs.</t>
  </si>
  <si>
    <t>Hawaii</t>
  </si>
  <si>
    <t>There is no evidence that Hawaii gathers or shares this information. If they did, it would likely be at (http://planning.hawaii.gov/gis/download-gis-data/).</t>
  </si>
  <si>
    <t>https://data.hawaii.gov/dataset/Expenditures/snda-zbsg</t>
  </si>
  <si>
    <t>Incomplete, because it lacks a description of the purpose of the expense (beyond a general category). Verifiable because the data is delivered via HTTPS. As of the date of this survey, the data had not been updated in 7 months.</t>
  </si>
  <si>
    <t>https://hbe.ehawaii.gov/listbuilder/</t>
  </si>
  <si>
    <t>Data costs 5¢/record, or $1,000/month for access to the entire database. After paying, it takes up to 24 hours to receive an email with a link to download the data. In our test, it took 19 hours. Data is provided as a collection of CSV files, each of which represents a different data table. They also allow browsing the data on-screen at no charge. The site says that information is copyright "Hawaii Information Consortium, LLC"—it appears that this is a private company that has an exclusive contract to sell state data and run state websites. This dataset will be graded fully when the email with the link arrives.</t>
  </si>
  <si>
    <t>http://dps.hawaii.gov/about/divisions/corrections/</t>
  </si>
  <si>
    <t>This is a computer-generated document that has been printed out, scanned in as an image, and turned into a PDF. Ostensibly updated monthly, the current report is from over a year ago.</t>
  </si>
  <si>
    <t>http://www.capitol.hawaii.gov/</t>
  </si>
  <si>
    <t>There is bulk data of state legislators (https://data.hawaii.gov/Government-Wide-Support/State-of-Hawaii-Elected-Officials/m6cf-4bb7), but it hasn't been updated in over 3 years, and is no longer accurate. This legislature does something unusual in providing access to raw directory listings of bills, resolutions, hearing notices, attendence, etc., as PDF and HTML files. This is not the same as providing access to data, certainly, but it is laudible that they provide bulk access to the information that they have, as they have it, and for that reason we have scored them as providing bulk access, even though that access isn't to actual data.</t>
  </si>
  <si>
    <t>http://dbedt.hawaii.gov/economic/databook/2012-individual/_01/</t>
  </si>
  <si>
    <t>Incomplete, as it lacks GNIS IDs or FIPS codes for counties. Provided as an Excel file.</t>
  </si>
  <si>
    <t>By law (http://www.capitol.hawaii.gov/Archives/measure_indiv_Archives.aspx?billtype=SB&amp;billnumber=722&amp;year=2013), the Department of Accounting and General Services is to maintain this inventory, but as of a 2013 report (http://ags.hawaii.gov/wp-content/uploads/2012/09/act-110-comprehensive-asset-mgmt-system-2013.pdf), this had not been done. There has been no report in the intervening two years, and no data can be found on their website.</t>
  </si>
  <si>
    <t>Apparently Hawaii used to have such a system, but they had a lot of trouble with their vendor, and replaced them in mid-2015. That no system can now be found seems like evidence that they have yet to replace it.</t>
  </si>
  <si>
    <t>There are multiple references to the fact that Hawaii collects crash data (for any accident with damages in excess of $3,000) and enters it into a centralized system, but no evidence of that system or its data can be found.</t>
  </si>
  <si>
    <t>Idaho</t>
  </si>
  <si>
    <t>http://transparent.idaho.gov/Pages/transhome.aspx</t>
  </si>
  <si>
    <t>It's not clear whether this site was abandoned or was just never really used in the first place. It hasn't been updated in a year and a half, and includes spending records from just two state agencies. The data is presented in a frame, the contents of which consist of a PDF.</t>
  </si>
  <si>
    <t>https://www.accessidaho.org/public/sos/corp/search.html</t>
  </si>
  <si>
    <t>There's a lot of population data here, but nothing that presents the data in a single table. Provided only as PDFs. The monthly reports were last updated nearly three months ago.</t>
  </si>
  <si>
    <t>https://legislature.idaho.gov/</t>
  </si>
  <si>
    <t>Incomplete, because legislators' time in office is not provided.</t>
  </si>
  <si>
    <t>The state provides a great deal of population data (https://lmi.idaho.gov/census), but no forecasts.</t>
  </si>
  <si>
    <t>Idaho inspects restaurants on a per-region basis, with regions tracking their own data.</t>
  </si>
  <si>
    <t>Idaho's "WebCARS" system provides access to crash data, but it is only available to local and state agencies.</t>
  </si>
  <si>
    <t>Illinois</t>
  </si>
  <si>
    <t>http://www.accountability.illinois.gov/</t>
  </si>
  <si>
    <t>Doesn't provide payment dates, check numbers, transaction dates, or a transaction description. Confusingly, there are two Illinois checkbook sites. The other one is at http://ledger.illinoiscomptroller.com/. We evaluated the “accountability” site, because it is better.</t>
  </si>
  <si>
    <t>http://www.cyberdriveillinois.com/departments/business_services/home.html</t>
  </si>
  <si>
    <t>Explicitly prohibits “copying or downloading of the database information.”</t>
  </si>
  <si>
    <t>http://www2.illinois.gov/idoc/reportsandstatistics/Pages/default.aspx</t>
  </si>
  <si>
    <t>PDF, containing screenshots from Excel. Does not indicate facilities’ capacity or population change over time. Most recent data is from 2013. NOTE: Site now 404s.</t>
  </si>
  <si>
    <t>http://ilga.gov/legislation/</t>
  </si>
  <si>
    <t>http://www2.illinoisbiz.biz/popProj/</t>
  </si>
  <si>
    <t xml:space="preserve">Data appears to be more than a decade old. No GNIS IDs are provided. There appears to be an entry for this in their repository, but it’s password-protected. </t>
  </si>
  <si>
    <t>http://www.idot.illinois.gov/transportation-system/safety/Illinois-Roadway-Crash-Data</t>
  </si>
  <si>
    <t>These are statistics, not data. Provided as PDFs.</t>
  </si>
  <si>
    <t>Indiana</t>
  </si>
  <si>
    <t>http://maps.indiana.edu/previewMaps/Infrastructure/Streets_Address_Points_IDHS.html</t>
  </si>
  <si>
    <t>Both a statewide Esri shapefile and an API are available.</t>
  </si>
  <si>
    <t>http://www.in.gov/itp/2453.htm</t>
  </si>
  <si>
    <t>Does not include a description of what each expense was (although it does include a detailed category).</t>
  </si>
  <si>
    <t>http://www.in.gov/sos/business/2439.htm</t>
  </si>
  <si>
    <t>Data is sold for $3,000 for a one-time download, or $25,000/year for weekly updates.</t>
  </si>
  <si>
    <t>http://www.in.gov/idoc/2376.htm</t>
  </si>
  <si>
    <t>Provided as PDFs.</t>
  </si>
  <si>
    <t>https://iga.in.gov/</t>
  </si>
  <si>
    <t>http://www.stats.indiana.edu/topic/projections.asp</t>
  </si>
  <si>
    <t>Available as Excel data, although the spreadsheet is optimized for human reading, not for software.</t>
  </si>
  <si>
    <t>http://www.in.gov/idoa/StateLandOffice/</t>
  </si>
  <si>
    <t>Includes only land, not buildings. Data is available within an ArcGIS visualization, with no link to download records.</t>
  </si>
  <si>
    <t>Indiana handles inspections locally, and does not aggregate that data on a statewide basis.</t>
  </si>
  <si>
    <t>https://www.ariesportal.com/</t>
  </si>
  <si>
    <t>Access requires prior approval.</t>
  </si>
  <si>
    <t>Iowa</t>
  </si>
  <si>
    <t>https://programs.iowadnr.gov/nrgislibx/County_Frame.asp</t>
  </si>
  <si>
    <t>In 2014, the state embarked on a project to centralize all county address points records, but the project ran out of money before it was complete. Data is provided on a per-county basis, and only available for about half of all counties. To get a file, select a county, click on "Get Data," and if there is a coverage named "Address," then address points are available for that county.</t>
  </si>
  <si>
    <t>http://checkbook.iowa.gov/#!/year/2016/</t>
  </si>
  <si>
    <t>Site contents are copyrighted by Socrata. Data lags by about 60 days. Data is only available as a single, multi-gigabyte download.</t>
  </si>
  <si>
    <t>https://data.iowa.gov/Economy/Active-Iowa-Business-Entities/ez5t-3qay</t>
  </si>
  <si>
    <t>Does not include whether the corporation is foreign or domestic, names of officers, or shareholders.</t>
  </si>
  <si>
    <t>http://www.doc.state.ia.us/DailyStatistics#map</t>
  </si>
  <si>
    <t>Data is updated daily, but it's only for that day. There is no historical data, and no way to determine change over time.</t>
  </si>
  <si>
    <t>https://www.legis.iowa.gov/</t>
  </si>
  <si>
    <t>Site provided via HTTPS, making its contents verifiable.</t>
  </si>
  <si>
    <t>http://www.iowadatacenter.org/browse/projections.html</t>
  </si>
  <si>
    <t>Last updated in 2009, so it was not updated after the 2010 census. Records lack GNIS IDs or FIPS codes for ecah locality.</t>
  </si>
  <si>
    <t>https://food.iowa.gov/foodsafety/Inspection/PublicInspectionSearch.aspx</t>
  </si>
  <si>
    <t>Records are provided as PDFs. There is only a search interface.</t>
  </si>
  <si>
    <t>http://www.iowadot.gov/crashanalysis/</t>
  </si>
  <si>
    <t>They explicitly state that they comply with the Model Minimum Uniform Crash Criteria, but they do not publish MUCC-grade data. What is provided is place-based statistics, which have not been updated since 2011 or 2012. Detailed data is available upon request.</t>
  </si>
  <si>
    <t>Kansas</t>
  </si>
  <si>
    <t>Kansas does not appear to have a central collection of address points.</t>
  </si>
  <si>
    <t>http://kanview.ks.gov/DataDownload.aspx</t>
  </si>
  <si>
    <t>At the time that it was inventoried, the data had not been updated for six months. Does not include a description of the purpose of the payment.</t>
  </si>
  <si>
    <t>https://www.kansas.gov/bess/</t>
  </si>
  <si>
    <t>Data is verifiable by virtue of being provided over HTTPS.</t>
  </si>
  <si>
    <t>https://www.doc.ks.gov/publications/population-report</t>
  </si>
  <si>
    <t>http://www.kslegislature.org/klois/Pages/RESTianAPI.html</t>
  </si>
  <si>
    <t>They provide an API for legislative information. Note that it does not include voting records, but that is not required for completenss under our scoring criteria.</t>
  </si>
  <si>
    <t>http://budget.ks.gov/ecodemo.htm</t>
  </si>
  <si>
    <t>Kansas stopped publishing population projections in 2012, "as a cost-saving measure."</t>
  </si>
  <si>
    <t>There is no evidence that this exists.</t>
  </si>
  <si>
    <t>https://foodsafety.kda.ks.gov/FoodSafety/Web/Inspection/PublicInspectionSearch.aspx</t>
  </si>
  <si>
    <t>This is a web-based interface for reading information—no data is provided.</t>
  </si>
  <si>
    <t>https://www.accesskansas.org/ssrv-khp-crashlogs/index.do</t>
  </si>
  <si>
    <t>Kentucky</t>
  </si>
  <si>
    <t>http://opendoor.ky.gov/search/Pages/spendingsearch.aspx</t>
  </si>
  <si>
    <t>Records are aggregated by year, department, category, and subcategory, instead of being transaction-level. Because expenditures aren't listed individually, it's impossible to know whether the records are up-to-date. Data can be exported as CSV, but it's generated by a Javascript callback that makes automated transfer impossible.</t>
  </si>
  <si>
    <t>http://www.sos.ky.gov/bus/Pages/Bulk-Data-Service.aspx</t>
  </si>
  <si>
    <t>Bulk data requires a subscription. The subscription is free for non-commercial purposes and $2,000 month for commercial purposes (no definition of "commercial" is provided).</t>
  </si>
  <si>
    <t>http://corrections.ky.gov/about/Pages/ResearchandStatistics.aspx</t>
  </si>
  <si>
    <t>Data provided only as PDFs. Updated daily. Archived daily PDFs go back to the beginning of 2015.</t>
  </si>
  <si>
    <t>http://lrc.ky.gov/</t>
  </si>
  <si>
    <t>http://www.ksdc.louisville.edu/data-downloads/projections/</t>
  </si>
  <si>
    <t>Records lack GNIS IDs or FIPS codes for each locality.</t>
  </si>
  <si>
    <t>http://opendoor.ky.gov/search/Pages/property_search.aspx</t>
  </si>
  <si>
    <t>Lacks the name of the agency that owns or operates the property, as well as the acreage of the land.</t>
  </si>
  <si>
    <t>Restaurant inspections are performed by municipal agencies. The state does not syndicate that data.</t>
  </si>
  <si>
    <t>http://crashinformationky.org/KCAP/Public/Home.aspx</t>
  </si>
  <si>
    <t>Data is a year old. Records are very detailed, but they appear to have been scrubbed of all personally-identifying information.</t>
  </si>
  <si>
    <t>Louisiana</t>
  </si>
  <si>
    <t>Although most of the 64 parishes collect this data, and a plan was put together to centralize it, the state eliminated funding to the Louisiana Geographic Information Center and has not created a state address coordinator.</t>
  </si>
  <si>
    <t>https://wwwcfprd.doa.louisiana.gov/latrac/selectDownload.cfm</t>
  </si>
  <si>
    <t>Does not contain transaction-level data, but instead the aggregate amount of money paid to a given vendor by a given agency within a given fiscal year.</t>
  </si>
  <si>
    <t>https://coraweb.sos.la.gov/CommercialSearch/CommercialSearch.aspx</t>
  </si>
  <si>
    <t>Site uses SSL, providing verification of data.</t>
  </si>
  <si>
    <t>http://www.doc.la.gov/wp-content/uploads/stats/1g.pdf</t>
  </si>
  <si>
    <t>These are statistics, not data. "Raw data" (as they call it) is provided as PDFs. Hasn't been updated for nine months.</t>
  </si>
  <si>
    <t>http://www.legis.la.gov/</t>
  </si>
  <si>
    <t>http://louisiana.gov/Explore/Population_Projections/</t>
  </si>
  <si>
    <t>Data is spread across 64 Excel files, one for each parish. Lacks GNIS IDs for localities. Spreadsheets are formatted for humans, not software.</t>
  </si>
  <si>
    <t>http://www.doa.la.gov/Pages/osl/Database.aspx</t>
  </si>
  <si>
    <t>The data is spread out over a series of files in different formats, including in PDFs.</t>
  </si>
  <si>
    <t>http://inspections.eatsafe.la.gov/</t>
  </si>
  <si>
    <t>Detailed information is only available within PDFs, but all core data is provided as HTML.</t>
  </si>
  <si>
    <t>http://datareports.lsu.edu/CrashReportIndex.aspx</t>
  </si>
  <si>
    <t>These are statistics, not raw data. They have aggregated and sliced the data in an impressive number of ways, but they remain mere statistics. They possess the data in their LACRASH system, but do not share it publicly.</t>
  </si>
  <si>
    <t>Maine</t>
  </si>
  <si>
    <t>http://www.maine.gov/megis/catalog/metadata/NG911_Addresses.html</t>
  </si>
  <si>
    <t>http://www.maine.gov/osc/admin/datashare.shtml</t>
  </si>
  <si>
    <t>Data is provided as an Excel file, with one worksheet for each agency. It is incomplete, as it lacks voucher / check numbers for each transaction. There is state spending data in the data repository, but none since 2011. The data provided on the inventoried website has not been updated since 2014.</t>
  </si>
  <si>
    <t>http://www.maine.gov/sos/cec/corp/miscellaneous.html#bulk</t>
  </si>
  <si>
    <t>Insufficient information is provided publicly to be able to properly assess this dataset. We've contacted the agency to ask for details, and will finish assessing this dataset when those are provided.</t>
  </si>
  <si>
    <t>Maine has a webpage for this (http://www.maine.gov/corrections/PublicInterest/census/), but it has not been updated for almost 5 years.</t>
  </si>
  <si>
    <t>http://legislature.maine.gov/</t>
  </si>
  <si>
    <t>http://www.maine.gov/economist/projections/</t>
  </si>
  <si>
    <t>Incomplete, because localities lack GNIS IDs or FIPS codes.</t>
  </si>
  <si>
    <t>The state is required by law to inventory all state-owned land periodically, so some of this data theoretically exists somewhere.</t>
  </si>
  <si>
    <t>It appears that these records are stored by localities, rather than by the state.</t>
  </si>
  <si>
    <t>https://www1.maine.gov/online/mcrs/bulkrequest.html</t>
  </si>
  <si>
    <t>Data costs 50¢ per record, and is provided via FTP. Details about file format and fields are not given.</t>
  </si>
  <si>
    <t>Maryland</t>
  </si>
  <si>
    <t>https://www.arcgis.com/home/item.html?id=20878dd2c20949a8a14a5a282ab98807</t>
  </si>
  <si>
    <t>Does not include the entire state. Provided as a shapefile.</t>
  </si>
  <si>
    <t>https://data.maryland.gov/Budget/State-of-Maryland-Payments-Data-FY2008-to-FY2015/gja3-vy5r</t>
  </si>
  <si>
    <t>This doesn't include transaction dates or any indication of what the money was spent on, and is ostensibly limited to transactions above $25,000 (but has many transactions at far lower dollar values). Becuse there are no transaction dates, only years, it is impossible to know whether this data is up-to-date.</t>
  </si>
  <si>
    <t>http://specprint.com/state_prc.htm</t>
  </si>
  <si>
    <t>Records can be browsed online for free, but obtaining actual data requires paying $1,200 to the state's designated vendor. (It's $1,200 each time that the data is retrieved—no subscription pricing is available.) Obtaining the data requires signing an agreement "not to resell or provide copies of the information in their present format in any commercial endeavor."</t>
  </si>
  <si>
    <t>http://doc.mo.gov/Sunshine_Law/</t>
  </si>
  <si>
    <t>These are per-prisoner records, not per-prison records. Some per-prison data can be computed from this.</t>
  </si>
  <si>
    <t>http://mgaleg.maryland.gov/webmga/frm1st.aspx?tab=home&amp;poptype=tracking&amp;popid=legisdata</t>
  </si>
  <si>
    <t>Only includes bills, not legislators.</t>
  </si>
  <si>
    <t>https://data.maryland.gov/Planning/Maryland-Historical-and-Projected-Population-by-Ju/nnwx-dpqi</t>
  </si>
  <si>
    <t>Data provided via HTTPS. No FIPS codes or GNIS IDs are provided for localities.</t>
  </si>
  <si>
    <t>Data cannot be found.</t>
  </si>
  <si>
    <t>Inspections are done on a local level, and the state does not appear to aggregate those inspections.</t>
  </si>
  <si>
    <t>http://www.mva.maryland.gov/safety/mhso/Maryland-Traffic-Safety-Data.htm</t>
  </si>
  <si>
    <t>The data exists, but does not seem to be made available.</t>
  </si>
  <si>
    <t>Massachusetts</t>
  </si>
  <si>
    <t>http://www.mass.gov/anf/research-and-tech/it-serv-and-support/application-serv/office-of-geographic-information-massgis/datalayers/download-level3-parcels.html</t>
  </si>
  <si>
    <t>Data goes beyond address data, and includes parcel boundaries. The entire state is included, except for Boston. While that is the fault of Boston, not the state, it's a huge omission that prevents the dataset from being scored as complete.</t>
  </si>
  <si>
    <t>http://opencheckbook.itd.state.ma.us/analytics/saw.dll?Go&amp;Path=%2Fshared%2FTransparency%2FOpen%20Checkbook%2FPayments%2FReports%2FPayments%20-%20R%20-%20Mass%20Download</t>
  </si>
  <si>
    <t>Provided as ZIP-compressed TSVs, aggregated by year, with data going back to 2010.</t>
  </si>
  <si>
    <t>http://www.sec.state.ma.us/cor/</t>
  </si>
  <si>
    <t>http://www.mass.gov/eopss/law-enforce-and-cj/prisons/rsch-data/prison-population-trends.html</t>
  </si>
  <si>
    <t>These are statistics, not data. Data is almost a year old. Provided as a PDF.</t>
  </si>
  <si>
    <t>https://malegislature.gov/</t>
  </si>
  <si>
    <t>Site uses SSL.</t>
  </si>
  <si>
    <t>http://pep.donahue-institute.org/</t>
  </si>
  <si>
    <t>Localities are identified by MCD instead of GNIS ID.</t>
  </si>
  <si>
    <t>http://www.mass.gov/anf/property-mgmt-and-construction/sale-and-lease-of-state-assets/comprehensive-real-estate-serv/massets-reports.html</t>
  </si>
  <si>
    <t>Provided as a PDF, generated from Excel. Data is two years old.</t>
  </si>
  <si>
    <t>http://www.mass.gov/eohhs/gov/departments/dph/programs/environmental-health/food-safety/</t>
  </si>
  <si>
    <t>Data cannot be located, but it is possible that it exists.</t>
  </si>
  <si>
    <t>http://services.massdot.state.ma.us/crashportal/</t>
  </si>
  <si>
    <t>Data is two years old, and as a matter of practice is usually 18–24 months out of date. Provided as Excel files. Data cannot be download directly, but is emailed automatically. Each locality must be downloaded individually, though statewide data is available upon request.</t>
  </si>
  <si>
    <t>Michigan</t>
  </si>
  <si>
    <t>https://transparency.michigan.gov/dataset/Open-Payments-Dataset-Updated/cm42-4y6t</t>
  </si>
  <si>
    <t>Incomplete, because transactions lack descriptions. There are only a smattering of transactions recorded in the past 4 months, so the data is not up to date.</t>
  </si>
  <si>
    <t>http://www.dleg.state.mi.us/bcs_corp/sr_corp.asp</t>
  </si>
  <si>
    <t>https://www.michigan.gov/corrections/0,4551,7-119-1441---,00.html</t>
  </si>
  <si>
    <t>Site uses SSL. Does not provide per-facility records. Data provided as PDFs.</t>
  </si>
  <si>
    <t>https://www.legislature.mi.gov/</t>
  </si>
  <si>
    <t>The Acceptable Use Policy says that “users must respect the legal protection provided by copyright…to…data made available by The Services.”</t>
  </si>
  <si>
    <t>http://www.michigan.gov/cgi/0,4548,7-158-54534_51713_51716-116118--,00.html</t>
  </si>
  <si>
    <t>http://www.michigantrafficcrashfacts.org/</t>
  </si>
  <si>
    <t>Data is only provided as PDFs. Something that looks like raw data is published to the state repository (https://data.michigan.gov/dataset/MIAccidents/efay-8wge), but it's devoid of any documentation and appears to only include 2012.</t>
  </si>
  <si>
    <t>Minnesota</t>
  </si>
  <si>
    <t>They are aggregating county-level address points on their GIS data repository, but that only includes a single county at this point.</t>
  </si>
  <si>
    <t>http://warehouse.swift.state.mn.us/analytics/saw.dll?dashboard&amp;PortalPath=%2Fshared%2FCitizens%20Portal%2F_portal%2FPaymentsCitizensPortalPublicEntry</t>
  </si>
  <si>
    <t>Data retrieved via a query can be exported as an Excel file. Records have no description or date (just a budget year), making them incomplete. It is not possible to know whether the records are up to date.</t>
  </si>
  <si>
    <t>http://www.sos.state.mn.us/index.aspx?page=342</t>
  </si>
  <si>
    <t>Data costs $13,500 up-front, with monthly updates costing $710. Provided as CSV.</t>
  </si>
  <si>
    <t>https://www.doc.state.mn.us/pages/index.php/about/statistics/</t>
  </si>
  <si>
    <t>The site is available via HTTPS, but not by default.</t>
  </si>
  <si>
    <t>https://www.revisor.mn.gov/billstatus/</t>
  </si>
  <si>
    <t>The legislature offers data about legislation as pipe-delimited text (albeit lacking a header row), server over HTTPS. The House and Senate have their own pages about their members, and each offers some form of legislator data download, albeit over HTTP.</t>
  </si>
  <si>
    <t>https://mn.gov/admin/demography/data-by-topic/population-data/our-projections/</t>
  </si>
  <si>
    <t>https://www.mn.gov/admin/government/real-estate/</t>
  </si>
  <si>
    <t>The state does not aggregate this locally-collected data.</t>
  </si>
  <si>
    <t>https://dps.mn.gov/divisions/ots/reports-statistics/Pages/crash-facts.aspx</t>
  </si>
  <si>
    <t>These are PDFs of annual statistics, not data.</t>
  </si>
  <si>
    <t>Mississippi</t>
  </si>
  <si>
    <t>https://boe.magic.ms.gov/Transparency/ASHMwm4ycW9DqKOomgAij9s</t>
  </si>
  <si>
    <t>This appears to be some kind of an internal management system that has a public access level which makes it read-only. It's a simultation of a Windows application. Data does not appear to have been updated for 7 months, but because transactions lack dates, it is impossible to know. Data is served over HTTPS, making it verifiable.</t>
  </si>
  <si>
    <t>https://corp.sos.ms.gov/corp/portal/c/page/corpBusinessIdSearch/portal.aspx</t>
  </si>
  <si>
    <t>http://www.mdoc.ms.gov/Admin-Finance/Pages/Daily-Inmate-Population.aspx</t>
  </si>
  <si>
    <t>http://www.legislature.ms.gov/</t>
  </si>
  <si>
    <t>Unusually, much their site is provided as XML (rendered as HTML via XSLT), making all inventoried data machine-readable.</t>
  </si>
  <si>
    <t>http://www.ihl.state.ms.us/urc/publications.asp</t>
  </si>
  <si>
    <t>Data is provided as a PDF of a map, with projections written as labels on the map.</t>
  </si>
  <si>
    <t>There is evidence that this exists, although no evidence that it is available online.</t>
  </si>
  <si>
    <t>http://msdh.ms.gov/apps/abc/</t>
  </si>
  <si>
    <t>Mississippi offers an admirable collection of crash data (http://psdl.dps.ms.gov/?page_id=29), in a variety of formats, but nothing that is simply a list of crashes.</t>
  </si>
  <si>
    <t>Missouri</t>
  </si>
  <si>
    <t>https://data.mo.gov/browse?limitTo=datasets&amp;q=state%20expenditures</t>
  </si>
  <si>
    <t>There is no single entry in the repository for expenditures—instead the records are broken up into dozens of individual entries. (Consequently, dataset link goes to search results.) These are not transaction-level records, but instead total payments over a fiscal year. As a result, there is no transaction date or description of the purpose of the payment, but instead only a category. Data is verifiable by virtue of being provided via HTTPS.</t>
  </si>
  <si>
    <t>https://bsd.sos.mo.gov/BusinessEntity/BESearch.aspx</t>
  </si>
  <si>
    <t>This is raw data about offenders, rather than prison-level data. It is possible to infer most, but not all, prison data from this.</t>
  </si>
  <si>
    <t>http://www.moga.mo.gov/</t>
  </si>
  <si>
    <t>https://oa.mo.gov/budget-planning/demographic-information/population-projections</t>
  </si>
  <si>
    <t>Data is available as Excel files. Served over HTTPS. Localities lack FIPS codes or GNIS IDs, so they are incomplete.</t>
  </si>
  <si>
    <t>https://www.mshp.dps.missouri.gov/HP68/search.jsp</t>
  </si>
  <si>
    <t>Extrordinarily, they include the identity of the driver, and the data is updated constantly. Site is served over HTTPS.</t>
  </si>
  <si>
    <t>Montana</t>
  </si>
  <si>
    <t>http://geoinfo.msl.mt.gov/home/msdi/structures_and_addresses.aspx</t>
  </si>
  <si>
    <t>The bulk data is not verifiable, but API-based access is, by virtue of being served over HTTPS.</t>
  </si>
  <si>
    <t>https://data.datamontana.us/Financial/Montana-s-Checkbook-Accounts-Payable-Payments/d7uw-2snd</t>
  </si>
  <si>
    <t>As of the survey, the data was over a month out of date. Lacks a check/voucher number and a description of the purpose of the purchase, although the categorization system is detailed enough to almost suffice.</t>
  </si>
  <si>
    <t>https://app.mt.gov/corprecords/</t>
  </si>
  <si>
    <t>Data costs, as of this writing, $3,915.30 for the entire dataset, or 2¢ apiece. Records are provided as fixed-width text files.</t>
  </si>
  <si>
    <t>http://cor.mt.gov/Portals/104/Resources/Reports/daily.pdf</t>
  </si>
  <si>
    <t>Provided as a PDF, updated daily. Includes each facility's capacity and current population, but lacks any historical data, and no archives are available.</t>
  </si>
  <si>
    <t>http://leg.mt.gov/</t>
  </si>
  <si>
    <t>http://ceic.mt.gov/Population/PopProjections_StateTotalsPage.aspx</t>
  </si>
  <si>
    <t>Lacks GNIS IDs or FIPS codes for localitiies.</t>
  </si>
  <si>
    <t>ftp://ftp.geoinfo.msl.mt.gov/Data/Spatial/MSDI/Cadastral/PublicLands/</t>
  </si>
  <si>
    <t>Public lands are available as an Access database and shapefiles. No state-owned buildings data could be found, but press coverage makes clear that this information can be FOIAed. Relatedly, Montana provides a dataset of all facilities that the state government leases from others (https://data.datamontana.us/Property-/Montana-Leased-Facilities/pmgg-xiiy).</t>
  </si>
  <si>
    <t>Montana conducts investigations on a local basis. Some of those localities provide records online, but there is no evidence that the state aggregates them.</t>
  </si>
  <si>
    <t>http://www.mdt.mt.gov/publications/datastats/crashdata.shtml</t>
  </si>
  <si>
    <t>These are statistics, not data. Montana does possess per-incident records, stored as machine-readable data.</t>
  </si>
  <si>
    <t>Nebraska</t>
  </si>
  <si>
    <t>As of 2014, Nebraska did not have an address points database.</t>
  </si>
  <si>
    <t>Dataset is incomplete, as it lacks both a description and a check/voucher number.</t>
  </si>
  <si>
    <t>https://www.nebraska.gov/SpecialRequestSearches/</t>
  </si>
  <si>
    <t>Data cost $15/per 1,000 records, or $2,381.22 for the complete dataset, as of the date that this dataset was surveyed. The data is incomplete, because the data lacks officers/directors and registered agent identities.</t>
  </si>
  <si>
    <t>http://www.corrections.nebraska.gov/news.html</t>
  </si>
  <si>
    <t>Provided as an Excel file, this is an inventory of all inmates in Nebraska. This is not the same as per-prison population data, but an incomplete prison population file can be put together using this data.</t>
  </si>
  <si>
    <t>http://nebraskalegislature.gov/</t>
  </si>
  <si>
    <t>The site offers the ability to download as a CSV file the search results for a given legislator's bills, but that is too narrow of a case to qualify as offering machine-readable data.</t>
  </si>
  <si>
    <t>http://www.neded.org/files/research/stathand/bsect12.htm</t>
  </si>
  <si>
    <t>Data hasn't been updated since the 2010 census.</t>
  </si>
  <si>
    <t>They say nothing about providing data, but OpenNebraska republishes their data from 2013 (https://data.opennebraska.io/dataset/state-restaurant-inspections) and uses state data for their resttaurant inspections site (https://data.opennebraska.io/dataset/state-restaurant-inspections). We've made an inquiry to them to find out more.</t>
  </si>
  <si>
    <t>http://www.roads.nebraska.gov/safety/crash/</t>
  </si>
  <si>
    <t>These are statistics in PDF form, not data. There is an entry for this dataset in the state repository, but it links to a page indicating that the data has been abandoned, with no link to find out where it is now (http://www.transportation.nebraska.gov/highway-safety/).</t>
  </si>
  <si>
    <t>Nevada</t>
  </si>
  <si>
    <t>http://openbudget.nv.gov/OpenGov/ViewActualSummary.aep</t>
  </si>
  <si>
    <t>At the time that it was inventoried, the data had not been updated for six months. Data is provided as CSV. Lacks a description of the purpose of the transaction.</t>
  </si>
  <si>
    <t>https://nvsos.gov/SOSWebAccountManager/login.aspx?timeout=true&amp;ReturnURL=https%3a%2f%2fnvsos.gov%2fSOSServices%2fDataDownload%2fYourReports.aspx</t>
  </si>
  <si>
    <t>Getting data requires registering for an account, stepping through a 4-step interactive form, and paying $125. Data is provided as Access, Excel, fixed-width, or CSV.</t>
  </si>
  <si>
    <t>http://doc.nv.gov/About/Statistics/Monthly_Reports_by_Year/Monthly_Reports_by_Year/</t>
  </si>
  <si>
    <t>Data is provided in quarterly statistical summaries, in the form of PDFs.</t>
  </si>
  <si>
    <t>https://www.leg.state.nv.us/</t>
  </si>
  <si>
    <t>http://nvdemography.org/data-and-publications/</t>
  </si>
  <si>
    <t>Only available as a PDF. Lacks FIPS codes or GNIS IDs identifying localities.</t>
  </si>
  <si>
    <t>http://lands.nv.gov/program/landoffice.htm</t>
  </si>
  <si>
    <t>Nevada tracks buildings and land separately. Building records are found at (http://publicworks.nv.gov/Buildings/List_of_State_Owned_Buildings/). Building records are provided as an Excel file, land records as a PDF (clearly generated from Excel). Our census data structure does not support evaluating datasets originating from multiple sources, so we have scored the building records, awarding a slightly higher score than if we'd scored the land records.</t>
  </si>
  <si>
    <t>Nevada regulates restaurants on a local basis, and does not appear to aggregate their reports on a statewide basis.</t>
  </si>
  <si>
    <t>These are just some PDFs of booklets, supposedly annual, but the last update was in 2010. Although the site is secured with HTTPS, theoretically making the data verifiable, it uses an SHA-1 signature, which is so weak as to fail to meet the minimum standard for HTTPS in any practical sense.</t>
  </si>
  <si>
    <t>New Hampshire</t>
  </si>
  <si>
    <t>http://granitweb.sr.unh.edu:6080/arcgis/rest/services/MapServices/Parcels/MapServer/0</t>
  </si>
  <si>
    <t>https://www.nh.gov/transparentnh/where-the-money-goes/fiscal-yr-downloads.htm</t>
  </si>
  <si>
    <t>Although this is technically incomplete, because it lacks a description for each transaction, there are two separate categories for each transaction that, together, provide a healthy amount of detail. Data is provided as CSV files, broken up by month. They are updated monthly.</t>
  </si>
  <si>
    <t>https://www.sos.nh.gov/corporate/soskb/csearch.asp</t>
  </si>
  <si>
    <t>A small amount of information is available as HTML, but much of it is locked up in PDFs.</t>
  </si>
  <si>
    <t>https://www.nh.gov/nhdoc/divisions/publicinformation/</t>
  </si>
  <si>
    <t>This information is only provided in their annual report, as a PDF, and is not complete.</t>
  </si>
  <si>
    <t>http://www.gencourt.state.nh.us/downloads/</t>
  </si>
  <si>
    <t>Provided as delimited text.</t>
  </si>
  <si>
    <t>https://www.nh.gov/oep/data-center/population-projections.htm</t>
  </si>
  <si>
    <t>It's provided as a table in a PDF of a larger report. Verifiable by virtue of being served over HTTPS.</t>
  </si>
  <si>
    <t>There is no evidence that this exists. The state has produced PDF-based reports in past years e.g., (https://admin.state.nh.us/accounting/FY%2011/SORP-FY11.pdf) but not in 5 years.</t>
  </si>
  <si>
    <t>http://www.dhhs.nh.gov/dphs/fp/inspectionresults.htm</t>
  </si>
  <si>
    <t>Citing technical difficulties, New Hampshire has stopped providing inspection records online. As of this survey, they say that they'll make the data available online again "in early 2016."</t>
  </si>
  <si>
    <t>They provide the most cursory of summary data (https://www.nh.gov/hsafety/data/), as a Word and as a PDF file, but that has not been updated in 7 years. This just can't be counted as providing data.</t>
  </si>
  <si>
    <t>New Jersey</t>
  </si>
  <si>
    <t>http://www.yourmoney.nj.gov/transparency/expenditures/</t>
  </si>
  <si>
    <t>Does not provide transaction-level data. Bulk data is only available if exported via the portal software.</t>
  </si>
  <si>
    <t>https://www.njportal.com/dor/businessrecords/</t>
  </si>
  <si>
    <t>Records are $6.25 each. Each record must be selected individually to be downloaded. Site uses SSL. Have not purchased data to verify completeness.</t>
  </si>
  <si>
    <t>http://www.state.nj.us/corrections/pages/offender_stats.html</t>
  </si>
  <si>
    <t>Data is a PDF generated from Excel. Does not indicate facilities’ capacity or population change over time.</t>
  </si>
  <si>
    <t>http://www.njleg.state.nj.us/downloads.asp</t>
  </si>
  <si>
    <t>Data available as a Microsoft Access database.</t>
  </si>
  <si>
    <t>http://lwd.dol.state.nj.us/labor/lpa/dmograph/lfproj/lfproj_index.html</t>
  </si>
  <si>
    <t>Data provided as Excel files. Does not provide GNIS IDs. Last updated perhaps five years ago.</t>
  </si>
  <si>
    <t>http://www.state.nj.us/transportation/refdata/accident/</t>
  </si>
  <si>
    <t>Provided as PDFs. These are statistics, not data. Last updated two years ago.</t>
  </si>
  <si>
    <t>New Mexico</t>
  </si>
  <si>
    <t>http://sunshineportalnm.com/sample/#section=Purchases</t>
  </si>
  <si>
    <t>This is a Flash application, making it difficult to work with. Bulk data is available, as CSV, but it's necessary to drill down through the Flash application first, and the exported data has only the vendor name, the total number of purchases from them, and the aggregate amount spent for the fiscal year.</t>
  </si>
  <si>
    <t>https://portal.sos.state.nm.us/Corps/</t>
  </si>
  <si>
    <t>We could not locate this data in our survey.</t>
  </si>
  <si>
    <t>http://www.nmlegis.gov/</t>
  </si>
  <si>
    <t>http://bber.unm.edu/demo/PopProjTable1.htm</t>
  </si>
  <si>
    <t>https://www.arcforms.info/nmfacilities2014/</t>
  </si>
  <si>
    <t>Data is only provided as HTML. This is a survey conducted by a third party, hired by the state to do so, conducted back in 2014.</t>
  </si>
  <si>
    <t>Although restaurant inspections are conducted by the state, we could locate any inspection results on the state's website.</t>
  </si>
  <si>
    <t>http://nmtrafficrecords.com/resources/data-request/</t>
  </si>
  <si>
    <t>Data must be requested, and approval must be requested from the New Mexico Department of Transportation to get that data.</t>
  </si>
  <si>
    <t>New York</t>
  </si>
  <si>
    <t>http://gis.ny.gov/gisdata/inventories/details.cfm?DSID=921</t>
  </si>
  <si>
    <t>Data is not complete statewide. Some or all of each file has copyright held by private corporations.</t>
  </si>
  <si>
    <t>http://www.openbooknewyork.com/</t>
  </si>
  <si>
    <t>Bulk data is available when exported from the website. Does not provide transaction-level data.</t>
  </si>
  <si>
    <t>https://data.ny.gov/Economic-Development/Active-Corporations-Beginning-1800/n9v6-gdp6</t>
  </si>
  <si>
    <t>Bulk data is available if exported via portal software. Data is published under complicated, restrictive terms of service. Repository uses SSL. Corporation status, state formed, officers, and shares are not provided. Because this includes corporate records back to 1800, the lack of a status is especially problematic.</t>
  </si>
  <si>
    <t>https://data.ny.gov/Public-Safety/Inmates-Under-Custody-Beginning-2008/55zc-sp6m</t>
  </si>
  <si>
    <t>Bulk data is available if exported via portal software. Data is published under complicated, restrictive terms of service. Last updated four months ago. Repository uses SSL. This is raw data, not aggregated in any way. It would be challenging to generate conformant records from this data.</t>
  </si>
  <si>
    <t>http://www.nysenate.gov/open</t>
  </si>
  <si>
    <t>There is no website for New York's legislature. Instead, there is one site for the upper house and one site for the lower house. This compilcating factor has delayed evaluation of this dataset.</t>
  </si>
  <si>
    <t>http://pad.human.cornell.edu/counties/projections.cfm</t>
  </si>
  <si>
    <t>Appears to be about five years out of date. Does not provide GNIS IDs.</t>
  </si>
  <si>
    <t>http://www.tax.ny.gov/research/property/valuation/sol/index.htm</t>
  </si>
  <si>
    <t>https://health.data.ny.gov/Health/Food-Service-Establishment-Last-Inspection/cnih-y5dw</t>
  </si>
  <si>
    <t>Bulk data is available when exported from the website. Published under complicated, restrictive terms of service.</t>
  </si>
  <si>
    <t>http://dmv.ny.gov/org/about-dmv/statistical-summaries</t>
  </si>
  <si>
    <t>Published under complicated, restrictive terms of service. It looks like it’s possible to assemble complete data, by downloading and combining multiple tables.</t>
  </si>
  <si>
    <t>North Carolina</t>
  </si>
  <si>
    <t>http://data.nconemap.com/geoportal/catalog/search/resource/details.page?uuid=%7B9E039D56-5202-43E7-8D36-D09414C0DBD6%7D</t>
  </si>
  <si>
    <t>http://www.ncopenbook.gov/ContractsHome.jsp</t>
  </si>
  <si>
    <t>This has not been updated in over 3 years. Per-transaction data isn't available—records are aggregated by year.</t>
  </si>
  <si>
    <t>http://www.secretary.state.nc.us/corporations/</t>
  </si>
  <si>
    <t>http://webapps6.doc.state.nc.us/apps/asqExt/ASQ</t>
  </si>
  <si>
    <t>Doesn't appear to provide per-facility data.</t>
  </si>
  <si>
    <t>http://www.ncleg.net/</t>
  </si>
  <si>
    <t>http://www.osbm.state.nc.us/ncosbm/facts_and_figures/socioeconomic_data/population_estimates.shtm</t>
  </si>
  <si>
    <t>http://www.ncspo.com/fis/</t>
  </si>
  <si>
    <t>http://nccrashdata.hsrc.unc.edu/</t>
  </si>
  <si>
    <t>Uses a report-generation system to generate statistics, rather than publishing data.</t>
  </si>
  <si>
    <t>North Dakota</t>
  </si>
  <si>
    <t>The state has no known address points repository.</t>
  </si>
  <si>
    <t>http://data.share.nd.gov/pr/Pages/checkbook.aspx</t>
  </si>
  <si>
    <t>These are expenses aggregated by year, and not per-transaction records. Data can be exported as CSV or Excel, but only as a result of a query; there is no mechanism to export all records. Note that CSV files are erroneously given a ".xls" extension.</t>
  </si>
  <si>
    <t>https://apps.nd.gov/sc/busnsrch/busnSearch.htm</t>
  </si>
  <si>
    <t>Incomplete, because records lack officers.</t>
  </si>
  <si>
    <t>http://www.nd.gov/docr/media/stats.html</t>
  </si>
  <si>
    <t>These are annual statistics, and quite incomplete as a result.</t>
  </si>
  <si>
    <t>http://www.legis.nd.gov/</t>
  </si>
  <si>
    <t>North Dakota provides backwards-looking population data and estimates of the current population (at https://www.commerce.nd.gov/census/Population/), but does not appear to provide population forecasts.</t>
  </si>
  <si>
    <t>There is no evidence that North Dakota has this information.</t>
  </si>
  <si>
    <t>https://www.dot.nd.gov/divisions/safety/trafficsafety.htm</t>
  </si>
  <si>
    <t>They produce an annual PDF with a bunch of statistics (including relatively detailed data tables), but this falls far short of data.</t>
  </si>
  <si>
    <t>Ohio</t>
  </si>
  <si>
    <t>http://gis3.oit.ohio.gov/geodatadownload/lbrs.aspx</t>
  </si>
  <si>
    <t>They're broken up by county, and some counties' records haven't been updated in many years.</t>
  </si>
  <si>
    <t>http://ohiotreasurer.gov/Transparency/Ohios-Online-Checkbook</t>
  </si>
  <si>
    <t>This is a web-based application that focuses on searching, not browsing, and has no bulk downloads. However, search results can be exported as CSV.</t>
  </si>
  <si>
    <t>http://www5.sos.state.oh.us/ords/f?p=100:1:0::NO</t>
  </si>
  <si>
    <t>It's possible to download the results of a search for a given term, which is a CSV file with some very basic information about each one.</t>
  </si>
  <si>
    <t>http://www.drc.ohio.gov/web/reports/reports16.asp</t>
  </si>
  <si>
    <t>These are monthly reports, formatted as PDFs, but they have not been updated in two months. Incomplete, because the capacity of facilities is not provided.</t>
  </si>
  <si>
    <t>https://www.legislature.ohio.gov/</t>
  </si>
  <si>
    <t>Verifiable by virtue of using HTTPS. Data is provided as an Excel XLSX file, which includes only the status of bills and metadata about each bill; there is no machine-readable data about legislators.</t>
  </si>
  <si>
    <t>https://development.ohio.gov/reports/reports_pop_proj_map.htm</t>
  </si>
  <si>
    <t>At the time that it was surveyed, this website did not work, displaying template variables in lieu of actual URLs and filenames. The score was determined based on the criteria that could be evaluated. Data is provided as a PDF.</t>
  </si>
  <si>
    <t>http://www.tos.ohio.gov/stateproperties/statepropertymaps.aspx</t>
  </si>
  <si>
    <t>The bulk download data, as an Excel file, has not been updated in 4 years. But the GIS data that drives the site appears to have been updated more recently.</t>
  </si>
  <si>
    <t>Ohio has no information available about this on their website, but the Cleveland Plain Dealer has used the data to build their own restaurant inspection system (http://www.cleveland.com/datacentral/index.ssf/2015/03/ohio_food_safety_and_restauran.html). In the description of it, they explain that, as of May 2015, only about one third of the state's municipalities are sending data back to the state's database.</t>
  </si>
  <si>
    <t>https://ext.dps.state.oh.us/CrashReportLinks/</t>
  </si>
  <si>
    <t>Downloading data requires completing a CAPTCHA. Data is provided as column-delimited text.</t>
  </si>
  <si>
    <t>Oklahoma</t>
  </si>
  <si>
    <t>Oklahoma does not appear to run a central address points repository.</t>
  </si>
  <si>
    <t>https://data.ok.gov/browse?f[0]=bundle_name%3ADataset&amp;f[1]=im_field_tags%3A5091</t>
  </si>
  <si>
    <t>https://www.sos.ok.gov/corp/bulkorder/bulkDefault.aspx</t>
  </si>
  <si>
    <t>Data costs $500, with updates at $150/week.</t>
  </si>
  <si>
    <t>http://ok.gov/doc/Offenders/Weekly_Population_Analysis/index.html</t>
  </si>
  <si>
    <t>At the time that it was surveyed, the page linking to reports did not exist. Via a search engine, many PDFs of reports could be found. It appears that population reports are issued weekly, and include only the barest of statistics.</t>
  </si>
  <si>
    <t>http://www.oklegislature.gov/TextOfMeasures.aspx</t>
  </si>
  <si>
    <t>http://okcommerce.gov/data/demographics/</t>
  </si>
  <si>
    <t>This is a report, not data. The information is spread over hundreds of pages. No GNIS IDs are provided.</t>
  </si>
  <si>
    <t>https://data.ok.gov/tags/oklahoma-real-property-asset-report</t>
  </si>
  <si>
    <t>Verifiable by virtue of using HTTPS. Published annually. Released under the ODbL.</t>
  </si>
  <si>
    <t>https://www.phin.state.ok.us/Inspections/</t>
  </si>
  <si>
    <t>Verifiable by virtue of using HTTPS.</t>
  </si>
  <si>
    <t>http://ok.gov/ohso/Data/Crash_Data_and_Statistics/</t>
  </si>
  <si>
    <t>These are statistics, collected in a PDF, not data. Verifiable by virtue of using HTTPS.</t>
  </si>
  <si>
    <t>Oregon</t>
  </si>
  <si>
    <t>Oregon is in the process of developing a statewide address points repository (per https://www.oregon.gov/OMD/OEM/OR911/MSAG_GIS/GIS%20MSAG%20Conference/2014Presentations/Address%20Point%20Repository%20Project.pdf).</t>
  </si>
  <si>
    <t>https://www.oregon.gov/transparency/pages/expenditures.aspx</t>
  </si>
  <si>
    <t>At the time that it was surveyed, the data was over 6 months old. Data is verifiable by virtue of being served over HTTPS. Data is incomplete, because it lacks check/voucher numbers and a description of each expense.</t>
  </si>
  <si>
    <t>https://data.oregon.gov/Business/Active-Business-List/ty7j-mnvu</t>
  </si>
  <si>
    <t>Verifiable by virtue of being provided via HTTPS. Data is affirmatively placed in the public domain. Only includes active corporations—once a corporation is shut down, no record of them is found within this data. Includes the registered agent's address, but not the business's address.</t>
  </si>
  <si>
    <t>Prison data is available in a variety of manners (https://www.oregon.gov/doc/RESRCH/pages/inmate_population.aspx), but per-facility data does not seem to exist.</t>
  </si>
  <si>
    <t>https://www.oregonlegislature.gov/</t>
  </si>
  <si>
    <t>https://www.oregon.gov/DAS/oea/Pages/demographic.aspx</t>
  </si>
  <si>
    <t>Lacks GNIS IDs for each locality. Provided as an Excel file.</t>
  </si>
  <si>
    <t>https://data.oregon.gov/dataset/Oregon-State-Owned-Leased-Buildings/2q2s-w8ry</t>
  </si>
  <si>
    <t>This dataset includes only buildings, not lands, and was last updated in 2011. The description specifies that it is not a complete inventory of buildings. State-owned lands are theoretically inventoried at (https://www.oregon.gov/dsl/lw/pages/slis_main.aspx), but all that's there is PDFs of aggregate information and a link to a Flash-based map that says only "Error #2048." There is, however, an ArcGIS map at (http://geo.maps.arcgis.com/home/webmap/viewer.html?webmap=9a137ca85797467183c071ec47b2f575). Data is verifiable by virtue of being served over HTTPS.</t>
  </si>
  <si>
    <t>Oregon conducts inspections with local agencies, and there is no evidence that the state aggregates that inspection data.</t>
  </si>
  <si>
    <t>https://www.oregon.gov/ODOT/TD/TDATA/pages/car/CAR_Publications.aspx</t>
  </si>
  <si>
    <t>These are statistics, not data, published as PDF. Data is verifiable by virtue of being served over HTTPS.</t>
  </si>
  <si>
    <t>Pennsylvania</t>
  </si>
  <si>
    <t>http://www.pennwatch.pa.gov/spending/</t>
  </si>
  <si>
    <t>Data is within an iframe-nested Java applet. There is no check/voucher number or description.</t>
  </si>
  <si>
    <t>http://www.dos.pa.gov/BusinessCharities/Business/Pages/default.aspx</t>
  </si>
  <si>
    <t>http://www.cor.pa.gov/Administration/Statistics/Documents/current%20monthly%20population.pdf</t>
  </si>
  <si>
    <t>Data is in the form of a single four-page PDF. One page includes a table of data, but the table has been left blank.</t>
  </si>
  <si>
    <t>http://www.legis.state.pa.us/</t>
  </si>
  <si>
    <t>http://pasdc.hbg.psu.edu/Data/Projections/tabid/1013/Default.aspx</t>
  </si>
  <si>
    <t>More than a decade out of date. Based on 2000 census data, and contains projections for 2010. Lacks GNIS IDs.</t>
  </si>
  <si>
    <t>https://www.portal.state.pa.us/portal/server.pt/community/real_estate/1346</t>
  </si>
  <si>
    <t>Inventory is one big PDF file.</t>
  </si>
  <si>
    <t>https://www.pafoodsafety.state.pa.us/web/inspection/publicinspectionsearch.aspx</t>
  </si>
  <si>
    <t>https://www.dotcrashinfo.pa.gov/</t>
  </si>
  <si>
    <t>Site served via HTTPS. Custom data can be exported as CSV or Excel via a query tool, but there are no bulk data files. These are statistics, not data.</t>
  </si>
  <si>
    <t>Puerto Rico</t>
  </si>
  <si>
    <t>https://data.pr.gov/en/Desarrollo-e-Infraestructura/Direcciones-Estandarizadas-Bay-Car-SJ/h9md-ic24</t>
  </si>
  <si>
    <t>This is only a small subset (135,000) of Puerto Rico's addresses, including portions of San Juan and neighboring Bayamón and Carolina.</t>
  </si>
  <si>
    <t>https://data.pr.gov/en/Negocios-y-Corporaciones-/Extract-Data-Con-Censo-P-blico-y-Estatus-Activo/i6jc-4sg3</t>
  </si>
  <si>
    <t>Very little data is provided about each corporation, so it's nowhere close to complete.</t>
  </si>
  <si>
    <t>http://www.oslpr.org/</t>
  </si>
  <si>
    <t>Machine-readable senate voting data is available in bulk on the state repository (https://data.pr.gov/en/Abierto/Record-de-Votaci-n-de-Senado/fu3e-fj3e).</t>
  </si>
  <si>
    <t>http://www.jp.pr.gov/Portal_JP/Default.aspx?tabid=120</t>
  </si>
  <si>
    <t>Data not broken down by locality.</t>
  </si>
  <si>
    <t>https://data.pr.gov/en/Desarrollo-e-Infraestructura/AEP/sw8z-xj2x</t>
  </si>
  <si>
    <t>Data was last updated a year and a half ago. Does not include land, only buildings. Site is served via HTTPS.</t>
  </si>
  <si>
    <t>Rhode Island</t>
  </si>
  <si>
    <t>http://www.edc.uri.edu/rigis/data/data.aspx?ISO=structure</t>
  </si>
  <si>
    <t>Their license requires crediting them (http://www.edc.uri.edu/rigis/distributionPolicy.html), so it falls short of being openly licensed.</t>
  </si>
  <si>
    <t>http://www.ri.gov/opengovernment/browse</t>
  </si>
  <si>
    <t>This is a web-based system that has a CSV export function, once you've drilled down into the data some. The resulting data is aggregated by year, so this isn't transaction-level data.</t>
  </si>
  <si>
    <t>http://ucc.state.ri.us/CorpSearch/CorpSearchInput.asp</t>
  </si>
  <si>
    <t>http://www.doc.ri.gov/administration/planning/statistics_reports.php</t>
  </si>
  <si>
    <t>Data is provided as a PDF. It is only updated once annually.</t>
  </si>
  <si>
    <t>http://www.rilin.state.ri.us/</t>
  </si>
  <si>
    <t>http://www.planning.ri.gov/geodeminfo/data/popprojections.php</t>
  </si>
  <si>
    <t>Incomplete, because it lacks GNIS IDs or FIPS codes for the localities.</t>
  </si>
  <si>
    <t>http://ri.healthinspections.us/RI_EH/</t>
  </si>
  <si>
    <t>They have very simplistic statistics (http://www.health.ri.gov/data/motorvehicleinjury/), but that's it.</t>
  </si>
  <si>
    <t>South Carolina</t>
  </si>
  <si>
    <t>http://www.gis.sc.gov/documents/AddressPoints_SC.pdf</t>
  </si>
  <si>
    <t>The state runs a program to aggregate address points from localities, and as of February 2014, it has almost all of the state covered. But the data is owned by the localities, prohibiting the state from redistributing it.</t>
  </si>
  <si>
    <t>http://www.cg.sc.gov/fiscaltransparency/</t>
  </si>
  <si>
    <t>Site uses SSL, providing verification of data. Data is, at the time of the census, 6 weeks old. Machine-readable data is only avaiable via export, after drilling down to an agency and time period. There is no description of the purpose of each payment.</t>
  </si>
  <si>
    <t>http://scinteractive.sc.gov/Pages/SubscriberServices.aspx</t>
  </si>
  <si>
    <t>Data costs $12,075 per year. It is updated monthly, provided as CSV files.</t>
  </si>
  <si>
    <t>http://www.doc.sc.gov/pubweb/research/statistics.jsp</t>
  </si>
  <si>
    <t>These are statistics, not data. Information is provided as PDFs.</t>
  </si>
  <si>
    <t>http://www.scstatehouse.gov/</t>
  </si>
  <si>
    <t>http://abstract.sc.gov/chapter14/pop5.html</t>
  </si>
  <si>
    <t>http://www.admin.sc.gov/generalservices/parcels</t>
  </si>
  <si>
    <t>The location of parcels of land and buildings is not provided (beyond the county). No dates are provided to know when records or files were last updated, so it's impossible to determine whether this dataset is up to date.</t>
  </si>
  <si>
    <t>http://www.scdhec.gov/FoodSafety/CheckSCFoodSanitationReports/</t>
  </si>
  <si>
    <t>All requests returned an HTTP 500 error at the time that the site was surveyed, making a complete survey impossible.</t>
  </si>
  <si>
    <t>They participate in NHTSA's State Data System (http://www.nhtsa.gov/Data/State+Data+Programs/SDS+Overview), so they are collecting the data.</t>
  </si>
  <si>
    <t>South Dakota</t>
  </si>
  <si>
    <t>http://arcgis.sd.gov/arcgis/rest/services/BIT/AddressViewer/MapServer/0</t>
  </si>
  <si>
    <t>http://open.sd.gov/vendor.aspx</t>
  </si>
  <si>
    <t>Incomplete, because it does not include all agencies, and because spending is aggregated by vendor by year, instead of being transaction-level.</t>
  </si>
  <si>
    <t>https://sos.sd.gov/business/search.aspx</t>
  </si>
  <si>
    <t>Some information is buried within PDFs of annual reports, but it's all there.</t>
  </si>
  <si>
    <t>https://doc.sd.gov/about/stats/</t>
  </si>
  <si>
    <t>Incomplete, because it lacks lacks both historical data and the capacity of each facility.</t>
  </si>
  <si>
    <t>http://legis.sd.gov/</t>
  </si>
  <si>
    <t>Incomplete, because it lacks the date that legislators took office.</t>
  </si>
  <si>
    <t>The web page that the U.S. Census links to for South Dakota (http://www.sdstate.edu/soc/rlcdc/generaldemographicdata/population-and-population-change.cfm) contains only backwards-looking reports, many of which have not been updated in over 15 years.</t>
  </si>
  <si>
    <t>https://doh.sd.gov/food/restaurants-lodging/inspection-scores.aspx</t>
  </si>
  <si>
    <t>As of February 8, 2016, "the inspection score site is temporarily down," the website reports.</t>
  </si>
  <si>
    <t>http://safesd.gov/raw-data.html</t>
  </si>
  <si>
    <t>Very detailed records, provided as pipe-delimited text. Data is updated annually, in June, for the prior year.</t>
  </si>
  <si>
    <t>Tennessee</t>
  </si>
  <si>
    <t>We have an outstanding query to the state GIS office about this dataset.</t>
  </si>
  <si>
    <t>http://www.tn.gov/transparenttn/section/state-financial-overview</t>
  </si>
  <si>
    <t>Expenses are aggregated by vendor and fiscal year, so this is not transaction-level data. There is a description field, but it isn't in use for descriptions of the transaction (which it couldn't anyway, because they're aggregated). Data is provided as zipped CSV.</t>
  </si>
  <si>
    <t>https://tnbear.tn.gov/ecommerce/DBDownloadWizard.aspx</t>
  </si>
  <si>
    <t>Data costs $1,000, with updates at $50/week. It may be viewed online, as HTML, for free.</t>
  </si>
  <si>
    <t>https://www.tn.gov/correction/section/tdoc-statistics</t>
  </si>
  <si>
    <t>These are aggregate statistics, not data. Information is only available as PDFs.</t>
  </si>
  <si>
    <t>http://www.capitol.tn.gov/</t>
  </si>
  <si>
    <t>They block search engines from indexing their site, so it's difficult to state categorically that they don't provide downloadable data.</t>
  </si>
  <si>
    <t>http://tn.gov/health/article/statistics-population</t>
  </si>
  <si>
    <t>This data is 15 years old, provided only as a PDF.</t>
  </si>
  <si>
    <t>This data cannot be located, but it has not been determined whether Tennessee possesses this data. The State Building Commission is the best candidate for this.</t>
  </si>
  <si>
    <t>https://apps.health.tn.gov/EHInspections/</t>
  </si>
  <si>
    <t>The site is powered by an undocumented, RESTful API. There is no reason to believe that this was meant to be provided as public-facing machine-readable data, but they have, in fact, done so. Site provided via HTTPS.</t>
  </si>
  <si>
    <t>https://www.tn.gov/safety/article/crashdata</t>
  </si>
  <si>
    <t>Data exists only as PDFs.</t>
  </si>
  <si>
    <t>Texas</t>
  </si>
  <si>
    <t>A conversation with somebody in the state GIO's office confirms that it does not exist.</t>
  </si>
  <si>
    <t>http://www.texastransparency.org/Data_Center/Search_Datasets.php</t>
  </si>
  <si>
    <t>See "Expenditures by Agency" files at the URL. Data is provided as pipe-delimited text, lacking a header row. Isn't complete because it lacks a description of the purpose of the payment. (It also lacks a payment category, but this is perhaps resolvable via the "Comptroller Object Code," "Comptroller Object Category Code," or "Appropriation Number.")</t>
  </si>
  <si>
    <t>http://www.sos.state.tx.us/corp/sosda/index.shtml</t>
  </si>
  <si>
    <t>They charge $1 per search, then additional fees for each document. Whether the data is complete or up-to-date is impossible to determine without running a series of expensive searches. Bulk data is available for $1,750.00, with updates available at various prices (https://direct.sos.state.tx.us/help/help-corp.asp?pg=bulk). Data is provided as fixed-width ASCII files. Data file layouts and sample data is available at (https://direct.sos.state.tx.us/help/help-corp.asp?pg=bulk).</t>
  </si>
  <si>
    <t>http://www.tdcj.texas.gov/documents/High_Value_Data_Sets.xlsx</t>
  </si>
  <si>
    <t>This is an unusual representation of incarceration data—instead of providing per-facility data, Texas provides per-inmate data. No data is provided about the capacity of each facility, and facility population can only be determined by talling them up. So while the data is not complete, it is quite extensive. Data is provided as an Excel file.</t>
  </si>
  <si>
    <t>http://www.legis.state.tx.us/billlookup/filedownloads.aspx</t>
  </si>
  <si>
    <t>Bulk records includes legislation, but not legislators.</t>
  </si>
  <si>
    <t>http://txsdc.utsa.edu/data/TPEPP/Projections/Index.aspx</t>
  </si>
  <si>
    <t>http://www.glo.texas.gov/what-we-do/state-lands/state-land-reports/index.html</t>
  </si>
  <si>
    <t>https://cris.txdot.gov/</t>
  </si>
  <si>
    <t>Registration required. Site uses SSL. We did not register to find out details.</t>
  </si>
  <si>
    <t>Utah</t>
  </si>
  <si>
    <t>http://gis.utah.gov/data/location/address-data/</t>
  </si>
  <si>
    <t>https://secure.utah.gov/datarequest/transparency/index.html</t>
  </si>
  <si>
    <t>Data must be purchased. A file containing all state expenses for a fiscal year costs $1. They email a link the data "within 8 hours" to a provided email address (it took 7 hours for our request to be fulfilled). Data is provided as a ZIP file containing CSV. Provided data lacks descriptions (only has categories). Alternately, the information can be browsed on-screen, in a web-based interface.</t>
  </si>
  <si>
    <t>https://secure.utah.gov/datarequest/businesses/index.html</t>
  </si>
  <si>
    <t>Records are 1¢ apiece. The entire dataset would cost, at the time that this dataset was inventoried, $15,448.71. Many records can be browsed, for free, via a web-based interface, but access to information about personnel and filed documents cost $1–2 per record.</t>
  </si>
  <si>
    <t>https://crbiprod.utah.gov/cognos10/cgi-bin/cognos.cgi?b_action=xts.run&amp;m=portal/cc.xts&amp;gohome=</t>
  </si>
  <si>
    <t>Data is accessed via an interactive web app, and not available for download. Although the site uses HTTPS, making it theoretically verifiable, the site uses deprecated SHA-1 signatures.</t>
  </si>
  <si>
    <t>http://le.utah.gov/</t>
  </si>
  <si>
    <t>http://governor.utah.gov/DEA/popprojections.html</t>
  </si>
  <si>
    <t>These projections are from 2008, although the website says that "new projections are expected to be released in the fall of 2012." They are embedded in a PDF, which can be found by selecting "Projections Documentation," "03Projections," and then "2008BaselineHighlights.pdf" at the indicated URL.</t>
  </si>
  <si>
    <t>The Division of Facilities Construction &amp; Management (http://dfcm.utah.gov/) makes clear that they possess this data, but does not seem to provide it publicly.</t>
  </si>
  <si>
    <t>Inspections are performed by municipalities, and the state does not appear to aggregate them.</t>
  </si>
  <si>
    <t>http://highwaysafety.utah.gov/crash-data/utah-crash-summaries/</t>
  </si>
  <si>
    <t>These is a PDF of a reports, not data. The data itself can only be accessed on a per-incident basis, via a FOIA request (or "GRAMA request," in Utah's terminology).</t>
  </si>
  <si>
    <t>Vermont</t>
  </si>
  <si>
    <t>http://dware.vcgi.org/?page=./search_tools/search_action.cfm&amp;query=theme&amp;theme_id=991-0005</t>
  </si>
  <si>
    <t>There are restrictions on the use of this data (http://vcgi.vermont.gov/sites/vcgi/files/warehouse/VCGI_Warranty_Copyright_Notice_2013.pdf). Provided as a Shapefile or a File Geodatabase.</t>
  </si>
  <si>
    <t>http://finance.vermont.gov/reports_and_publications/Statewide_Payments</t>
  </si>
  <si>
    <t>Data is provided in batches by fiscal quarter, but updated more often, with the most recent file provided of this survey was for Q1 2016, beginning September 1, 2015, with the file last updated on November 11. The lack of updates in the intervening 3 months indicates that the data is not up to date. Spending data is provided on the state repository (https://data.vermont.gov/Government/Accounts-Payable-Payments-2008-2012/46p3-uzzp), but we have scored this dataset as if they do not, becaues the data there is from 4 years ago, apparently having been added as already-out-of-date data by the repository vendor at the time that the repository was created, two years ago.</t>
  </si>
  <si>
    <t>https://www.sec.state.vt.us/corporationsbusiness-services/searches-databases.aspx</t>
  </si>
  <si>
    <t>Downloading data requires jumping through some hoops. Data is provided as XLSX files.</t>
  </si>
  <si>
    <t>http://www.doc.state.vt.us/about/reports/</t>
  </si>
  <si>
    <t>Data is a table in an annual report. Determining the capacity change over the prior year requires comparing to prior annual reports.</t>
  </si>
  <si>
    <t>http://legislature.vermont.gov/</t>
  </si>
  <si>
    <t>http://dail.vermont.gov/dail-publications#reports</t>
  </si>
  <si>
    <t>Incomplete because it lacks GNIS IDs or FIPS codes for municipalities.</t>
  </si>
  <si>
    <t>The closest that Vermont gets to this is a 2013 inventory of state building energy costs (https://data.vermont.gov/Government/State-Building-Energy-Costs-2009-2013/78yy-5c8x), but that was limited to buildings with physical addresses, and of course did not include land.</t>
  </si>
  <si>
    <t>http://healthvermont.gov/apps/restaurant_scores/RestaurantScores.aspx</t>
  </si>
  <si>
    <t>http://vtransplanning.vermont.gov/research/highway/publications</t>
  </si>
  <si>
    <t>The state repository contains a single file of crash data, from 2012 (https://data.vermont.gov/Government/Vermont-Crash-Data-2012/3bej-8dxw), that appears to have been a one-off created by the repository vendor at the time that it was created.</t>
  </si>
  <si>
    <t>Virginia</t>
  </si>
  <si>
    <t>http://vgin.maps.arcgis.com/home/item.html?id=100e5e12ddc14748a5ec3b8b997af13a</t>
  </si>
  <si>
    <t>Data is affirmatively placed into the public domain.</t>
  </si>
  <si>
    <t>http://datapoint.apa.virginia.gov/exp/exp_checkbook.cfm</t>
  </si>
  <si>
    <t>The site claims to offer Excel files, but they’re actually HTML tables. Only limited bulk data is available (as, again, HTML) but it is, in fact, bulk data. Lacks expense categories.</t>
  </si>
  <si>
    <t>https://www.scc.virginia.gov/clk/dwnld.aspx</t>
  </si>
  <si>
    <t>Data is provided as CSV files. The site does not use TLS by default (HSTS), but does support HTTPS requests. So the data is verifiable, but not by default.</t>
  </si>
  <si>
    <t>http://vadoc.virginia.gov/about/facts/</t>
  </si>
  <si>
    <t>Data provided only as PDFs. It doesn't include facility capacity data.</t>
  </si>
  <si>
    <t>http://lis.virginia.gov/SiteInformation/ftp.html</t>
  </si>
  <si>
    <t>Requires registration and approval for access.</t>
  </si>
  <si>
    <t>http://www.coopercenter.org/demographics/virginia-population-projections</t>
  </si>
  <si>
    <t>https://dgs.virginia.gov/division-of-real-estate-services/virginia-owned-real-estate/inventory-of-state-owned-real-estate/</t>
  </si>
  <si>
    <t>Updated less than annually, apparently, so it's not very timely.</t>
  </si>
  <si>
    <t>http://healthspace.com/Clients/VDH/VDH/web.nsf/home.xsp</t>
  </si>
  <si>
    <t>https://public.tableau.com/profile/tien.simmons#!/vizhome/Crashtools8_2/Main</t>
  </si>
  <si>
    <t>The dataset is shared in Tableau, from which it can be exported as CSV. Data is verifiable by being published via HTTPS.</t>
  </si>
  <si>
    <t>Washington</t>
  </si>
  <si>
    <t>https://state-wamas.wa.gov/resources/home/</t>
  </si>
  <si>
    <t>Access is limited to state and local governments. Data is provided via an API, though bulk downloads are in development. Data is authenticated via HTTPS.</t>
  </si>
  <si>
    <t>http://fiscal.wa.gov/Checkbook.aspx</t>
  </si>
  <si>
    <t>Data includes no description of the expense and no check number. Data is mirrored on the state's repository (https://data.wa.gov/Procurements-and-Contracts/State-Vendor-Payments/sufm-u7rz), with the caveat that the data there is only updated annually.</t>
  </si>
  <si>
    <t>https://www.sos.wa.gov/corps/AllData.aspx</t>
  </si>
  <si>
    <t>Site uses SSL. There is one restriction on the use of this data, insufficient to warrant docking points: under Colorado law, agencies may not "give, sell or provide access to lists of individuals requested for commercial purposes."</t>
  </si>
  <si>
    <t>http://www.doc.wa.gov/aboutdoc/statistics.asp</t>
  </si>
  <si>
    <t>Data published only as PDFs.</t>
  </si>
  <si>
    <t>http://wslwebservices.leg.wa.gov/</t>
  </si>
  <si>
    <t>Data is provided via API only—no downloads.</t>
  </si>
  <si>
    <t>http://www.ofm.wa.gov/Pop/stfc/default.asp</t>
  </si>
  <si>
    <t>Only contains statewide forecasts, not per-locality forecasts.</t>
  </si>
  <si>
    <t>http://www.ofm.wa.gov/budget/facilities/fis.asp</t>
  </si>
  <si>
    <t>Includes only facilities, but not land. (Some state land is listed at http://publiclandsinventory.wa.gov/.) Data is included in the state repository (https://data.wa.gov/dataset/Facilities-Inventory-System/shwa-savc).</t>
  </si>
  <si>
    <t>https://data.wa.gov/Health/Restaurant-Inspections/7ktr-3bhb</t>
  </si>
  <si>
    <t>The state provides links to the counties that, in turn, provide these records—they are not aggregated at a state level. Some localities provide bulk data. Some localities provide verifiable data, by publishing it over HTTPS.</t>
  </si>
  <si>
    <t>http://wtsc.wa.gov/research-data/crash-data/</t>
  </si>
  <si>
    <t>Washington DC</t>
  </si>
  <si>
    <t>http://opendata.dc.gov/datasets/aa514416aaf74fdc94748f1e56e7cc8a_0</t>
  </si>
  <si>
    <t>http://opendata.dc.gov/datasets?q=purchaseorders</t>
  </si>
  <si>
    <t>Data is affirmatively placed in the public domain. These records have not been updated in a year and a half, so they are certainly not up-to-date. The records lack a description of the purpose of the purchase, so they are incomplete. (Also, this is only spending via purchase order, and not other expenses, e.g., reimbursements to employees, so the scope of the dataset is too narrow to allow the dataset to be complete.)</t>
  </si>
  <si>
    <t>https://corp.dcra.dc.gov/</t>
  </si>
  <si>
    <t>The website requires registration to view records. Incomplete, because it does not indicate whether a state is domestic or foreign.</t>
  </si>
  <si>
    <t>http://doc.dc.gov/node/307122</t>
  </si>
  <si>
    <t>Incomplete, because it lacks historical data and facility capacity data. Data is affirmatively placed in the public domain.</t>
  </si>
  <si>
    <t>http://lims.dccouncil.us/api</t>
  </si>
  <si>
    <t>Provides data to be browsed on-screen, bulk downloads, and an extensive API.</t>
  </si>
  <si>
    <t>http://www.mwcog.org/publications/departmental.asp?CLASSIFICATION_ID=6&amp;SUBCLASSIFICATION_ID=27</t>
  </si>
  <si>
    <t>http://opendata.dc.gov/datasets/769b94533db14c47832203fc87d185b2_8</t>
  </si>
  <si>
    <t>http://dc.healthinspections.us/webadmin/dhd_431/web/</t>
  </si>
  <si>
    <t>http://opendata.dc.gov/datasets/95254fae17bc4792bd47b53f71c2e503_19?geometry=-77.605%2C38.743%2C-76.344%2C39.064</t>
  </si>
  <si>
    <t>Data is affirmatively released into the public domain. Data is not complete, but it's quite extensive.</t>
  </si>
  <si>
    <t>West Virginia</t>
  </si>
  <si>
    <t>http://services.wvgis.wvu.edu/arcgis/rest/services/Location/wv_address_labels_WVDHSEM_wm/MapServer/0</t>
  </si>
  <si>
    <t>http://www.transparencywv.org/</t>
  </si>
  <si>
    <t>West Virginia abandoned their transparency website nearly two years ago, promising a replacement that has not materialized.</t>
  </si>
  <si>
    <t>https://apps.wv.gov/SOS/BusinessEntity/</t>
  </si>
  <si>
    <t>Records can be viewed on their website for free, but data must be purchased (https://apps.wv.gov/SOS/BusinessEntity/). They charge $25 per download, plus 5¢ per record. Data is provided as a collection of nine CSV files (https://apps.wv.gov/SOS/BusinessEntity/BEL_FileInformation.pdf).</t>
  </si>
  <si>
    <t>http://www.legis.state.wv.us/</t>
  </si>
  <si>
    <t>Incomplete, because it lacks GNIS IDs or FIPS codes for localities.</t>
  </si>
  <si>
    <t>http://www.realestatedivision.wv.gov/info-by-county/Pages/default.aspx</t>
  </si>
  <si>
    <t>Incomplete, as this is only a list of buildings (not land), and lacks information about the use of the property.</t>
  </si>
  <si>
    <t>The state handles all restaurant inspections on a local basis, and does not aggregate data on a statewide basis.</t>
  </si>
  <si>
    <t>http://www.transportation.wv.gov/DMV/Forms/Pages/Search-Results.aspx?Title=&amp;DMVFormNumber=&amp;DMVFormCategory=GHSP+NHTSA+Analysis+of+Crash+Data</t>
  </si>
  <si>
    <t>This crash data has not been updated for 13 years. It is not at all clear, at this point, that it should even be counted as existing.</t>
  </si>
  <si>
    <t>Wisconsin</t>
  </si>
  <si>
    <t>http://www.sco.wisc.edu/find-data/addresses.html</t>
  </si>
  <si>
    <t>Data is from mid-2014, with no plans to update it.</t>
  </si>
  <si>
    <t>http://openbook.wi.gov/Expenditures.aspx</t>
  </si>
  <si>
    <t>Data lags by several months. Does not include a description of the purpose of the expense. Machine-readable data is only available via an export function, and only a narrow slice of the data can be retreived in a single file.</t>
  </si>
  <si>
    <t>https://www.wdfi.org/apps/CorpSearch/Search.aspx?</t>
  </si>
  <si>
    <t>Does not provide the names of corporate officers.</t>
  </si>
  <si>
    <t>http://doc.wi.gov/about/data-and-research/notable-statistics/population-statistics</t>
  </si>
  <si>
    <t>Data provided as PDFs. This data isn't really complete, because it doesn't provide point-in-time comparisons, but they provide sufficient historical data that it's possible for the end user to determine that for themselves.</t>
  </si>
  <si>
    <t>http://legis.wisconsin.gov/</t>
  </si>
  <si>
    <t>http://doa.wi.gov/divisions/intergovernmental-relations/demographic-services-center/projections</t>
  </si>
  <si>
    <t>http://healthspace.com/clients/wi/state/statewebportal.nsf/home.xsp</t>
  </si>
  <si>
    <t>http://wisconsindot.gov/Pages/safety/education/crash-data/crashfacts.aspx</t>
  </si>
  <si>
    <t>These are statistics, not data. Most recent data is from 2013.</t>
  </si>
  <si>
    <t>Wyoming</t>
  </si>
  <si>
    <t>http://sao.wyo.gov/vendor-payments</t>
  </si>
  <si>
    <t>This uses a search interface, requiring searching for a business by name, within a date range. Results do not include the agency name, but only an agency number, with no provided mapping to allow somebody to determine what each agency number resolves to.</t>
  </si>
  <si>
    <t>https://wyobiz.wy.gov/Business/Database.aspx</t>
  </si>
  <si>
    <t>Data is provided as a trio of CSV files, with a schema included (as a PDF file). The data is downloaded via a POST, which is technically possible to retrieve via bulk download, but the level of obfuscation results in awarding no points for bulk downloads.</t>
  </si>
  <si>
    <t>The Department of Corrections website contains no such data, and their annual report does not provide population information.</t>
  </si>
  <si>
    <t>http://legisweb.state.wy.us/</t>
  </si>
  <si>
    <t>It cannot be determined whether there are copyright restrictions on use of the data, because the footer contains only the word "Copyright," with a link to a page that 404s.</t>
  </si>
  <si>
    <t>http://eadiv.state.wy.us/pop/</t>
  </si>
  <si>
    <t>It cannot be determined whether there are copyright restrictions on use of the data, because the footer contains only the word "Copyright," with a link to a page that 404s. Data is incomplete, because localities lack FIPS codes or GNIS IDs.</t>
  </si>
  <si>
    <t>The Construction Management Office is known to maintain an inventory, but they don't seem to publish it to the web.</t>
  </si>
  <si>
    <t>Restaurant inspection results are provided by localities, at least those who choose to do so. There is no evidence that the state aggregates or publishes such records.</t>
  </si>
  <si>
    <t>http://www.dot.state.wy.us/home/dot_safety/safety_statistics.html</t>
  </si>
  <si>
    <t>This is a collection of PDFs bearing statistics, not data.</t>
  </si>
  <si>
    <t>Low Score</t>
  </si>
  <si>
    <t>Criterion</t>
  </si>
  <si>
    <t>Points</t>
  </si>
  <si>
    <t>F</t>
  </si>
  <si>
    <t>D−</t>
  </si>
  <si>
    <t>D</t>
  </si>
  <si>
    <t>D+</t>
  </si>
  <si>
    <t>C−</t>
  </si>
  <si>
    <t>C</t>
  </si>
  <si>
    <t>C+</t>
  </si>
  <si>
    <t>B−</t>
  </si>
  <si>
    <t>B</t>
  </si>
  <si>
    <t>B+</t>
  </si>
  <si>
    <t>A−</t>
  </si>
  <si>
    <t>A</t>
  </si>
  <si>
    <t>A+</t>
  </si>
  <si>
    <t>Type</t>
  </si>
  <si>
    <t>The register of all corporations that exist in the state.</t>
  </si>
  <si>
    <t>Per-facility inmate population records.</t>
  </si>
  <si>
    <t>State-owned land and buildings.</t>
  </si>
  <si>
    <t>Transaction-level, per-agency spending records.</t>
  </si>
  <si>
    <t>The geographic coordinates for physical addresses.</t>
  </si>
  <si>
    <t>Bills before the legislature, and the legislators that comprise it.</t>
  </si>
  <si>
    <t>Health inspections of establishments that serve food to the public.</t>
  </si>
  <si>
    <t>Forecasts of municipal-level changes in population over coming years.</t>
  </si>
  <si>
    <t>Incident-level reportable motor vehicle crash records.</t>
  </si>
  <si>
    <t>Name</t>
  </si>
  <si>
    <t>Repository URL</t>
  </si>
  <si>
    <t>http://data.ca.gov/</t>
  </si>
  <si>
    <t>https://data.colorado.gov/</t>
  </si>
  <si>
    <t>https://data.ct.gov/</t>
  </si>
  <si>
    <t>https://delaware.gov/topics/data</t>
  </si>
  <si>
    <t>http://www.open.georgia.gov/</t>
  </si>
  <si>
    <t>https://data.hawaii.gov/</t>
  </si>
  <si>
    <t>https://data.illinois.gov/</t>
  </si>
  <si>
    <t>https://data.iowa.gov/</t>
  </si>
  <si>
    <t>https://data.maine.gov/</t>
  </si>
  <si>
    <t>https://data.md.gov/</t>
  </si>
  <si>
    <t>http://www.mass.gov/opendata/</t>
  </si>
  <si>
    <t>https://data.michigan.gov/</t>
  </si>
  <si>
    <t>http://www.state.mn.us/opendata/</t>
  </si>
  <si>
    <t>https://data.mo.gov/</t>
  </si>
  <si>
    <t>http://data.mt.gov/</t>
  </si>
  <si>
    <t>http://data.nh.gov/</t>
  </si>
  <si>
    <t>Kentucky claims copyright over nearly all of their datasets (with a copyright statement in the footer), despite that they almost certainly lack the legal authority to do so. Also, their open data site is really a late-'00s-style open finances site, not an open data repository in the modern sense.</t>
  </si>
  <si>
    <t>https://data.nj.gov/</t>
  </si>
  <si>
    <t>https://data.ny.gov/</t>
  </si>
  <si>
    <t>Census is inaccurate pending modification of the census software to allow scoring of the legislature. (It keeps its data on two separate sites, one for each chamber.)</t>
  </si>
  <si>
    <t>https://data.ok.gov/</t>
  </si>
  <si>
    <t>https://data.oregon.gov/</t>
  </si>
  <si>
    <t>https://data.pr.gov/</t>
  </si>
  <si>
    <t>http://www.ri.gov/data/</t>
  </si>
  <si>
    <t>https://www.tn.gov/transparenttn</t>
  </si>
  <si>
    <t>https://data.texas.gov/</t>
  </si>
  <si>
    <t>http://opendata.utah.gov/</t>
  </si>
  <si>
    <t>https://data.vermont.gov/</t>
  </si>
  <si>
    <t>https://data.wa.gov/</t>
  </si>
  <si>
    <t>http://opendata.dc.gov/</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</si>
</sst>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font>
    <font>
      <b/>
      <sz val="10.0"/>
    </font>
    <font>
      <b/>
    </font>
    <font>
      <sz val="10.0"/>
    </font>
    <font>
      <u/>
      <sz val="10.0"/>
      <color rgb="FF0000FF"/>
    </font>
    <font/>
    <font>
      <u/>
      <color rgb="FF000000"/>
      <name val="Helvetica"/>
    </font>
    <font>
      <u/>
      <sz val="10.0"/>
      <color rgb="FF0000FF"/>
    </font>
    <font>
      <u/>
      <color rgb="FF0000FF"/>
    </font>
    <font>
      <name val="Arial"/>
    </font>
    <font>
      <u/>
      <color rgb="FF1155CC"/>
      <name val="Arial"/>
    </font>
    <font>
      <color rgb="FF000000"/>
      <name val="Arial"/>
    </font>
    <font>
      <u/>
      <color rgb="FF0000FF"/>
    </font>
    <font>
      <sz val="11.0"/>
      <color rgb="FF000000"/>
      <name val="Inconsolata"/>
    </font>
    <font>
      <b/>
      <sz val="10.0"/>
      <color rgb="FF000000"/>
      <name val="Arial"/>
    </font>
  </fonts>
  <fills count="4">
    <fill>
      <patternFill patternType="none"/>
    </fill>
    <fill>
      <patternFill patternType="lightGray"/>
    </fill>
    <fill>
      <patternFill patternType="solid">
        <fgColor rgb="FFFFFFFF"/>
        <bgColor rgb="FFFFFFFF"/>
      </patternFill>
    </fill>
    <fill>
      <patternFill patternType="solid">
        <fgColor rgb="FFF9F9F9"/>
        <bgColor rgb="FFF9F9F9"/>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shrinkToFit="0" vertical="top" wrapText="0"/>
    </xf>
    <xf borderId="0" fillId="0" fontId="2" numFmtId="0" xfId="0" applyFont="1"/>
    <xf borderId="0" fillId="0" fontId="1" numFmtId="0" xfId="0" applyAlignment="1" applyFont="1">
      <alignment shrinkToFit="0" vertical="top" wrapText="1"/>
    </xf>
    <xf borderId="0" fillId="0" fontId="3" numFmtId="14" xfId="0" applyAlignment="1" applyFont="1" applyNumberForma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0"/>
    </xf>
    <xf borderId="0" fillId="0" fontId="3" numFmtId="0" xfId="0" applyAlignment="1" applyFont="1">
      <alignment shrinkToFit="0" vertical="top" wrapText="1"/>
    </xf>
    <xf borderId="0" fillId="0" fontId="3" numFmtId="0" xfId="0" applyAlignment="1" applyFont="1">
      <alignment shrinkToFit="0" vertical="top" wrapText="0"/>
    </xf>
    <xf borderId="0" fillId="0" fontId="4" numFmtId="0" xfId="0" applyAlignment="1" applyFont="1">
      <alignment readingOrder="0" shrinkToFit="0" vertical="top" wrapText="1"/>
    </xf>
    <xf borderId="0" fillId="0" fontId="3" numFmtId="14" xfId="0" applyAlignment="1" applyFont="1" applyNumberFormat="1">
      <alignment readingOrder="0" shrinkToFit="0" vertical="top" wrapText="0"/>
    </xf>
    <xf borderId="0" fillId="0" fontId="5" numFmtId="0" xfId="0" applyAlignment="1" applyFont="1">
      <alignment shrinkToFit="0" wrapText="0"/>
    </xf>
    <xf borderId="0" fillId="0" fontId="6" numFmtId="0" xfId="0" applyAlignment="1" applyFont="1">
      <alignment readingOrder="0" shrinkToFit="0" vertical="top" wrapText="0"/>
    </xf>
    <xf borderId="0" fillId="0" fontId="5" numFmtId="0" xfId="0" applyAlignment="1" applyFont="1">
      <alignment readingOrder="0" shrinkToFit="0" wrapText="0"/>
    </xf>
    <xf borderId="0" fillId="0" fontId="5" numFmtId="0" xfId="0" applyAlignment="1" applyFont="1">
      <alignment shrinkToFit="0" wrapText="0"/>
    </xf>
    <xf borderId="0" fillId="0" fontId="7" numFmtId="0" xfId="0" applyAlignment="1" applyFont="1">
      <alignment readingOrder="0" shrinkToFit="0" vertical="top" wrapText="0"/>
    </xf>
    <xf borderId="0" fillId="0" fontId="8" numFmtId="0" xfId="0" applyAlignment="1" applyFont="1">
      <alignment readingOrder="0" shrinkToFit="0" wrapText="0"/>
    </xf>
    <xf borderId="0" fillId="0" fontId="9" numFmtId="0" xfId="0" applyAlignment="1" applyFont="1">
      <alignment shrinkToFit="0" vertical="top" wrapText="0"/>
    </xf>
    <xf borderId="0" fillId="0" fontId="5" numFmtId="0" xfId="0" applyAlignment="1" applyFont="1">
      <alignment readingOrder="0"/>
    </xf>
    <xf borderId="0" fillId="0" fontId="9" numFmtId="0" xfId="0" applyAlignment="1" applyFont="1">
      <alignment vertical="top"/>
    </xf>
    <xf borderId="0" fillId="0" fontId="10" numFmtId="0" xfId="0" applyAlignment="1" applyFont="1">
      <alignment vertical="top"/>
    </xf>
    <xf borderId="0" fillId="0" fontId="9" numFmtId="0" xfId="0" applyAlignment="1" applyFont="1">
      <alignment shrinkToFit="0" vertical="top" wrapText="0"/>
    </xf>
    <xf borderId="0" fillId="2" fontId="11" numFmtId="0" xfId="0" applyAlignment="1" applyFill="1" applyFont="1">
      <alignment readingOrder="0"/>
    </xf>
    <xf borderId="0" fillId="2" fontId="11" numFmtId="0" xfId="0" applyAlignment="1" applyFont="1">
      <alignment horizontal="left" readingOrder="0"/>
    </xf>
    <xf borderId="0" fillId="0" fontId="5" numFmtId="0" xfId="0" applyFont="1"/>
    <xf borderId="0" fillId="0" fontId="12" numFmtId="0" xfId="0" applyAlignment="1" applyFont="1">
      <alignment readingOrder="0"/>
    </xf>
    <xf borderId="0" fillId="0" fontId="2" numFmtId="0" xfId="0" applyAlignment="1" applyFont="1">
      <alignment readingOrder="0"/>
    </xf>
    <xf borderId="0" fillId="2" fontId="13" numFmtId="0" xfId="0" applyAlignment="1" applyFont="1">
      <alignment horizontal="left"/>
    </xf>
    <xf borderId="0" fillId="3" fontId="14" numFmtId="0" xfId="0" applyAlignment="1" applyFill="1" applyFont="1">
      <alignment horizontal="left" readingOrder="0"/>
    </xf>
    <xf borderId="0" fillId="3" fontId="0"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s://data.colorado.gov/Demographics/Colorado-Population-Projections/q5vp-adf3" TargetMode="External"/><Relationship Id="rId190" Type="http://schemas.openxmlformats.org/officeDocument/2006/relationships/hyperlink" Target="https://www.nh.gov/transparentnh/where-the-money-goes/fiscal-yr-downloads.htm" TargetMode="External"/><Relationship Id="rId42" Type="http://schemas.openxmlformats.org/officeDocument/2006/relationships/hyperlink" Target="https://www.codot.gov/library/traffic/safety-crash-data/accident-rates-books-coding/crash-summary-books/2012-crash-book/view" TargetMode="External"/><Relationship Id="rId41" Type="http://schemas.openxmlformats.org/officeDocument/2006/relationships/hyperlink" Target="https://www.colorado.gov/pacific/cdphe/foodborne-illness-outbreaks" TargetMode="External"/><Relationship Id="rId44" Type="http://schemas.openxmlformats.org/officeDocument/2006/relationships/hyperlink" Target="https://data.ct.gov/dataset/State-of-CT-Open-Expenditures-Ledger/4b3c-3g3a" TargetMode="External"/><Relationship Id="rId194" Type="http://schemas.openxmlformats.org/officeDocument/2006/relationships/hyperlink" Target="https://www.nh.gov/oep/data-center/population-projections.htm" TargetMode="External"/><Relationship Id="rId43" Type="http://schemas.openxmlformats.org/officeDocument/2006/relationships/hyperlink" Target="https://data.ct.gov/dataset/Address-Points-Preliminary-File/35bv-xa6i" TargetMode="External"/><Relationship Id="rId193" Type="http://schemas.openxmlformats.org/officeDocument/2006/relationships/hyperlink" Target="http://www.gencourt.state.nh.us/downloads/" TargetMode="External"/><Relationship Id="rId46" Type="http://schemas.openxmlformats.org/officeDocument/2006/relationships/hyperlink" Target="https://data.ct.gov/Public-Safety/Correctional-Facility-Daily-Population-Count-By-Fa/n8x6-s299" TargetMode="External"/><Relationship Id="rId192" Type="http://schemas.openxmlformats.org/officeDocument/2006/relationships/hyperlink" Target="https://www.nh.gov/nhdoc/divisions/publicinformation/" TargetMode="External"/><Relationship Id="rId45" Type="http://schemas.openxmlformats.org/officeDocument/2006/relationships/hyperlink" Target="http://www.concord-sots.ct.gov/CONCORD/" TargetMode="External"/><Relationship Id="rId191" Type="http://schemas.openxmlformats.org/officeDocument/2006/relationships/hyperlink" Target="https://www.sos.nh.gov/corporate/soskb/csearch.asp" TargetMode="External"/><Relationship Id="rId48" Type="http://schemas.openxmlformats.org/officeDocument/2006/relationships/hyperlink" Target="https://data.ct.gov/Government/Connecticut-Town-Population-Projections-2015-2025/mze8-865g" TargetMode="External"/><Relationship Id="rId187" Type="http://schemas.openxmlformats.org/officeDocument/2006/relationships/hyperlink" Target="http://nvdemography.org/data-and-publications/" TargetMode="External"/><Relationship Id="rId47" Type="http://schemas.openxmlformats.org/officeDocument/2006/relationships/hyperlink" Target="https://www.cga.ct.gov/asp/menu/legdownload.asp" TargetMode="External"/><Relationship Id="rId186" Type="http://schemas.openxmlformats.org/officeDocument/2006/relationships/hyperlink" Target="https://www.leg.state.nv.us/" TargetMode="External"/><Relationship Id="rId185" Type="http://schemas.openxmlformats.org/officeDocument/2006/relationships/hyperlink" Target="http://doc.nv.gov/About/Statistics/Monthly_Reports_by_Year/Monthly_Reports_by_Year/" TargetMode="External"/><Relationship Id="rId49" Type="http://schemas.openxmlformats.org/officeDocument/2006/relationships/hyperlink" Target="https://data.ct.gov/Government/State-Owned-Buildings/r8ci-yhcn" TargetMode="External"/><Relationship Id="rId184" Type="http://schemas.openxmlformats.org/officeDocument/2006/relationships/hyperlink" Target="https://nvsos.gov/SOSWebAccountManager/login.aspx?timeout=true&amp;ReturnURL=https%3a%2f%2fnvsos.gov%2fSOSServices%2fDataDownload%2fYourReports.aspx" TargetMode="External"/><Relationship Id="rId189" Type="http://schemas.openxmlformats.org/officeDocument/2006/relationships/hyperlink" Target="http://granitweb.sr.unh.edu:6080/arcgis/rest/services/MapServices/Parcels/MapServer/0" TargetMode="External"/><Relationship Id="rId188" Type="http://schemas.openxmlformats.org/officeDocument/2006/relationships/hyperlink" Target="http://lands.nv.gov/program/landoffice.htm" TargetMode="External"/><Relationship Id="rId31" Type="http://schemas.openxmlformats.org/officeDocument/2006/relationships/hyperlink" Target="http://www.dof.ca.gov/research/demographic/reports/projections/" TargetMode="External"/><Relationship Id="rId30" Type="http://schemas.openxmlformats.org/officeDocument/2006/relationships/hyperlink" Target="ftp://www.leginfo.ca.gov/pub/" TargetMode="External"/><Relationship Id="rId33" Type="http://schemas.openxmlformats.org/officeDocument/2006/relationships/hyperlink" Target="http://www.ca.gov/OnlineServices/OS_Consumers_inspections.html" TargetMode="External"/><Relationship Id="rId183" Type="http://schemas.openxmlformats.org/officeDocument/2006/relationships/hyperlink" Target="http://openbudget.nv.gov/OpenGov/ViewActualSummary.aep" TargetMode="External"/><Relationship Id="rId32" Type="http://schemas.openxmlformats.org/officeDocument/2006/relationships/hyperlink" Target="http://www.spi.dgs.ca.gov/wscripts/spi.asp?action=Main" TargetMode="External"/><Relationship Id="rId182" Type="http://schemas.openxmlformats.org/officeDocument/2006/relationships/hyperlink" Target="http://www.roads.nebraska.gov/safety/crash/" TargetMode="External"/><Relationship Id="rId35" Type="http://schemas.openxmlformats.org/officeDocument/2006/relationships/hyperlink" Target="https://data.colorado.gov/Transportation/2015-Colorado-Address-Layer-Public-/n7je-akky" TargetMode="External"/><Relationship Id="rId181" Type="http://schemas.openxmlformats.org/officeDocument/2006/relationships/hyperlink" Target="http://www.neded.org/files/research/stathand/bsect12.htm" TargetMode="External"/><Relationship Id="rId34" Type="http://schemas.openxmlformats.org/officeDocument/2006/relationships/hyperlink" Target="http://www.ots.ca.gov/Media_and_Research/Data_and_Statistics.asp" TargetMode="External"/><Relationship Id="rId180" Type="http://schemas.openxmlformats.org/officeDocument/2006/relationships/hyperlink" Target="http://nebraskalegislature.gov/" TargetMode="External"/><Relationship Id="rId37" Type="http://schemas.openxmlformats.org/officeDocument/2006/relationships/hyperlink" Target="https://data.colorado.gov/Business/Colorado-Business-Entities/4ykn-tg5h" TargetMode="External"/><Relationship Id="rId176" Type="http://schemas.openxmlformats.org/officeDocument/2006/relationships/hyperlink" Target="ftp://ftp.geoinfo.msl.mt.gov/Data/Spatial/MSDI/Cadastral/PublicLands/" TargetMode="External"/><Relationship Id="rId297" Type="http://schemas.openxmlformats.org/officeDocument/2006/relationships/hyperlink" Target="http://www.legis.state.tx.us/billlookup/filedownloads.aspx" TargetMode="External"/><Relationship Id="rId36" Type="http://schemas.openxmlformats.org/officeDocument/2006/relationships/hyperlink" Target="https://www.colorado.gov/apps/oit/transparency/" TargetMode="External"/><Relationship Id="rId175" Type="http://schemas.openxmlformats.org/officeDocument/2006/relationships/hyperlink" Target="http://ceic.mt.gov/Population/PopProjections_StateTotalsPage.aspx" TargetMode="External"/><Relationship Id="rId296" Type="http://schemas.openxmlformats.org/officeDocument/2006/relationships/hyperlink" Target="http://www.tdcj.texas.gov/documents/High_Value_Data_Sets.xlsx" TargetMode="External"/><Relationship Id="rId39" Type="http://schemas.openxmlformats.org/officeDocument/2006/relationships/hyperlink" Target="http://www.leg.state.co.us/" TargetMode="External"/><Relationship Id="rId174" Type="http://schemas.openxmlformats.org/officeDocument/2006/relationships/hyperlink" Target="http://leg.mt.gov/" TargetMode="External"/><Relationship Id="rId295" Type="http://schemas.openxmlformats.org/officeDocument/2006/relationships/hyperlink" Target="http://www.sos.state.tx.us/corp/sosda/index.shtml" TargetMode="External"/><Relationship Id="rId38" Type="http://schemas.openxmlformats.org/officeDocument/2006/relationships/hyperlink" Target="https://www.colorado.gov/pacific/dcj-ors/ors-corrpops" TargetMode="External"/><Relationship Id="rId173" Type="http://schemas.openxmlformats.org/officeDocument/2006/relationships/hyperlink" Target="http://cor.mt.gov/Portals/104/Resources/Reports/daily.pdf" TargetMode="External"/><Relationship Id="rId294" Type="http://schemas.openxmlformats.org/officeDocument/2006/relationships/hyperlink" Target="http://www.texastransparency.org/Data_Center/Search_Datasets.php" TargetMode="External"/><Relationship Id="rId179" Type="http://schemas.openxmlformats.org/officeDocument/2006/relationships/hyperlink" Target="http://www.corrections.nebraska.gov/news.html" TargetMode="External"/><Relationship Id="rId178" Type="http://schemas.openxmlformats.org/officeDocument/2006/relationships/hyperlink" Target="https://www.nebraska.gov/SpecialRequestSearches/" TargetMode="External"/><Relationship Id="rId299" Type="http://schemas.openxmlformats.org/officeDocument/2006/relationships/hyperlink" Target="http://www.glo.texas.gov/what-we-do/state-lands/state-land-reports/index.html" TargetMode="External"/><Relationship Id="rId177" Type="http://schemas.openxmlformats.org/officeDocument/2006/relationships/hyperlink" Target="http://www.mdt.mt.gov/publications/datastats/crashdata.shtml" TargetMode="External"/><Relationship Id="rId298" Type="http://schemas.openxmlformats.org/officeDocument/2006/relationships/hyperlink" Target="http://txsdc.utsa.edu/data/TPEPP/Projections/Index.aspx" TargetMode="External"/><Relationship Id="rId20" Type="http://schemas.openxmlformats.org/officeDocument/2006/relationships/hyperlink" Target="https://population.az.gov/" TargetMode="External"/><Relationship Id="rId22" Type="http://schemas.openxmlformats.org/officeDocument/2006/relationships/hyperlink" Target="http://gis.arkansas.gov/?product=situs-address-points" TargetMode="External"/><Relationship Id="rId21" Type="http://schemas.openxmlformats.org/officeDocument/2006/relationships/hyperlink" Target="http://azdot.gov/mvd/Statistics/arizona-motor-vehicle-crash-facts" TargetMode="External"/><Relationship Id="rId24" Type="http://schemas.openxmlformats.org/officeDocument/2006/relationships/hyperlink" Target="https://www.ark.org/sos/special/index.php" TargetMode="External"/><Relationship Id="rId23" Type="http://schemas.openxmlformats.org/officeDocument/2006/relationships/hyperlink" Target="https://www.ark.org/dfa/transparency/expenditures.php" TargetMode="External"/><Relationship Id="rId26" Type="http://schemas.openxmlformats.org/officeDocument/2006/relationships/hyperlink" Target="http://iea.ualr.edu/population-estimates-a-projections.html" TargetMode="External"/><Relationship Id="rId25" Type="http://schemas.openxmlformats.org/officeDocument/2006/relationships/hyperlink" Target="http://www.arkleg.state.ar.us/" TargetMode="External"/><Relationship Id="rId28" Type="http://schemas.openxmlformats.org/officeDocument/2006/relationships/hyperlink" Target="http://kepler.sos.ca.gov/" TargetMode="External"/><Relationship Id="rId27" Type="http://schemas.openxmlformats.org/officeDocument/2006/relationships/hyperlink" Target="http://asp.ark.org/services-and-programs/detail/highway-safety-office" TargetMode="External"/><Relationship Id="rId29" Type="http://schemas.openxmlformats.org/officeDocument/2006/relationships/hyperlink" Target="http://www.cdcr.ca.gov/Reports_Research/Offender_Information_Services_Branch/Offender_Information_Reports.html" TargetMode="External"/><Relationship Id="rId11" Type="http://schemas.openxmlformats.org/officeDocument/2006/relationships/hyperlink" Target="http://www.correct.state.ak.us/administrative-services/research-records" TargetMode="External"/><Relationship Id="rId10" Type="http://schemas.openxmlformats.org/officeDocument/2006/relationships/hyperlink" Target="https://www.commerce.alaska.gov/cbp/Main/CBPLSearch.aspx?mode=Corp" TargetMode="External"/><Relationship Id="rId13" Type="http://schemas.openxmlformats.org/officeDocument/2006/relationships/hyperlink" Target="http://labor.alaska.gov/research/pop/popproj.htm" TargetMode="External"/><Relationship Id="rId12" Type="http://schemas.openxmlformats.org/officeDocument/2006/relationships/hyperlink" Target="http://www.legis.state.ak.us/" TargetMode="External"/><Relationship Id="rId15" Type="http://schemas.openxmlformats.org/officeDocument/2006/relationships/hyperlink" Target="http://www.dot.alaska.gov/stwdplng/transdata/crash.shtml" TargetMode="External"/><Relationship Id="rId198" Type="http://schemas.openxmlformats.org/officeDocument/2006/relationships/hyperlink" Target="http://www.state.nj.us/corrections/pages/offender_stats.html" TargetMode="External"/><Relationship Id="rId14" Type="http://schemas.openxmlformats.org/officeDocument/2006/relationships/hyperlink" Target="http://ak.healthinspections.us/alaska/" TargetMode="External"/><Relationship Id="rId197" Type="http://schemas.openxmlformats.org/officeDocument/2006/relationships/hyperlink" Target="https://www.njportal.com/dor/businessrecords/" TargetMode="External"/><Relationship Id="rId17" Type="http://schemas.openxmlformats.org/officeDocument/2006/relationships/hyperlink" Target="http://ecorp.azcc.gov/" TargetMode="External"/><Relationship Id="rId196" Type="http://schemas.openxmlformats.org/officeDocument/2006/relationships/hyperlink" Target="http://www.yourmoney.nj.gov/transparency/expenditures/" TargetMode="External"/><Relationship Id="rId16" Type="http://schemas.openxmlformats.org/officeDocument/2006/relationships/hyperlink" Target="http://www.azcheckbook.com/" TargetMode="External"/><Relationship Id="rId195" Type="http://schemas.openxmlformats.org/officeDocument/2006/relationships/hyperlink" Target="http://www.dhhs.nh.gov/dphs/fp/inspectionresults.htm" TargetMode="External"/><Relationship Id="rId19" Type="http://schemas.openxmlformats.org/officeDocument/2006/relationships/hyperlink" Target="http://www.azleg.gov/" TargetMode="External"/><Relationship Id="rId18" Type="http://schemas.openxmlformats.org/officeDocument/2006/relationships/hyperlink" Target="https://corrections.az.gov/node/452" TargetMode="External"/><Relationship Id="rId199" Type="http://schemas.openxmlformats.org/officeDocument/2006/relationships/hyperlink" Target="http://www.njleg.state.nj.us/downloads.asp" TargetMode="External"/><Relationship Id="rId84" Type="http://schemas.openxmlformats.org/officeDocument/2006/relationships/hyperlink" Target="http://www2.illinoisbiz.biz/popProj/" TargetMode="External"/><Relationship Id="rId83" Type="http://schemas.openxmlformats.org/officeDocument/2006/relationships/hyperlink" Target="http://ilga.gov/legislation/" TargetMode="External"/><Relationship Id="rId86" Type="http://schemas.openxmlformats.org/officeDocument/2006/relationships/hyperlink" Target="http://maps.indiana.edu/previewMaps/Infrastructure/Streets_Address_Points_IDHS.html" TargetMode="External"/><Relationship Id="rId85" Type="http://schemas.openxmlformats.org/officeDocument/2006/relationships/hyperlink" Target="http://www.idot.illinois.gov/transportation-system/safety/Illinois-Roadway-Crash-Data" TargetMode="External"/><Relationship Id="rId88" Type="http://schemas.openxmlformats.org/officeDocument/2006/relationships/hyperlink" Target="http://www.in.gov/sos/business/2439.htm" TargetMode="External"/><Relationship Id="rId150" Type="http://schemas.openxmlformats.org/officeDocument/2006/relationships/hyperlink" Target="http://www.michigantrafficcrashfacts.org/" TargetMode="External"/><Relationship Id="rId271" Type="http://schemas.openxmlformats.org/officeDocument/2006/relationships/hyperlink" Target="http://ri.healthinspections.us/RI_EH/" TargetMode="External"/><Relationship Id="rId87" Type="http://schemas.openxmlformats.org/officeDocument/2006/relationships/hyperlink" Target="http://www.in.gov/itp/2453.htm" TargetMode="External"/><Relationship Id="rId270" Type="http://schemas.openxmlformats.org/officeDocument/2006/relationships/hyperlink" Target="http://www.planning.ri.gov/geodeminfo/data/popprojections.php" TargetMode="External"/><Relationship Id="rId89" Type="http://schemas.openxmlformats.org/officeDocument/2006/relationships/hyperlink" Target="http://www.in.gov/idoc/2376.htm" TargetMode="External"/><Relationship Id="rId80" Type="http://schemas.openxmlformats.org/officeDocument/2006/relationships/hyperlink" Target="http://www.accountability.illinois.gov/" TargetMode="External"/><Relationship Id="rId82" Type="http://schemas.openxmlformats.org/officeDocument/2006/relationships/hyperlink" Target="http://www2.illinois.gov/idoc/reportsandstatistics/Pages/default.aspx" TargetMode="External"/><Relationship Id="rId81" Type="http://schemas.openxmlformats.org/officeDocument/2006/relationships/hyperlink" Target="http://www.cyberdriveillinois.com/departments/business_services/home.html" TargetMode="External"/><Relationship Id="rId1" Type="http://schemas.openxmlformats.org/officeDocument/2006/relationships/hyperlink" Target="http://open.alabama.gov/spending_checkbook.aspx" TargetMode="External"/><Relationship Id="rId2" Type="http://schemas.openxmlformats.org/officeDocument/2006/relationships/hyperlink" Target="http://arc-sos.state.al.us/CGI/CORPNAME.MBR/INPUT" TargetMode="External"/><Relationship Id="rId3" Type="http://schemas.openxmlformats.org/officeDocument/2006/relationships/hyperlink" Target="http://www.doc.state.al.us/StatReports.aspx" TargetMode="External"/><Relationship Id="rId149" Type="http://schemas.openxmlformats.org/officeDocument/2006/relationships/hyperlink" Target="http://www.michigan.gov/cgi/0,4548,7-158-54534_51713_51716-116118--,00.html" TargetMode="External"/><Relationship Id="rId4" Type="http://schemas.openxmlformats.org/officeDocument/2006/relationships/hyperlink" Target="http://www.legislature.state.al.us/" TargetMode="External"/><Relationship Id="rId148" Type="http://schemas.openxmlformats.org/officeDocument/2006/relationships/hyperlink" Target="https://www.legislature.mi.gov/" TargetMode="External"/><Relationship Id="rId269" Type="http://schemas.openxmlformats.org/officeDocument/2006/relationships/hyperlink" Target="http://www.rilin.state.ri.us/" TargetMode="External"/><Relationship Id="rId9" Type="http://schemas.openxmlformats.org/officeDocument/2006/relationships/hyperlink" Target="http://doa.alaska.gov/dof/reports/ckbkonline_reports.html" TargetMode="External"/><Relationship Id="rId143" Type="http://schemas.openxmlformats.org/officeDocument/2006/relationships/hyperlink" Target="http://www.mass.gov/eohhs/gov/departments/dph/programs/environmental-health/food-safety/" TargetMode="External"/><Relationship Id="rId264" Type="http://schemas.openxmlformats.org/officeDocument/2006/relationships/hyperlink" Target="https://data.pr.gov/en/Desarrollo-e-Infraestructura/AEP/sw8z-xj2x" TargetMode="External"/><Relationship Id="rId142" Type="http://schemas.openxmlformats.org/officeDocument/2006/relationships/hyperlink" Target="http://www.mass.gov/anf/property-mgmt-and-construction/sale-and-lease-of-state-assets/comprehensive-real-estate-serv/massets-reports.html" TargetMode="External"/><Relationship Id="rId263" Type="http://schemas.openxmlformats.org/officeDocument/2006/relationships/hyperlink" Target="http://www.jp.pr.gov/Portal_JP/Default.aspx?tabid=120" TargetMode="External"/><Relationship Id="rId141" Type="http://schemas.openxmlformats.org/officeDocument/2006/relationships/hyperlink" Target="http://pep.donahue-institute.org/" TargetMode="External"/><Relationship Id="rId262" Type="http://schemas.openxmlformats.org/officeDocument/2006/relationships/hyperlink" Target="http://www.oslpr.org/" TargetMode="External"/><Relationship Id="rId140" Type="http://schemas.openxmlformats.org/officeDocument/2006/relationships/hyperlink" Target="https://malegislature.gov/" TargetMode="External"/><Relationship Id="rId261" Type="http://schemas.openxmlformats.org/officeDocument/2006/relationships/hyperlink" Target="https://data.pr.gov/en/Negocios-y-Corporaciones-/Extract-Data-Con-Censo-P-blico-y-Estatus-Activo/i6jc-4sg3" TargetMode="External"/><Relationship Id="rId5" Type="http://schemas.openxmlformats.org/officeDocument/2006/relationships/hyperlink" Target="http://cber.cba.ua.edu/edata/est_prj.html" TargetMode="External"/><Relationship Id="rId147" Type="http://schemas.openxmlformats.org/officeDocument/2006/relationships/hyperlink" Target="https://www.michigan.gov/corrections/0,4551,7-119-1441---,00.html" TargetMode="External"/><Relationship Id="rId268" Type="http://schemas.openxmlformats.org/officeDocument/2006/relationships/hyperlink" Target="http://www.doc.ri.gov/administration/planning/statistics_reports.php" TargetMode="External"/><Relationship Id="rId6" Type="http://schemas.openxmlformats.org/officeDocument/2006/relationships/hyperlink" Target="http://open.alabama.gov/state_properties.aspx" TargetMode="External"/><Relationship Id="rId146" Type="http://schemas.openxmlformats.org/officeDocument/2006/relationships/hyperlink" Target="http://www.dleg.state.mi.us/bcs_corp/sr_corp.asp" TargetMode="External"/><Relationship Id="rId267" Type="http://schemas.openxmlformats.org/officeDocument/2006/relationships/hyperlink" Target="http://ucc.state.ri.us/CorpSearch/CorpSearchInput.asp" TargetMode="External"/><Relationship Id="rId7" Type="http://schemas.openxmlformats.org/officeDocument/2006/relationships/hyperlink" Target="http://foodscores.state.al.us/" TargetMode="External"/><Relationship Id="rId145" Type="http://schemas.openxmlformats.org/officeDocument/2006/relationships/hyperlink" Target="https://transparency.michigan.gov/dataset/Open-Payments-Dataset-Updated/cm42-4y6t" TargetMode="External"/><Relationship Id="rId266" Type="http://schemas.openxmlformats.org/officeDocument/2006/relationships/hyperlink" Target="http://www.ri.gov/opengovernment/browse" TargetMode="External"/><Relationship Id="rId8" Type="http://schemas.openxmlformats.org/officeDocument/2006/relationships/hyperlink" Target="http://www.dot.state.al.us/mcrweb/frm/Crash_Facts.pdf" TargetMode="External"/><Relationship Id="rId144" Type="http://schemas.openxmlformats.org/officeDocument/2006/relationships/hyperlink" Target="http://services.massdot.state.ma.us/crashportal/" TargetMode="External"/><Relationship Id="rId265" Type="http://schemas.openxmlformats.org/officeDocument/2006/relationships/hyperlink" Target="http://www.edc.uri.edu/rigis/data/data.aspx?ISO=structure" TargetMode="External"/><Relationship Id="rId73" Type="http://schemas.openxmlformats.org/officeDocument/2006/relationships/hyperlink" Target="https://hbe.ehawaii.gov/listbuilder/" TargetMode="External"/><Relationship Id="rId72" Type="http://schemas.openxmlformats.org/officeDocument/2006/relationships/hyperlink" Target="https://data.hawaii.gov/dataset/Expenditures/snda-zbsg" TargetMode="External"/><Relationship Id="rId75" Type="http://schemas.openxmlformats.org/officeDocument/2006/relationships/hyperlink" Target="http://www.capitol.hawaii.gov/" TargetMode="External"/><Relationship Id="rId74" Type="http://schemas.openxmlformats.org/officeDocument/2006/relationships/hyperlink" Target="http://dps.hawaii.gov/about/divisions/corrections/" TargetMode="External"/><Relationship Id="rId77" Type="http://schemas.openxmlformats.org/officeDocument/2006/relationships/hyperlink" Target="http://transparent.idaho.gov/Pages/transhome.aspx" TargetMode="External"/><Relationship Id="rId260" Type="http://schemas.openxmlformats.org/officeDocument/2006/relationships/hyperlink" Target="https://data.pr.gov/en/Desarrollo-e-Infraestructura/Direcciones-Estandarizadas-Bay-Car-SJ/h9md-ic24" TargetMode="External"/><Relationship Id="rId76" Type="http://schemas.openxmlformats.org/officeDocument/2006/relationships/hyperlink" Target="http://dbedt.hawaii.gov/economic/databook/2012-individual/_01/" TargetMode="External"/><Relationship Id="rId79" Type="http://schemas.openxmlformats.org/officeDocument/2006/relationships/hyperlink" Target="https://legislature.idaho.gov/" TargetMode="External"/><Relationship Id="rId78" Type="http://schemas.openxmlformats.org/officeDocument/2006/relationships/hyperlink" Target="https://www.accessidaho.org/public/sos/corp/search.html" TargetMode="External"/><Relationship Id="rId71" Type="http://schemas.openxmlformats.org/officeDocument/2006/relationships/hyperlink" Target="http://www.gahighwaysafety.org/research/" TargetMode="External"/><Relationship Id="rId70" Type="http://schemas.openxmlformats.org/officeDocument/2006/relationships/hyperlink" Target="https://dph.georgia.gov/environmental-health-inspections" TargetMode="External"/><Relationship Id="rId139" Type="http://schemas.openxmlformats.org/officeDocument/2006/relationships/hyperlink" Target="http://www.mass.gov/eopss/law-enforce-and-cj/prisons/rsch-data/prison-population-trends.html" TargetMode="External"/><Relationship Id="rId138" Type="http://schemas.openxmlformats.org/officeDocument/2006/relationships/hyperlink" Target="http://www.sec.state.ma.us/cor/" TargetMode="External"/><Relationship Id="rId259" Type="http://schemas.openxmlformats.org/officeDocument/2006/relationships/hyperlink" Target="https://www.dotcrashinfo.pa.gov/" TargetMode="External"/><Relationship Id="rId137" Type="http://schemas.openxmlformats.org/officeDocument/2006/relationships/hyperlink" Target="http://opencheckbook.itd.state.ma.us/analytics/saw.dll?Go&amp;Path=%2Fshared%2FTransparency%2FOpen%20Checkbook%2FPayments%2FReports%2FPayments%20-%20R%20-%20Mass%20Download" TargetMode="External"/><Relationship Id="rId258" Type="http://schemas.openxmlformats.org/officeDocument/2006/relationships/hyperlink" Target="https://www.pafoodsafety.state.pa.us/web/inspection/publicinspectionsearch.aspx" TargetMode="External"/><Relationship Id="rId132" Type="http://schemas.openxmlformats.org/officeDocument/2006/relationships/hyperlink" Target="http://doc.mo.gov/Sunshine_Law/" TargetMode="External"/><Relationship Id="rId253" Type="http://schemas.openxmlformats.org/officeDocument/2006/relationships/hyperlink" Target="http://www.dos.pa.gov/BusinessCharities/Business/Pages/default.aspx" TargetMode="External"/><Relationship Id="rId131" Type="http://schemas.openxmlformats.org/officeDocument/2006/relationships/hyperlink" Target="http://specprint.com/state_prc.htm" TargetMode="External"/><Relationship Id="rId252" Type="http://schemas.openxmlformats.org/officeDocument/2006/relationships/hyperlink" Target="http://www.pennwatch.pa.gov/spending/" TargetMode="External"/><Relationship Id="rId130" Type="http://schemas.openxmlformats.org/officeDocument/2006/relationships/hyperlink" Target="https://data.maryland.gov/Budget/State-of-Maryland-Payments-Data-FY2008-to-FY2015/gja3-vy5r" TargetMode="External"/><Relationship Id="rId251" Type="http://schemas.openxmlformats.org/officeDocument/2006/relationships/hyperlink" Target="https://www.oregon.gov/ODOT/TD/TDATA/pages/car/CAR_Publications.aspx" TargetMode="External"/><Relationship Id="rId250" Type="http://schemas.openxmlformats.org/officeDocument/2006/relationships/hyperlink" Target="https://data.oregon.gov/dataset/Oregon-State-Owned-Leased-Buildings/2q2s-w8ry" TargetMode="External"/><Relationship Id="rId136" Type="http://schemas.openxmlformats.org/officeDocument/2006/relationships/hyperlink" Target="http://www.mass.gov/anf/research-and-tech/it-serv-and-support/application-serv/office-of-geographic-information-massgis/datalayers/download-level3-parcels.html" TargetMode="External"/><Relationship Id="rId257" Type="http://schemas.openxmlformats.org/officeDocument/2006/relationships/hyperlink" Target="https://www.portal.state.pa.us/portal/server.pt/community/real_estate/1346" TargetMode="External"/><Relationship Id="rId135" Type="http://schemas.openxmlformats.org/officeDocument/2006/relationships/hyperlink" Target="http://www.mva.maryland.gov/safety/mhso/Maryland-Traffic-Safety-Data.htm" TargetMode="External"/><Relationship Id="rId256" Type="http://schemas.openxmlformats.org/officeDocument/2006/relationships/hyperlink" Target="http://pasdc.hbg.psu.edu/Data/Projections/tabid/1013/Default.aspx" TargetMode="External"/><Relationship Id="rId134" Type="http://schemas.openxmlformats.org/officeDocument/2006/relationships/hyperlink" Target="https://data.maryland.gov/Planning/Maryland-Historical-and-Projected-Population-by-Ju/nnwx-dpqi" TargetMode="External"/><Relationship Id="rId255" Type="http://schemas.openxmlformats.org/officeDocument/2006/relationships/hyperlink" Target="http://www.legis.state.pa.us/" TargetMode="External"/><Relationship Id="rId133" Type="http://schemas.openxmlformats.org/officeDocument/2006/relationships/hyperlink" Target="http://mgaleg.maryland.gov/webmga/frm1st.aspx?tab=home&amp;poptype=tracking&amp;popid=legisdata" TargetMode="External"/><Relationship Id="rId254" Type="http://schemas.openxmlformats.org/officeDocument/2006/relationships/hyperlink" Target="http://www.cor.pa.gov/Administration/Statistics/Documents/current%20monthly%20population.pdf" TargetMode="External"/><Relationship Id="rId62" Type="http://schemas.openxmlformats.org/officeDocument/2006/relationships/hyperlink" Target="http://www.dms.myflorida.com/business_operations/real_estate_development_and_management/facilities_management/florida_state_owned_lands_and_records_information_system_fl_solaris" TargetMode="External"/><Relationship Id="rId61" Type="http://schemas.openxmlformats.org/officeDocument/2006/relationships/hyperlink" Target="http://edr.state.fl.us/Content/population-demographics/data/" TargetMode="External"/><Relationship Id="rId64" Type="http://schemas.openxmlformats.org/officeDocument/2006/relationships/hyperlink" Target="http://www.flhsmv.gov/resource-center/crash-citation-reports/" TargetMode="External"/><Relationship Id="rId63" Type="http://schemas.openxmlformats.org/officeDocument/2006/relationships/hyperlink" Target="http://www.floridahealth.gov///statistics-and-data/eh-tracking-and-reporting/food-hygiene.html" TargetMode="External"/><Relationship Id="rId66" Type="http://schemas.openxmlformats.org/officeDocument/2006/relationships/hyperlink" Target="http://gta.georgia.gov/bulk-corporations-data" TargetMode="External"/><Relationship Id="rId172" Type="http://schemas.openxmlformats.org/officeDocument/2006/relationships/hyperlink" Target="https://app.mt.gov/corprecords/" TargetMode="External"/><Relationship Id="rId293" Type="http://schemas.openxmlformats.org/officeDocument/2006/relationships/hyperlink" Target="https://www.tn.gov/safety/article/crashdata" TargetMode="External"/><Relationship Id="rId65" Type="http://schemas.openxmlformats.org/officeDocument/2006/relationships/hyperlink" Target="http://www.open.georgia.gov/psa/poSearch.aud" TargetMode="External"/><Relationship Id="rId171" Type="http://schemas.openxmlformats.org/officeDocument/2006/relationships/hyperlink" Target="https://data.datamontana.us/Financial/Montana-s-Checkbook-Accounts-Payable-Payments/d7uw-2snd" TargetMode="External"/><Relationship Id="rId292" Type="http://schemas.openxmlformats.org/officeDocument/2006/relationships/hyperlink" Target="https://apps.health.tn.gov/EHInspections/" TargetMode="External"/><Relationship Id="rId68" Type="http://schemas.openxmlformats.org/officeDocument/2006/relationships/hyperlink" Target="https://opb.georgia.gov/population-projections" TargetMode="External"/><Relationship Id="rId170" Type="http://schemas.openxmlformats.org/officeDocument/2006/relationships/hyperlink" Target="http://geoinfo.msl.mt.gov/home/msdi/structures_and_addresses.aspx" TargetMode="External"/><Relationship Id="rId291" Type="http://schemas.openxmlformats.org/officeDocument/2006/relationships/hyperlink" Target="http://tn.gov/health/article/statistics-population" TargetMode="External"/><Relationship Id="rId67" Type="http://schemas.openxmlformats.org/officeDocument/2006/relationships/hyperlink" Target="http://www.legis.ga.gov/" TargetMode="External"/><Relationship Id="rId290" Type="http://schemas.openxmlformats.org/officeDocument/2006/relationships/hyperlink" Target="http://www.capitol.tn.gov/" TargetMode="External"/><Relationship Id="rId60" Type="http://schemas.openxmlformats.org/officeDocument/2006/relationships/hyperlink" Target="http://www.leg.state.fl.us/" TargetMode="External"/><Relationship Id="rId165" Type="http://schemas.openxmlformats.org/officeDocument/2006/relationships/hyperlink" Target="https://bsd.sos.mo.gov/BusinessEntity/BESearch.aspx" TargetMode="External"/><Relationship Id="rId286" Type="http://schemas.openxmlformats.org/officeDocument/2006/relationships/hyperlink" Target="http://safesd.gov/raw-data.html" TargetMode="External"/><Relationship Id="rId69" Type="http://schemas.openxmlformats.org/officeDocument/2006/relationships/hyperlink" Target="http://gspc.georgia.gov/" TargetMode="External"/><Relationship Id="rId164" Type="http://schemas.openxmlformats.org/officeDocument/2006/relationships/hyperlink" Target="https://data.mo.gov/browse?limitTo=datasets&amp;q=state%20expenditures" TargetMode="External"/><Relationship Id="rId285" Type="http://schemas.openxmlformats.org/officeDocument/2006/relationships/hyperlink" Target="https://doh.sd.gov/food/restaurants-lodging/inspection-scores.aspx" TargetMode="External"/><Relationship Id="rId163" Type="http://schemas.openxmlformats.org/officeDocument/2006/relationships/hyperlink" Target="http://msdh.ms.gov/apps/abc/" TargetMode="External"/><Relationship Id="rId284" Type="http://schemas.openxmlformats.org/officeDocument/2006/relationships/hyperlink" Target="http://legis.sd.gov/" TargetMode="External"/><Relationship Id="rId162" Type="http://schemas.openxmlformats.org/officeDocument/2006/relationships/hyperlink" Target="http://www.ihl.state.ms.us/urc/publications.asp" TargetMode="External"/><Relationship Id="rId283" Type="http://schemas.openxmlformats.org/officeDocument/2006/relationships/hyperlink" Target="https://doc.sd.gov/about/stats/" TargetMode="External"/><Relationship Id="rId169" Type="http://schemas.openxmlformats.org/officeDocument/2006/relationships/hyperlink" Target="https://www.mshp.dps.missouri.gov/HP68/search.jsp" TargetMode="External"/><Relationship Id="rId168" Type="http://schemas.openxmlformats.org/officeDocument/2006/relationships/hyperlink" Target="https://oa.mo.gov/budget-planning/demographic-information/population-projections" TargetMode="External"/><Relationship Id="rId289" Type="http://schemas.openxmlformats.org/officeDocument/2006/relationships/hyperlink" Target="https://www.tn.gov/correction/section/tdoc-statistics" TargetMode="External"/><Relationship Id="rId167" Type="http://schemas.openxmlformats.org/officeDocument/2006/relationships/hyperlink" Target="http://www.moga.mo.gov/" TargetMode="External"/><Relationship Id="rId288" Type="http://schemas.openxmlformats.org/officeDocument/2006/relationships/hyperlink" Target="https://tnbear.tn.gov/ecommerce/DBDownloadWizard.aspx" TargetMode="External"/><Relationship Id="rId166" Type="http://schemas.openxmlformats.org/officeDocument/2006/relationships/hyperlink" Target="http://doc.mo.gov/Sunshine_Law/" TargetMode="External"/><Relationship Id="rId287" Type="http://schemas.openxmlformats.org/officeDocument/2006/relationships/hyperlink" Target="http://www.tn.gov/transparenttn/section/state-financial-overview" TargetMode="External"/><Relationship Id="rId51" Type="http://schemas.openxmlformats.org/officeDocument/2006/relationships/hyperlink" Target="http://www.ctcrash.uconn.edu/" TargetMode="External"/><Relationship Id="rId50" Type="http://schemas.openxmlformats.org/officeDocument/2006/relationships/hyperlink" Target="http://opendatact.github.io/ct_restaurant_inspections/" TargetMode="External"/><Relationship Id="rId53" Type="http://schemas.openxmlformats.org/officeDocument/2006/relationships/hyperlink" Target="https://icis.corp.delaware.gov/Ecorp/EntitySearch/NameSearch.aspx" TargetMode="External"/><Relationship Id="rId52" Type="http://schemas.openxmlformats.org/officeDocument/2006/relationships/hyperlink" Target="http://checkbook.delaware.gov/expSearch.aspx" TargetMode="External"/><Relationship Id="rId55" Type="http://schemas.openxmlformats.org/officeDocument/2006/relationships/hyperlink" Target="http://stateplanning.delaware.gov/information/dpc_projections.shtml" TargetMode="External"/><Relationship Id="rId161" Type="http://schemas.openxmlformats.org/officeDocument/2006/relationships/hyperlink" Target="http://www.legislature.ms.gov/" TargetMode="External"/><Relationship Id="rId282" Type="http://schemas.openxmlformats.org/officeDocument/2006/relationships/hyperlink" Target="https://sos.sd.gov/business/search.aspx" TargetMode="External"/><Relationship Id="rId54" Type="http://schemas.openxmlformats.org/officeDocument/2006/relationships/hyperlink" Target="http://legis.delaware.gov/" TargetMode="External"/><Relationship Id="rId160" Type="http://schemas.openxmlformats.org/officeDocument/2006/relationships/hyperlink" Target="http://www.mdoc.ms.gov/Admin-Finance/Pages/Daily-Inmate-Population.aspx" TargetMode="External"/><Relationship Id="rId281" Type="http://schemas.openxmlformats.org/officeDocument/2006/relationships/hyperlink" Target="http://open.sd.gov/vendor.aspx" TargetMode="External"/><Relationship Id="rId57" Type="http://schemas.openxmlformats.org/officeDocument/2006/relationships/hyperlink" Target="http://www.myfloridacfo.com/transparency/vendorpayments.aspx" TargetMode="External"/><Relationship Id="rId280" Type="http://schemas.openxmlformats.org/officeDocument/2006/relationships/hyperlink" Target="http://arcgis.sd.gov/arcgis/rest/services/BIT/AddressViewer/MapServer/0" TargetMode="External"/><Relationship Id="rId56" Type="http://schemas.openxmlformats.org/officeDocument/2006/relationships/hyperlink" Target="http://www.dhss.delaware.gov/dhss/dph/hsp/" TargetMode="External"/><Relationship Id="rId159" Type="http://schemas.openxmlformats.org/officeDocument/2006/relationships/hyperlink" Target="https://corp.sos.ms.gov/corp/portal/c/page/corpBusinessIdSearch/portal.aspx" TargetMode="External"/><Relationship Id="rId59" Type="http://schemas.openxmlformats.org/officeDocument/2006/relationships/hyperlink" Target="http://www.dc.state.fl.us/pub/pop/facility/index.html" TargetMode="External"/><Relationship Id="rId154" Type="http://schemas.openxmlformats.org/officeDocument/2006/relationships/hyperlink" Target="https://www.revisor.mn.gov/billstatus/" TargetMode="External"/><Relationship Id="rId275" Type="http://schemas.openxmlformats.org/officeDocument/2006/relationships/hyperlink" Target="http://www.doc.sc.gov/pubweb/research/statistics.jsp" TargetMode="External"/><Relationship Id="rId58" Type="http://schemas.openxmlformats.org/officeDocument/2006/relationships/hyperlink" Target="http://sunbiz.org/cor_downld.html" TargetMode="External"/><Relationship Id="rId153" Type="http://schemas.openxmlformats.org/officeDocument/2006/relationships/hyperlink" Target="https://www.doc.state.mn.us/pages/index.php/about/statistics/" TargetMode="External"/><Relationship Id="rId274" Type="http://schemas.openxmlformats.org/officeDocument/2006/relationships/hyperlink" Target="http://scinteractive.sc.gov/Pages/SubscriberServices.aspx" TargetMode="External"/><Relationship Id="rId152" Type="http://schemas.openxmlformats.org/officeDocument/2006/relationships/hyperlink" Target="http://www.sos.state.mn.us/index.aspx?page=342" TargetMode="External"/><Relationship Id="rId273" Type="http://schemas.openxmlformats.org/officeDocument/2006/relationships/hyperlink" Target="http://www.cg.sc.gov/fiscaltransparency/" TargetMode="External"/><Relationship Id="rId151" Type="http://schemas.openxmlformats.org/officeDocument/2006/relationships/hyperlink" Target="http://warehouse.swift.state.mn.us/analytics/saw.dll?dashboard&amp;PortalPath=%2Fshared%2FCitizens%20Portal%2F_portal%2FPaymentsCitizensPortalPublicEntry" TargetMode="External"/><Relationship Id="rId272" Type="http://schemas.openxmlformats.org/officeDocument/2006/relationships/hyperlink" Target="http://www.gis.sc.gov/documents/AddressPoints_SC.pdf" TargetMode="External"/><Relationship Id="rId158" Type="http://schemas.openxmlformats.org/officeDocument/2006/relationships/hyperlink" Target="https://boe.magic.ms.gov/Transparency/ASHMwm4ycW9DqKOomgAij9s" TargetMode="External"/><Relationship Id="rId279" Type="http://schemas.openxmlformats.org/officeDocument/2006/relationships/hyperlink" Target="http://www.scdhec.gov/FoodSafety/CheckSCFoodSanitationReports/" TargetMode="External"/><Relationship Id="rId157" Type="http://schemas.openxmlformats.org/officeDocument/2006/relationships/hyperlink" Target="https://dps.mn.gov/divisions/ots/reports-statistics/Pages/crash-facts.aspx" TargetMode="External"/><Relationship Id="rId278" Type="http://schemas.openxmlformats.org/officeDocument/2006/relationships/hyperlink" Target="http://www.admin.sc.gov/generalservices/parcels" TargetMode="External"/><Relationship Id="rId156" Type="http://schemas.openxmlformats.org/officeDocument/2006/relationships/hyperlink" Target="https://www.mn.gov/admin/government/real-estate/" TargetMode="External"/><Relationship Id="rId277" Type="http://schemas.openxmlformats.org/officeDocument/2006/relationships/hyperlink" Target="http://abstract.sc.gov/chapter14/pop5.html" TargetMode="External"/><Relationship Id="rId155" Type="http://schemas.openxmlformats.org/officeDocument/2006/relationships/hyperlink" Target="https://mn.gov/admin/demography/data-by-topic/population-data/our-projections/" TargetMode="External"/><Relationship Id="rId276" Type="http://schemas.openxmlformats.org/officeDocument/2006/relationships/hyperlink" Target="http://www.scstatehouse.gov/" TargetMode="External"/><Relationship Id="rId107" Type="http://schemas.openxmlformats.org/officeDocument/2006/relationships/hyperlink" Target="https://www.accesskansas.org/ssrv-khp-crashlogs/index.do" TargetMode="External"/><Relationship Id="rId228" Type="http://schemas.openxmlformats.org/officeDocument/2006/relationships/hyperlink" Target="http://www.legis.nd.gov/" TargetMode="External"/><Relationship Id="rId349" Type="http://schemas.openxmlformats.org/officeDocument/2006/relationships/hyperlink" Target="http://www.sco.wisc.edu/find-data/addresses.html" TargetMode="External"/><Relationship Id="rId106" Type="http://schemas.openxmlformats.org/officeDocument/2006/relationships/hyperlink" Target="https://foodsafety.kda.ks.gov/FoodSafety/Web/Inspection/PublicInspectionSearch.aspx" TargetMode="External"/><Relationship Id="rId227" Type="http://schemas.openxmlformats.org/officeDocument/2006/relationships/hyperlink" Target="http://www.nd.gov/docr/media/stats.html" TargetMode="External"/><Relationship Id="rId348" Type="http://schemas.openxmlformats.org/officeDocument/2006/relationships/hyperlink" Target="http://www.transportation.wv.gov/DMV/Forms/Pages/Search-Results.aspx?Title=&amp;DMVFormNumber=&amp;DMVFormCategory=GHSP+NHTSA+Analysis+of+Crash+Data" TargetMode="External"/><Relationship Id="rId105" Type="http://schemas.openxmlformats.org/officeDocument/2006/relationships/hyperlink" Target="http://budget.ks.gov/ecodemo.htm" TargetMode="External"/><Relationship Id="rId226" Type="http://schemas.openxmlformats.org/officeDocument/2006/relationships/hyperlink" Target="https://apps.nd.gov/sc/busnsrch/busnSearch.htm" TargetMode="External"/><Relationship Id="rId347" Type="http://schemas.openxmlformats.org/officeDocument/2006/relationships/hyperlink" Target="http://www.realestatedivision.wv.gov/info-by-county/Pages/default.aspx" TargetMode="External"/><Relationship Id="rId104" Type="http://schemas.openxmlformats.org/officeDocument/2006/relationships/hyperlink" Target="http://www.kslegislature.org/klois/Pages/RESTianAPI.html" TargetMode="External"/><Relationship Id="rId225" Type="http://schemas.openxmlformats.org/officeDocument/2006/relationships/hyperlink" Target="http://data.share.nd.gov/pr/Pages/checkbook.aspx" TargetMode="External"/><Relationship Id="rId346" Type="http://schemas.openxmlformats.org/officeDocument/2006/relationships/hyperlink" Target="http://www.legis.state.wv.us/" TargetMode="External"/><Relationship Id="rId109" Type="http://schemas.openxmlformats.org/officeDocument/2006/relationships/hyperlink" Target="http://www.sos.ky.gov/bus/Pages/Bulk-Data-Service.aspx" TargetMode="External"/><Relationship Id="rId108" Type="http://schemas.openxmlformats.org/officeDocument/2006/relationships/hyperlink" Target="http://opendoor.ky.gov/search/Pages/spendingsearch.aspx" TargetMode="External"/><Relationship Id="rId229" Type="http://schemas.openxmlformats.org/officeDocument/2006/relationships/hyperlink" Target="https://www.dot.nd.gov/divisions/safety/trafficsafety.htm" TargetMode="External"/><Relationship Id="rId220" Type="http://schemas.openxmlformats.org/officeDocument/2006/relationships/hyperlink" Target="http://webapps6.doc.state.nc.us/apps/asqExt/ASQ" TargetMode="External"/><Relationship Id="rId341" Type="http://schemas.openxmlformats.org/officeDocument/2006/relationships/hyperlink" Target="http://dc.healthinspections.us/webadmin/dhd_431/web/" TargetMode="External"/><Relationship Id="rId340" Type="http://schemas.openxmlformats.org/officeDocument/2006/relationships/hyperlink" Target="http://opendata.dc.gov/datasets/769b94533db14c47832203fc87d185b2_8" TargetMode="External"/><Relationship Id="rId103" Type="http://schemas.openxmlformats.org/officeDocument/2006/relationships/hyperlink" Target="https://www.doc.ks.gov/publications/population-report" TargetMode="External"/><Relationship Id="rId224" Type="http://schemas.openxmlformats.org/officeDocument/2006/relationships/hyperlink" Target="http://nccrashdata.hsrc.unc.edu/" TargetMode="External"/><Relationship Id="rId345" Type="http://schemas.openxmlformats.org/officeDocument/2006/relationships/hyperlink" Target="https://apps.wv.gov/SOS/BusinessEntity/" TargetMode="External"/><Relationship Id="rId102" Type="http://schemas.openxmlformats.org/officeDocument/2006/relationships/hyperlink" Target="https://www.kansas.gov/bess/" TargetMode="External"/><Relationship Id="rId223" Type="http://schemas.openxmlformats.org/officeDocument/2006/relationships/hyperlink" Target="http://www.ncspo.com/fis/" TargetMode="External"/><Relationship Id="rId344" Type="http://schemas.openxmlformats.org/officeDocument/2006/relationships/hyperlink" Target="http://www.transparencywv.org/" TargetMode="External"/><Relationship Id="rId101" Type="http://schemas.openxmlformats.org/officeDocument/2006/relationships/hyperlink" Target="http://kanview.ks.gov/DataDownload.aspx" TargetMode="External"/><Relationship Id="rId222" Type="http://schemas.openxmlformats.org/officeDocument/2006/relationships/hyperlink" Target="http://www.osbm.state.nc.us/ncosbm/facts_and_figures/socioeconomic_data/population_estimates.shtm" TargetMode="External"/><Relationship Id="rId343" Type="http://schemas.openxmlformats.org/officeDocument/2006/relationships/hyperlink" Target="http://services.wvgis.wvu.edu/arcgis/rest/services/Location/wv_address_labels_WVDHSEM_wm/MapServer/0" TargetMode="External"/><Relationship Id="rId100" Type="http://schemas.openxmlformats.org/officeDocument/2006/relationships/hyperlink" Target="http://www.iowadot.gov/crashanalysis/" TargetMode="External"/><Relationship Id="rId221" Type="http://schemas.openxmlformats.org/officeDocument/2006/relationships/hyperlink" Target="http://www.ncleg.net/" TargetMode="External"/><Relationship Id="rId342" Type="http://schemas.openxmlformats.org/officeDocument/2006/relationships/hyperlink" Target="http://opendata.dc.gov/datasets/95254fae17bc4792bd47b53f71c2e503_19?geometry=-77.605%2C38.743%2C-76.344%2C39.064" TargetMode="External"/><Relationship Id="rId217" Type="http://schemas.openxmlformats.org/officeDocument/2006/relationships/hyperlink" Target="http://data.nconemap.com/geoportal/catalog/search/resource/details.page?uuid=%7B9E039D56-5202-43E7-8D36-D09414C0DBD6%7D" TargetMode="External"/><Relationship Id="rId338" Type="http://schemas.openxmlformats.org/officeDocument/2006/relationships/hyperlink" Target="http://lims.dccouncil.us/api" TargetMode="External"/><Relationship Id="rId216" Type="http://schemas.openxmlformats.org/officeDocument/2006/relationships/hyperlink" Target="http://dmv.ny.gov/org/about-dmv/statistical-summaries" TargetMode="External"/><Relationship Id="rId337" Type="http://schemas.openxmlformats.org/officeDocument/2006/relationships/hyperlink" Target="http://doc.dc.gov/node/307122" TargetMode="External"/><Relationship Id="rId215" Type="http://schemas.openxmlformats.org/officeDocument/2006/relationships/hyperlink" Target="https://health.data.ny.gov/Health/Food-Service-Establishment-Last-Inspection/cnih-y5dw" TargetMode="External"/><Relationship Id="rId336" Type="http://schemas.openxmlformats.org/officeDocument/2006/relationships/hyperlink" Target="https://corp.dcra.dc.gov/" TargetMode="External"/><Relationship Id="rId214" Type="http://schemas.openxmlformats.org/officeDocument/2006/relationships/hyperlink" Target="http://www.tax.ny.gov/research/property/valuation/sol/index.htm" TargetMode="External"/><Relationship Id="rId335" Type="http://schemas.openxmlformats.org/officeDocument/2006/relationships/hyperlink" Target="http://opendata.dc.gov/datasets?q=purchaseorders" TargetMode="External"/><Relationship Id="rId219" Type="http://schemas.openxmlformats.org/officeDocument/2006/relationships/hyperlink" Target="http://www.secretary.state.nc.us/corporations/" TargetMode="External"/><Relationship Id="rId218" Type="http://schemas.openxmlformats.org/officeDocument/2006/relationships/hyperlink" Target="http://www.ncopenbook.gov/ContractsHome.jsp" TargetMode="External"/><Relationship Id="rId339" Type="http://schemas.openxmlformats.org/officeDocument/2006/relationships/hyperlink" Target="http://www.mwcog.org/publications/departmental.asp?CLASSIFICATION_ID=6&amp;SUBCLASSIFICATION_ID=27" TargetMode="External"/><Relationship Id="rId330" Type="http://schemas.openxmlformats.org/officeDocument/2006/relationships/hyperlink" Target="http://www.ofm.wa.gov/Pop/stfc/default.asp" TargetMode="External"/><Relationship Id="rId213" Type="http://schemas.openxmlformats.org/officeDocument/2006/relationships/hyperlink" Target="http://pad.human.cornell.edu/counties/projections.cfm" TargetMode="External"/><Relationship Id="rId334" Type="http://schemas.openxmlformats.org/officeDocument/2006/relationships/hyperlink" Target="http://opendata.dc.gov/datasets/aa514416aaf74fdc94748f1e56e7cc8a_0" TargetMode="External"/><Relationship Id="rId212" Type="http://schemas.openxmlformats.org/officeDocument/2006/relationships/hyperlink" Target="http://www.nysenate.gov/open" TargetMode="External"/><Relationship Id="rId333" Type="http://schemas.openxmlformats.org/officeDocument/2006/relationships/hyperlink" Target="http://wtsc.wa.gov/research-data/crash-data/" TargetMode="External"/><Relationship Id="rId211" Type="http://schemas.openxmlformats.org/officeDocument/2006/relationships/hyperlink" Target="https://data.ny.gov/Public-Safety/Inmates-Under-Custody-Beginning-2008/55zc-sp6m" TargetMode="External"/><Relationship Id="rId332" Type="http://schemas.openxmlformats.org/officeDocument/2006/relationships/hyperlink" Target="https://data.wa.gov/Health/Restaurant-Inspections/7ktr-3bhb" TargetMode="External"/><Relationship Id="rId210" Type="http://schemas.openxmlformats.org/officeDocument/2006/relationships/hyperlink" Target="https://data.ny.gov/Economic-Development/Active-Corporations-Beginning-1800/n9v6-gdp6" TargetMode="External"/><Relationship Id="rId331" Type="http://schemas.openxmlformats.org/officeDocument/2006/relationships/hyperlink" Target="http://www.ofm.wa.gov/budget/facilities/fis.asp" TargetMode="External"/><Relationship Id="rId129" Type="http://schemas.openxmlformats.org/officeDocument/2006/relationships/hyperlink" Target="https://www.arcgis.com/home/item.html?id=20878dd2c20949a8a14a5a282ab98807" TargetMode="External"/><Relationship Id="rId128" Type="http://schemas.openxmlformats.org/officeDocument/2006/relationships/hyperlink" Target="https://www1.maine.gov/online/mcrs/bulkrequest.html" TargetMode="External"/><Relationship Id="rId249" Type="http://schemas.openxmlformats.org/officeDocument/2006/relationships/hyperlink" Target="https://www.oregon.gov/DAS/oea/Pages/demographic.aspx" TargetMode="External"/><Relationship Id="rId127" Type="http://schemas.openxmlformats.org/officeDocument/2006/relationships/hyperlink" Target="http://www.maine.gov/economist/projections/" TargetMode="External"/><Relationship Id="rId248" Type="http://schemas.openxmlformats.org/officeDocument/2006/relationships/hyperlink" Target="https://www.oregonlegislature.gov/" TargetMode="External"/><Relationship Id="rId126" Type="http://schemas.openxmlformats.org/officeDocument/2006/relationships/hyperlink" Target="http://legislature.maine.gov/" TargetMode="External"/><Relationship Id="rId247" Type="http://schemas.openxmlformats.org/officeDocument/2006/relationships/hyperlink" Target="https://data.oregon.gov/Business/Active-Business-List/ty7j-mnvu" TargetMode="External"/><Relationship Id="rId121" Type="http://schemas.openxmlformats.org/officeDocument/2006/relationships/hyperlink" Target="http://inspections.eatsafe.la.gov/" TargetMode="External"/><Relationship Id="rId242" Type="http://schemas.openxmlformats.org/officeDocument/2006/relationships/hyperlink" Target="http://okcommerce.gov/data/demographics/" TargetMode="External"/><Relationship Id="rId120" Type="http://schemas.openxmlformats.org/officeDocument/2006/relationships/hyperlink" Target="http://www.doa.la.gov/Pages/osl/Database.aspx" TargetMode="External"/><Relationship Id="rId241" Type="http://schemas.openxmlformats.org/officeDocument/2006/relationships/hyperlink" Target="http://www.oklegislature.gov/TextOfMeasures.aspx" TargetMode="External"/><Relationship Id="rId362" Type="http://schemas.openxmlformats.org/officeDocument/2006/relationships/drawing" Target="../drawings/drawing1.xml"/><Relationship Id="rId240" Type="http://schemas.openxmlformats.org/officeDocument/2006/relationships/hyperlink" Target="http://ok.gov/doc/Offenders/Weekly_Population_Analysis/index.html" TargetMode="External"/><Relationship Id="rId361" Type="http://schemas.openxmlformats.org/officeDocument/2006/relationships/hyperlink" Target="http://www.dot.state.wy.us/home/dot_safety/safety_statistics.html" TargetMode="External"/><Relationship Id="rId360" Type="http://schemas.openxmlformats.org/officeDocument/2006/relationships/hyperlink" Target="http://eadiv.state.wy.us/pop/" TargetMode="External"/><Relationship Id="rId125" Type="http://schemas.openxmlformats.org/officeDocument/2006/relationships/hyperlink" Target="http://www.maine.gov/sos/cec/corp/miscellaneous.html" TargetMode="External"/><Relationship Id="rId246" Type="http://schemas.openxmlformats.org/officeDocument/2006/relationships/hyperlink" Target="https://www.oregon.gov/transparency/pages/expenditures.aspx" TargetMode="External"/><Relationship Id="rId124" Type="http://schemas.openxmlformats.org/officeDocument/2006/relationships/hyperlink" Target="http://www.maine.gov/osc/admin/datashare.shtml" TargetMode="External"/><Relationship Id="rId245" Type="http://schemas.openxmlformats.org/officeDocument/2006/relationships/hyperlink" Target="http://ok.gov/ohso/Data/Crash_Data_and_Statistics/" TargetMode="External"/><Relationship Id="rId123" Type="http://schemas.openxmlformats.org/officeDocument/2006/relationships/hyperlink" Target="http://www.maine.gov/megis/catalog/metadata/NG911_Addresses.html" TargetMode="External"/><Relationship Id="rId244" Type="http://schemas.openxmlformats.org/officeDocument/2006/relationships/hyperlink" Target="https://www.phin.state.ok.us/Inspections/" TargetMode="External"/><Relationship Id="rId122" Type="http://schemas.openxmlformats.org/officeDocument/2006/relationships/hyperlink" Target="http://datareports.lsu.edu/CrashReportIndex.aspx" TargetMode="External"/><Relationship Id="rId243" Type="http://schemas.openxmlformats.org/officeDocument/2006/relationships/hyperlink" Target="https://data.ok.gov/tags/oklahoma-real-property-asset-report" TargetMode="External"/><Relationship Id="rId95" Type="http://schemas.openxmlformats.org/officeDocument/2006/relationships/hyperlink" Target="https://data.iowa.gov/Economy/Active-Iowa-Business-Entities/ez5t-3qay" TargetMode="External"/><Relationship Id="rId94" Type="http://schemas.openxmlformats.org/officeDocument/2006/relationships/hyperlink" Target="http://checkbook.iowa.gov/" TargetMode="External"/><Relationship Id="rId97" Type="http://schemas.openxmlformats.org/officeDocument/2006/relationships/hyperlink" Target="https://www.legis.iowa.gov/" TargetMode="External"/><Relationship Id="rId96" Type="http://schemas.openxmlformats.org/officeDocument/2006/relationships/hyperlink" Target="http://www.doc.state.ia.us/DailyStatistics" TargetMode="External"/><Relationship Id="rId99" Type="http://schemas.openxmlformats.org/officeDocument/2006/relationships/hyperlink" Target="https://food.iowa.gov/foodsafety/Inspection/PublicInspectionSearch.aspx" TargetMode="External"/><Relationship Id="rId98" Type="http://schemas.openxmlformats.org/officeDocument/2006/relationships/hyperlink" Target="http://www.iowadatacenter.org/browse/projections.html" TargetMode="External"/><Relationship Id="rId91" Type="http://schemas.openxmlformats.org/officeDocument/2006/relationships/hyperlink" Target="http://www.stats.indiana.edu/topic/projections.asp" TargetMode="External"/><Relationship Id="rId90" Type="http://schemas.openxmlformats.org/officeDocument/2006/relationships/hyperlink" Target="https://iga.in.gov/" TargetMode="External"/><Relationship Id="rId93" Type="http://schemas.openxmlformats.org/officeDocument/2006/relationships/hyperlink" Target="https://programs.iowadnr.gov/nrgislibx/County_Frame.asp" TargetMode="External"/><Relationship Id="rId92" Type="http://schemas.openxmlformats.org/officeDocument/2006/relationships/hyperlink" Target="http://www.in.gov/idoa/StateLandOffice/" TargetMode="External"/><Relationship Id="rId118" Type="http://schemas.openxmlformats.org/officeDocument/2006/relationships/hyperlink" Target="http://www.legis.la.gov/" TargetMode="External"/><Relationship Id="rId239" Type="http://schemas.openxmlformats.org/officeDocument/2006/relationships/hyperlink" Target="https://www.sos.ok.gov/corp/bulkorder/bulkDefault.aspx" TargetMode="External"/><Relationship Id="rId117" Type="http://schemas.openxmlformats.org/officeDocument/2006/relationships/hyperlink" Target="http://www.doc.la.gov/wp-content/uploads/stats/1g.pdf" TargetMode="External"/><Relationship Id="rId238" Type="http://schemas.openxmlformats.org/officeDocument/2006/relationships/hyperlink" Target="https://data.ok.gov/browse?f%5B0%5D=bundle_name%3ADataset&amp;f%5B1%5D=im_field_tags%3A5091" TargetMode="External"/><Relationship Id="rId359" Type="http://schemas.openxmlformats.org/officeDocument/2006/relationships/hyperlink" Target="http://legisweb.state.wy.us/" TargetMode="External"/><Relationship Id="rId116" Type="http://schemas.openxmlformats.org/officeDocument/2006/relationships/hyperlink" Target="https://coraweb.sos.la.gov/CommercialSearch/CommercialSearch.aspx" TargetMode="External"/><Relationship Id="rId237" Type="http://schemas.openxmlformats.org/officeDocument/2006/relationships/hyperlink" Target="https://ext.dps.state.oh.us/CrashReportLinks/" TargetMode="External"/><Relationship Id="rId358" Type="http://schemas.openxmlformats.org/officeDocument/2006/relationships/hyperlink" Target="https://wyobiz.wy.gov/Business/Database.aspx" TargetMode="External"/><Relationship Id="rId115" Type="http://schemas.openxmlformats.org/officeDocument/2006/relationships/hyperlink" Target="https://wwwcfprd.doa.louisiana.gov/latrac/selectDownload.cfm" TargetMode="External"/><Relationship Id="rId236" Type="http://schemas.openxmlformats.org/officeDocument/2006/relationships/hyperlink" Target="http://www.tos.ohio.gov/stateproperties/statepropertymaps.aspx" TargetMode="External"/><Relationship Id="rId357" Type="http://schemas.openxmlformats.org/officeDocument/2006/relationships/hyperlink" Target="http://sao.wyo.gov/vendor-payments" TargetMode="External"/><Relationship Id="rId119" Type="http://schemas.openxmlformats.org/officeDocument/2006/relationships/hyperlink" Target="http://louisiana.gov/Explore/Population_Projections/" TargetMode="External"/><Relationship Id="rId110" Type="http://schemas.openxmlformats.org/officeDocument/2006/relationships/hyperlink" Target="http://corrections.ky.gov/about/Pages/ResearchandStatistics.aspx" TargetMode="External"/><Relationship Id="rId231" Type="http://schemas.openxmlformats.org/officeDocument/2006/relationships/hyperlink" Target="http://ohiotreasurer.gov/Transparency/Ohios-Online-Checkbook" TargetMode="External"/><Relationship Id="rId352" Type="http://schemas.openxmlformats.org/officeDocument/2006/relationships/hyperlink" Target="http://doc.wi.gov/about/data-and-research/notable-statistics/population-statistics" TargetMode="External"/><Relationship Id="rId230" Type="http://schemas.openxmlformats.org/officeDocument/2006/relationships/hyperlink" Target="http://gis3.oit.ohio.gov/geodatadownload/lbrs.aspx" TargetMode="External"/><Relationship Id="rId351" Type="http://schemas.openxmlformats.org/officeDocument/2006/relationships/hyperlink" Target="https://www.wdfi.org/apps/CorpSearch/Search.aspx?" TargetMode="External"/><Relationship Id="rId350" Type="http://schemas.openxmlformats.org/officeDocument/2006/relationships/hyperlink" Target="http://openbook.wi.gov/Expenditures.aspx" TargetMode="External"/><Relationship Id="rId114" Type="http://schemas.openxmlformats.org/officeDocument/2006/relationships/hyperlink" Target="http://crashinformationky.org/KCAP/Public/Home.aspx" TargetMode="External"/><Relationship Id="rId235" Type="http://schemas.openxmlformats.org/officeDocument/2006/relationships/hyperlink" Target="https://development.ohio.gov/reports/reports_pop_proj_map.htm" TargetMode="External"/><Relationship Id="rId356" Type="http://schemas.openxmlformats.org/officeDocument/2006/relationships/hyperlink" Target="http://wisconsindot.gov/Pages/safety/education/crash-data/crashfacts.aspx" TargetMode="External"/><Relationship Id="rId113" Type="http://schemas.openxmlformats.org/officeDocument/2006/relationships/hyperlink" Target="http://opendoor.ky.gov/search/Pages/property_search.aspx" TargetMode="External"/><Relationship Id="rId234" Type="http://schemas.openxmlformats.org/officeDocument/2006/relationships/hyperlink" Target="https://www.legislature.ohio.gov/" TargetMode="External"/><Relationship Id="rId355" Type="http://schemas.openxmlformats.org/officeDocument/2006/relationships/hyperlink" Target="http://healthspace.com/clients/wi/state/statewebportal.nsf/home.xsp" TargetMode="External"/><Relationship Id="rId112" Type="http://schemas.openxmlformats.org/officeDocument/2006/relationships/hyperlink" Target="http://www.ksdc.louisville.edu/data-downloads/projections/" TargetMode="External"/><Relationship Id="rId233" Type="http://schemas.openxmlformats.org/officeDocument/2006/relationships/hyperlink" Target="http://www.drc.ohio.gov/web/reports/reports16.asp" TargetMode="External"/><Relationship Id="rId354" Type="http://schemas.openxmlformats.org/officeDocument/2006/relationships/hyperlink" Target="http://doa.wi.gov/divisions/intergovernmental-relations/demographic-services-center/projections" TargetMode="External"/><Relationship Id="rId111" Type="http://schemas.openxmlformats.org/officeDocument/2006/relationships/hyperlink" Target="http://lrc.ky.gov/" TargetMode="External"/><Relationship Id="rId232" Type="http://schemas.openxmlformats.org/officeDocument/2006/relationships/hyperlink" Target="http://www5.sos.state.oh.us/ords/f?p=100:1:0::NO" TargetMode="External"/><Relationship Id="rId353" Type="http://schemas.openxmlformats.org/officeDocument/2006/relationships/hyperlink" Target="http://legis.wisconsin.gov/" TargetMode="External"/><Relationship Id="rId305" Type="http://schemas.openxmlformats.org/officeDocument/2006/relationships/hyperlink" Target="http://le.utah.gov/" TargetMode="External"/><Relationship Id="rId304" Type="http://schemas.openxmlformats.org/officeDocument/2006/relationships/hyperlink" Target="https://crbiprod.utah.gov/cognos10/cgi-bin/cognos.cgi?b_action=xts.run&amp;m=portal/cc.xts&amp;gohome=" TargetMode="External"/><Relationship Id="rId303" Type="http://schemas.openxmlformats.org/officeDocument/2006/relationships/hyperlink" Target="https://secure.utah.gov/datarequest/businesses/index.html" TargetMode="External"/><Relationship Id="rId302" Type="http://schemas.openxmlformats.org/officeDocument/2006/relationships/hyperlink" Target="https://secure.utah.gov/datarequest/transparency/index.html" TargetMode="External"/><Relationship Id="rId309" Type="http://schemas.openxmlformats.org/officeDocument/2006/relationships/hyperlink" Target="http://finance.vermont.gov/reports_and_publications/Statewide_Payments" TargetMode="External"/><Relationship Id="rId308" Type="http://schemas.openxmlformats.org/officeDocument/2006/relationships/hyperlink" Target="http://dware.vcgi.org/?page=./search_tools/search_action.cfm&amp;query=theme&amp;theme_id=991-0005" TargetMode="External"/><Relationship Id="rId307" Type="http://schemas.openxmlformats.org/officeDocument/2006/relationships/hyperlink" Target="http://highwaysafety.utah.gov/crash-data/utah-crash-summaries/" TargetMode="External"/><Relationship Id="rId306" Type="http://schemas.openxmlformats.org/officeDocument/2006/relationships/hyperlink" Target="http://governor.utah.gov/DEA/popprojections.html" TargetMode="External"/><Relationship Id="rId301" Type="http://schemas.openxmlformats.org/officeDocument/2006/relationships/hyperlink" Target="http://gis.utah.gov/data/location/address-data/" TargetMode="External"/><Relationship Id="rId300" Type="http://schemas.openxmlformats.org/officeDocument/2006/relationships/hyperlink" Target="https://cris.txdot.gov/" TargetMode="External"/><Relationship Id="rId206" Type="http://schemas.openxmlformats.org/officeDocument/2006/relationships/hyperlink" Target="https://www.arcforms.info/nmfacilities2014/" TargetMode="External"/><Relationship Id="rId327" Type="http://schemas.openxmlformats.org/officeDocument/2006/relationships/hyperlink" Target="https://www.sos.wa.gov/corps/AllData.aspx" TargetMode="External"/><Relationship Id="rId205" Type="http://schemas.openxmlformats.org/officeDocument/2006/relationships/hyperlink" Target="http://bber.unm.edu/demo/PopProjTable1.htm" TargetMode="External"/><Relationship Id="rId326" Type="http://schemas.openxmlformats.org/officeDocument/2006/relationships/hyperlink" Target="http://fiscal.wa.gov/Checkbook.aspx" TargetMode="External"/><Relationship Id="rId204" Type="http://schemas.openxmlformats.org/officeDocument/2006/relationships/hyperlink" Target="http://www.nmlegis.gov/" TargetMode="External"/><Relationship Id="rId325" Type="http://schemas.openxmlformats.org/officeDocument/2006/relationships/hyperlink" Target="https://state-wamas.wa.gov/resources/home/" TargetMode="External"/><Relationship Id="rId203" Type="http://schemas.openxmlformats.org/officeDocument/2006/relationships/hyperlink" Target="https://portal.sos.state.nm.us/Corps/" TargetMode="External"/><Relationship Id="rId324" Type="http://schemas.openxmlformats.org/officeDocument/2006/relationships/hyperlink" Target="https://public.tableau.com/profile/tien.simmons" TargetMode="External"/><Relationship Id="rId209" Type="http://schemas.openxmlformats.org/officeDocument/2006/relationships/hyperlink" Target="http://www.openbooknewyork.com/" TargetMode="External"/><Relationship Id="rId208" Type="http://schemas.openxmlformats.org/officeDocument/2006/relationships/hyperlink" Target="http://gis.ny.gov/gisdata/inventories/details.cfm?DSID=921" TargetMode="External"/><Relationship Id="rId329" Type="http://schemas.openxmlformats.org/officeDocument/2006/relationships/hyperlink" Target="http://wslwebservices.leg.wa.gov/" TargetMode="External"/><Relationship Id="rId207" Type="http://schemas.openxmlformats.org/officeDocument/2006/relationships/hyperlink" Target="http://nmtrafficrecords.com/resources/data-request/" TargetMode="External"/><Relationship Id="rId328" Type="http://schemas.openxmlformats.org/officeDocument/2006/relationships/hyperlink" Target="http://www.doc.wa.gov/aboutdoc/statistics.asp" TargetMode="External"/><Relationship Id="rId202" Type="http://schemas.openxmlformats.org/officeDocument/2006/relationships/hyperlink" Target="http://sunshineportalnm.com/sample/" TargetMode="External"/><Relationship Id="rId323" Type="http://schemas.openxmlformats.org/officeDocument/2006/relationships/hyperlink" Target="http://healthspace.com/Clients/VDH/VDH/web.nsf/home.xsp" TargetMode="External"/><Relationship Id="rId201" Type="http://schemas.openxmlformats.org/officeDocument/2006/relationships/hyperlink" Target="http://www.state.nj.us/transportation/refdata/accident/" TargetMode="External"/><Relationship Id="rId322" Type="http://schemas.openxmlformats.org/officeDocument/2006/relationships/hyperlink" Target="https://dgs.virginia.gov/division-of-real-estate-services/virginia-owned-real-estate/inventory-of-state-owned-real-estate/" TargetMode="External"/><Relationship Id="rId200" Type="http://schemas.openxmlformats.org/officeDocument/2006/relationships/hyperlink" Target="http://lwd.dol.state.nj.us/labor/lpa/dmograph/lfproj/lfproj_index.html" TargetMode="External"/><Relationship Id="rId321" Type="http://schemas.openxmlformats.org/officeDocument/2006/relationships/hyperlink" Target="http://www.coopercenter.org/demographics/virginia-population-projections" TargetMode="External"/><Relationship Id="rId320" Type="http://schemas.openxmlformats.org/officeDocument/2006/relationships/hyperlink" Target="http://lis.virginia.gov/SiteInformation/ftp.html" TargetMode="External"/><Relationship Id="rId316" Type="http://schemas.openxmlformats.org/officeDocument/2006/relationships/hyperlink" Target="http://vgin.maps.arcgis.com/home/item.html?id=100e5e12ddc14748a5ec3b8b997af13a" TargetMode="External"/><Relationship Id="rId315" Type="http://schemas.openxmlformats.org/officeDocument/2006/relationships/hyperlink" Target="http://vtransplanning.vermont.gov/research/highway/publications" TargetMode="External"/><Relationship Id="rId314" Type="http://schemas.openxmlformats.org/officeDocument/2006/relationships/hyperlink" Target="http://healthvermont.gov/apps/restaurant_scores/RestaurantScores.aspx" TargetMode="External"/><Relationship Id="rId313" Type="http://schemas.openxmlformats.org/officeDocument/2006/relationships/hyperlink" Target="http://dail.vermont.gov/dail-publications" TargetMode="External"/><Relationship Id="rId319" Type="http://schemas.openxmlformats.org/officeDocument/2006/relationships/hyperlink" Target="http://vadoc.virginia.gov/about/facts/" TargetMode="External"/><Relationship Id="rId318" Type="http://schemas.openxmlformats.org/officeDocument/2006/relationships/hyperlink" Target="https://www.scc.virginia.gov/clk/dwnld.aspx" TargetMode="External"/><Relationship Id="rId317" Type="http://schemas.openxmlformats.org/officeDocument/2006/relationships/hyperlink" Target="http://datapoint.apa.virginia.gov/exp/exp_checkbook.cfm" TargetMode="External"/><Relationship Id="rId312" Type="http://schemas.openxmlformats.org/officeDocument/2006/relationships/hyperlink" Target="http://legislature.vermont.gov/" TargetMode="External"/><Relationship Id="rId311" Type="http://schemas.openxmlformats.org/officeDocument/2006/relationships/hyperlink" Target="http://www.doc.state.vt.us/about/reports/" TargetMode="External"/><Relationship Id="rId310" Type="http://schemas.openxmlformats.org/officeDocument/2006/relationships/hyperlink" Target="https://www.sec.state.vt.us/corporationsbusiness-services/searches-databases.asp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www.ri.gov/data/" TargetMode="External"/><Relationship Id="rId22" Type="http://schemas.openxmlformats.org/officeDocument/2006/relationships/hyperlink" Target="https://data.texas.gov/" TargetMode="External"/><Relationship Id="rId21" Type="http://schemas.openxmlformats.org/officeDocument/2006/relationships/hyperlink" Target="https://www.tn.gov/transparenttn" TargetMode="External"/><Relationship Id="rId24" Type="http://schemas.openxmlformats.org/officeDocument/2006/relationships/hyperlink" Target="http://opendata.dc.gov/" TargetMode="External"/><Relationship Id="rId23" Type="http://schemas.openxmlformats.org/officeDocument/2006/relationships/hyperlink" Target="https://data.wa.gov/" TargetMode="External"/><Relationship Id="rId25" Type="http://schemas.openxmlformats.org/officeDocument/2006/relationships/drawing" Target="../drawings/drawing4.xml"/><Relationship Id="rId11" Type="http://schemas.openxmlformats.org/officeDocument/2006/relationships/hyperlink" Target="http://www.state.mn.us/opendata/" TargetMode="External"/><Relationship Id="rId10" Type="http://schemas.openxmlformats.org/officeDocument/2006/relationships/hyperlink" Target="http://www.mass.gov/opendata/" TargetMode="External"/><Relationship Id="rId13" Type="http://schemas.openxmlformats.org/officeDocument/2006/relationships/hyperlink" Target="http://data.mt.gov/" TargetMode="External"/><Relationship Id="rId12" Type="http://schemas.openxmlformats.org/officeDocument/2006/relationships/hyperlink" Target="https://data.mo.gov/" TargetMode="External"/><Relationship Id="rId15" Type="http://schemas.openxmlformats.org/officeDocument/2006/relationships/hyperlink" Target="https://data.nj.gov/" TargetMode="External"/><Relationship Id="rId14" Type="http://schemas.openxmlformats.org/officeDocument/2006/relationships/hyperlink" Target="http://data.nh.gov/" TargetMode="External"/><Relationship Id="rId17" Type="http://schemas.openxmlformats.org/officeDocument/2006/relationships/hyperlink" Target="https://data.ok.gov/" TargetMode="External"/><Relationship Id="rId16" Type="http://schemas.openxmlformats.org/officeDocument/2006/relationships/hyperlink" Target="https://data.ny.gov/" TargetMode="External"/><Relationship Id="rId19" Type="http://schemas.openxmlformats.org/officeDocument/2006/relationships/hyperlink" Target="https://data.pr.gov/" TargetMode="External"/><Relationship Id="rId18" Type="http://schemas.openxmlformats.org/officeDocument/2006/relationships/hyperlink" Target="https://data.oregon.gov/" TargetMode="External"/><Relationship Id="rId1" Type="http://schemas.openxmlformats.org/officeDocument/2006/relationships/hyperlink" Target="http://data.ca.gov/" TargetMode="External"/><Relationship Id="rId2" Type="http://schemas.openxmlformats.org/officeDocument/2006/relationships/hyperlink" Target="https://data.colorado.gov/" TargetMode="External"/><Relationship Id="rId3" Type="http://schemas.openxmlformats.org/officeDocument/2006/relationships/hyperlink" Target="https://data.ct.gov/" TargetMode="External"/><Relationship Id="rId4" Type="http://schemas.openxmlformats.org/officeDocument/2006/relationships/hyperlink" Target="https://delaware.gov/topics/data" TargetMode="External"/><Relationship Id="rId9" Type="http://schemas.openxmlformats.org/officeDocument/2006/relationships/hyperlink" Target="https://data.md.gov/" TargetMode="External"/><Relationship Id="rId5" Type="http://schemas.openxmlformats.org/officeDocument/2006/relationships/hyperlink" Target="http://www.open.georgia.gov/" TargetMode="External"/><Relationship Id="rId6" Type="http://schemas.openxmlformats.org/officeDocument/2006/relationships/hyperlink" Target="https://data.hawaii.gov/" TargetMode="External"/><Relationship Id="rId7" Type="http://schemas.openxmlformats.org/officeDocument/2006/relationships/hyperlink" Target="https://data.iowa.gov/" TargetMode="External"/><Relationship Id="rId8" Type="http://schemas.openxmlformats.org/officeDocument/2006/relationships/hyperlink" Target="https://data.maine.go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0.71"/>
    <col customWidth="1" min="2" max="2" width="15.14"/>
    <col customWidth="1" min="3" max="3" width="23.14"/>
    <col customWidth="1" min="4" max="4" width="14.14"/>
    <col customWidth="1" min="5" max="5" width="6.71"/>
    <col customWidth="1" min="6" max="6" width="8.14"/>
    <col customWidth="1" min="7" max="9" width="6.71"/>
    <col customWidth="1" min="10" max="10" width="8.43"/>
    <col customWidth="1" min="11" max="11" width="7.43"/>
    <col customWidth="1" min="12" max="12" width="7.71"/>
    <col customWidth="1" min="13" max="14" width="7.14"/>
    <col customWidth="1" min="15" max="15" width="8.71"/>
    <col customWidth="1" min="16" max="16" width="9.0"/>
    <col customWidth="1" min="17" max="17" width="21.29"/>
    <col customWidth="1" min="18" max="18" width="27.57"/>
    <col customWidth="1" min="19" max="19" width="5.86"/>
    <col customWidth="1" min="20" max="20" width="6.57"/>
  </cols>
  <sheetData>
    <row r="1" ht="23.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c r="V1" s="3"/>
      <c r="W1" s="3"/>
      <c r="X1" s="3"/>
      <c r="Y1" s="3"/>
      <c r="Z1" s="3"/>
      <c r="AA1" s="3"/>
      <c r="AB1" s="3"/>
      <c r="AC1" s="3"/>
      <c r="AD1" s="3"/>
      <c r="AE1" s="3"/>
      <c r="AF1" s="3"/>
      <c r="AG1" s="3"/>
      <c r="AH1" s="3"/>
      <c r="AI1" s="3"/>
      <c r="AJ1" s="3"/>
    </row>
    <row r="2">
      <c r="A2" s="4">
        <v>42349.0</v>
      </c>
      <c r="B2" s="5" t="s">
        <v>20</v>
      </c>
      <c r="C2" s="5" t="s">
        <v>21</v>
      </c>
      <c r="D2" s="6" t="str">
        <f>IF(NOT(ISBLANK(C2)), VLOOKUP(C2,'Dataset Descriptions'!$A$2:$B$10, 2, FALSE), "")</f>
        <v>The geographic coordinates for physical addresses.</v>
      </c>
      <c r="E2" s="5" t="s">
        <v>22</v>
      </c>
      <c r="F2" s="5" t="s">
        <v>22</v>
      </c>
      <c r="G2" s="5" t="s">
        <v>22</v>
      </c>
      <c r="H2" s="5" t="s">
        <v>22</v>
      </c>
      <c r="I2" s="5" t="s">
        <v>23</v>
      </c>
      <c r="J2" s="5" t="s">
        <v>22</v>
      </c>
      <c r="K2" s="5" t="s">
        <v>23</v>
      </c>
      <c r="L2" s="5" t="s">
        <v>22</v>
      </c>
      <c r="M2" s="5" t="s">
        <v>22</v>
      </c>
      <c r="N2" s="5" t="s">
        <v>23</v>
      </c>
      <c r="O2" s="5" t="s">
        <v>23</v>
      </c>
      <c r="P2" s="5" t="s">
        <v>22</v>
      </c>
      <c r="Q2" s="7"/>
      <c r="R2" s="8"/>
      <c r="S2" s="6">
        <f>IF(NOT(ISBLANK(E2)), ROUND(((IF(E2="yes",1,0)*'Grading Scale'!E$2)+(IF(F2="yes",1,0)*'Grading Scale'!E$3)+(IF(G2="yes",1,0)*'Grading Scale'!E$4)+(IF(H2="yes",1,0)*'Grading Scale'!E$5)+(IF(I2="yes",1,0)*'Grading Scale'!E$6)+(IF(J2="yes",1,0)*'Grading Scale'!E$7)+(IF(K2="yes",1,0)*'Grading Scale'!E$8)+(IF(L2="yes",1,0)*'Grading Scale'!E$9)+(IF(M2="yes",1,0)*'Grading Scale'!E$10)+(IF(N2="yes",1,0)*'Grading Scale'!E$11)+(IF(O2="yes",1,0)*'Grading Scale'!E$12)+(IF(P2="yes",1,0)*'Grading Scale'!E$13))/'Grading Scale'!E$14*100,0), "")</f>
        <v>0</v>
      </c>
      <c r="T2" s="6" t="str">
        <f>IF(ISNUMBER(S2),VLOOKUP(S2,'Grading Scale'!$A$2:$B$14, 2), "")</f>
        <v>F</v>
      </c>
      <c r="U2" s="7"/>
      <c r="V2" s="7"/>
      <c r="W2" s="7"/>
      <c r="X2" s="7"/>
      <c r="Y2" s="7"/>
      <c r="Z2" s="7"/>
      <c r="AA2" s="7"/>
      <c r="AB2" s="7"/>
      <c r="AC2" s="7"/>
      <c r="AD2" s="7"/>
      <c r="AE2" s="7"/>
      <c r="AF2" s="7"/>
      <c r="AG2" s="7"/>
      <c r="AH2" s="7"/>
      <c r="AI2" s="7"/>
      <c r="AJ2" s="7"/>
    </row>
    <row r="3">
      <c r="A3" s="4">
        <v>42459.0</v>
      </c>
      <c r="B3" s="5" t="s">
        <v>20</v>
      </c>
      <c r="C3" s="5" t="s">
        <v>24</v>
      </c>
      <c r="D3" s="6" t="str">
        <f>IF(NOT(ISBLANK(C3)), VLOOKUP(C3,'Dataset Descriptions'!$A$2:$B$10, 2, FALSE), "")</f>
        <v>Transaction-level, per-agency spending records.</v>
      </c>
      <c r="E3" s="5" t="s">
        <v>25</v>
      </c>
      <c r="F3" s="5" t="s">
        <v>25</v>
      </c>
      <c r="G3" s="5" t="s">
        <v>25</v>
      </c>
      <c r="H3" s="5" t="s">
        <v>25</v>
      </c>
      <c r="I3" s="5" t="s">
        <v>25</v>
      </c>
      <c r="J3" s="5" t="s">
        <v>23</v>
      </c>
      <c r="K3" s="5" t="s">
        <v>23</v>
      </c>
      <c r="L3" s="5" t="s">
        <v>25</v>
      </c>
      <c r="M3" s="5" t="s">
        <v>23</v>
      </c>
      <c r="N3" s="5" t="s">
        <v>23</v>
      </c>
      <c r="O3" s="5" t="s">
        <v>23</v>
      </c>
      <c r="P3" s="5" t="s">
        <v>23</v>
      </c>
      <c r="Q3" s="9" t="s">
        <v>26</v>
      </c>
      <c r="R3" s="6" t="s">
        <v>27</v>
      </c>
      <c r="S3" s="6">
        <f>IF(NOT(ISBLANK(E3)), ROUND(((IF(E3="yes",1,0)*'Grading Scale'!E$2)+(IF(F3="yes",1,0)*'Grading Scale'!E$3)+(IF(G3="yes",1,0)*'Grading Scale'!E$4)+(IF(H3="yes",1,0)*'Grading Scale'!E$5)+(IF(I3="yes",1,0)*'Grading Scale'!E$6)+(IF(J3="yes",1,0)*'Grading Scale'!E$7)+(IF(K3="yes",1,0)*'Grading Scale'!E$8)+(IF(L3="yes",1,0)*'Grading Scale'!E$9)+(IF(M3="yes",1,0)*'Grading Scale'!E$10)+(IF(N3="yes",1,0)*'Grading Scale'!E$11)+(IF(O3="yes",1,0)*'Grading Scale'!E$12)+(IF(P3="yes",1,0)*'Grading Scale'!E$13))/'Grading Scale'!E$14*100,0), "")</f>
        <v>35</v>
      </c>
      <c r="T3" s="6" t="str">
        <f>IF(ISNUMBER(S3),VLOOKUP(S3,'Grading Scale'!$A$2:$B$14, 2), "")</f>
        <v>F</v>
      </c>
      <c r="U3" s="7"/>
      <c r="V3" s="7"/>
      <c r="W3" s="7"/>
      <c r="X3" s="7"/>
      <c r="Y3" s="7"/>
      <c r="Z3" s="7"/>
      <c r="AA3" s="7"/>
      <c r="AB3" s="7"/>
      <c r="AC3" s="7"/>
      <c r="AD3" s="7"/>
      <c r="AE3" s="7"/>
      <c r="AF3" s="7"/>
      <c r="AG3" s="7"/>
      <c r="AH3" s="7"/>
      <c r="AI3" s="7"/>
      <c r="AJ3" s="7"/>
    </row>
    <row r="4">
      <c r="A4" s="4">
        <v>42349.0</v>
      </c>
      <c r="B4" s="5" t="s">
        <v>20</v>
      </c>
      <c r="C4" s="5" t="s">
        <v>28</v>
      </c>
      <c r="D4" s="6" t="str">
        <f>IF(NOT(ISBLANK(C4)), VLOOKUP(C4,'Dataset Descriptions'!$A$2:$B$10, 2, FALSE), "")</f>
        <v>The register of all corporations that exist in the state.</v>
      </c>
      <c r="E4" s="5" t="s">
        <v>25</v>
      </c>
      <c r="F4" s="5" t="s">
        <v>25</v>
      </c>
      <c r="G4" s="5" t="s">
        <v>25</v>
      </c>
      <c r="H4" s="5" t="s">
        <v>25</v>
      </c>
      <c r="I4" s="5" t="s">
        <v>25</v>
      </c>
      <c r="J4" s="5" t="s">
        <v>23</v>
      </c>
      <c r="K4" s="5" t="s">
        <v>23</v>
      </c>
      <c r="L4" s="5" t="s">
        <v>23</v>
      </c>
      <c r="M4" s="5" t="s">
        <v>23</v>
      </c>
      <c r="N4" s="5" t="s">
        <v>23</v>
      </c>
      <c r="O4" s="5" t="s">
        <v>23</v>
      </c>
      <c r="P4" s="5" t="s">
        <v>25</v>
      </c>
      <c r="Q4" s="9" t="s">
        <v>29</v>
      </c>
      <c r="R4" s="6" t="s">
        <v>30</v>
      </c>
      <c r="S4" s="6">
        <f>IF(NOT(ISBLANK(E4)), ROUND(((IF(E4="yes",1,0)*'Grading Scale'!E$2)+(IF(F4="yes",1,0)*'Grading Scale'!E$3)+(IF(G4="yes",1,0)*'Grading Scale'!E$4)+(IF(H4="yes",1,0)*'Grading Scale'!E$5)+(IF(I4="yes",1,0)*'Grading Scale'!E$6)+(IF(J4="yes",1,0)*'Grading Scale'!E$7)+(IF(K4="yes",1,0)*'Grading Scale'!E$8)+(IF(L4="yes",1,0)*'Grading Scale'!E$9)+(IF(M4="yes",1,0)*'Grading Scale'!E$10)+(IF(N4="yes",1,0)*'Grading Scale'!E$11)+(IF(O4="yes",1,0)*'Grading Scale'!E$12)+(IF(P4="yes",1,0)*'Grading Scale'!E$13))/'Grading Scale'!E$14*100,0), "")</f>
        <v>35</v>
      </c>
      <c r="T4" s="6" t="str">
        <f>IF(ISNUMBER(S4),VLOOKUP(S4,'Grading Scale'!$A$2:$B$14, 2), "")</f>
        <v>F</v>
      </c>
      <c r="U4" s="7"/>
      <c r="V4" s="7"/>
      <c r="W4" s="7"/>
      <c r="X4" s="7"/>
      <c r="Y4" s="7"/>
      <c r="Z4" s="7"/>
      <c r="AA4" s="7"/>
      <c r="AB4" s="7"/>
      <c r="AC4" s="7"/>
      <c r="AD4" s="7"/>
      <c r="AE4" s="7"/>
      <c r="AF4" s="7"/>
      <c r="AG4" s="7"/>
      <c r="AH4" s="7"/>
      <c r="AI4" s="7"/>
      <c r="AJ4" s="7"/>
    </row>
    <row r="5">
      <c r="A5" s="4">
        <v>42349.0</v>
      </c>
      <c r="B5" s="5" t="s">
        <v>20</v>
      </c>
      <c r="C5" s="5" t="s">
        <v>31</v>
      </c>
      <c r="D5" s="6" t="str">
        <f>IF(NOT(ISBLANK(C5)), VLOOKUP(C5,'Dataset Descriptions'!$A$2:$B$10, 2, FALSE), "")</f>
        <v>Per-facility inmate population records.</v>
      </c>
      <c r="E5" s="5" t="s">
        <v>25</v>
      </c>
      <c r="F5" s="5" t="s">
        <v>25</v>
      </c>
      <c r="G5" s="5" t="s">
        <v>25</v>
      </c>
      <c r="H5" s="5" t="s">
        <v>25</v>
      </c>
      <c r="I5" s="5" t="s">
        <v>25</v>
      </c>
      <c r="J5" s="5" t="s">
        <v>23</v>
      </c>
      <c r="K5" s="5" t="s">
        <v>25</v>
      </c>
      <c r="L5" s="5" t="s">
        <v>23</v>
      </c>
      <c r="M5" s="5" t="s">
        <v>23</v>
      </c>
      <c r="N5" s="5" t="s">
        <v>23</v>
      </c>
      <c r="O5" s="5" t="s">
        <v>23</v>
      </c>
      <c r="P5" s="5" t="s">
        <v>25</v>
      </c>
      <c r="Q5" s="9" t="s">
        <v>32</v>
      </c>
      <c r="R5" s="6" t="s">
        <v>33</v>
      </c>
      <c r="S5" s="6">
        <f>IF(NOT(ISBLANK(E5)), ROUND(((IF(E5="yes",1,0)*'Grading Scale'!E$2)+(IF(F5="yes",1,0)*'Grading Scale'!E$3)+(IF(G5="yes",1,0)*'Grading Scale'!E$4)+(IF(H5="yes",1,0)*'Grading Scale'!E$5)+(IF(I5="yes",1,0)*'Grading Scale'!E$6)+(IF(J5="yes",1,0)*'Grading Scale'!E$7)+(IF(K5="yes",1,0)*'Grading Scale'!E$8)+(IF(L5="yes",1,0)*'Grading Scale'!E$9)+(IF(M5="yes",1,0)*'Grading Scale'!E$10)+(IF(N5="yes",1,0)*'Grading Scale'!E$11)+(IF(O5="yes",1,0)*'Grading Scale'!E$12)+(IF(P5="yes",1,0)*'Grading Scale'!E$13))/'Grading Scale'!E$14*100,0), "")</f>
        <v>40</v>
      </c>
      <c r="T5" s="6" t="str">
        <f>IF(ISNUMBER(S5),VLOOKUP(S5,'Grading Scale'!$A$2:$B$14, 2), "")</f>
        <v>F</v>
      </c>
      <c r="U5" s="7"/>
      <c r="V5" s="7"/>
      <c r="W5" s="7"/>
      <c r="X5" s="7"/>
      <c r="Y5" s="7"/>
      <c r="Z5" s="7"/>
      <c r="AA5" s="7"/>
      <c r="AB5" s="7"/>
      <c r="AC5" s="7"/>
      <c r="AD5" s="7"/>
      <c r="AE5" s="7"/>
      <c r="AF5" s="7"/>
      <c r="AG5" s="7"/>
      <c r="AH5" s="7"/>
      <c r="AI5" s="7"/>
      <c r="AJ5" s="7"/>
    </row>
    <row r="6">
      <c r="A6" s="4">
        <v>42349.0</v>
      </c>
      <c r="B6" s="5" t="s">
        <v>20</v>
      </c>
      <c r="C6" s="5" t="s">
        <v>34</v>
      </c>
      <c r="D6" s="6" t="str">
        <f>IF(NOT(ISBLANK(C6)), VLOOKUP(C6,'Dataset Descriptions'!$A$2:$B$10, 2, FALSE), "")</f>
        <v>Bills before the legislature, and the legislators that comprise it.</v>
      </c>
      <c r="E6" s="5" t="s">
        <v>25</v>
      </c>
      <c r="F6" s="5" t="s">
        <v>25</v>
      </c>
      <c r="G6" s="5" t="s">
        <v>25</v>
      </c>
      <c r="H6" s="5" t="s">
        <v>25</v>
      </c>
      <c r="I6" s="5" t="s">
        <v>25</v>
      </c>
      <c r="J6" s="5" t="s">
        <v>23</v>
      </c>
      <c r="K6" s="5" t="s">
        <v>23</v>
      </c>
      <c r="L6" s="5" t="s">
        <v>25</v>
      </c>
      <c r="M6" s="5" t="s">
        <v>22</v>
      </c>
      <c r="N6" s="5" t="s">
        <v>23</v>
      </c>
      <c r="O6" s="5" t="s">
        <v>23</v>
      </c>
      <c r="P6" s="5" t="s">
        <v>22</v>
      </c>
      <c r="Q6" s="9" t="s">
        <v>35</v>
      </c>
      <c r="R6" s="6" t="s">
        <v>36</v>
      </c>
      <c r="S6" s="6">
        <f>IF(NOT(ISBLANK(E6)), ROUND(((IF(E6="yes",1,0)*'Grading Scale'!E$2)+(IF(F6="yes",1,0)*'Grading Scale'!E$3)+(IF(G6="yes",1,0)*'Grading Scale'!E$4)+(IF(H6="yes",1,0)*'Grading Scale'!E$5)+(IF(I6="yes",1,0)*'Grading Scale'!E$6)+(IF(J6="yes",1,0)*'Grading Scale'!E$7)+(IF(K6="yes",1,0)*'Grading Scale'!E$8)+(IF(L6="yes",1,0)*'Grading Scale'!E$9)+(IF(M6="yes",1,0)*'Grading Scale'!E$10)+(IF(N6="yes",1,0)*'Grading Scale'!E$11)+(IF(O6="yes",1,0)*'Grading Scale'!E$12)+(IF(P6="yes",1,0)*'Grading Scale'!E$13))/'Grading Scale'!E$14*100,0), "")</f>
        <v>35</v>
      </c>
      <c r="T6" s="6" t="str">
        <f>IF(ISNUMBER(S6),VLOOKUP(S6,'Grading Scale'!$A$2:$B$14, 2), "")</f>
        <v>F</v>
      </c>
      <c r="U6" s="7"/>
      <c r="V6" s="7"/>
      <c r="W6" s="7"/>
      <c r="X6" s="7"/>
      <c r="Y6" s="7"/>
      <c r="Z6" s="7"/>
      <c r="AA6" s="7"/>
      <c r="AB6" s="7"/>
      <c r="AC6" s="7"/>
      <c r="AD6" s="7"/>
      <c r="AE6" s="7"/>
      <c r="AF6" s="7"/>
      <c r="AG6" s="7"/>
      <c r="AH6" s="7"/>
      <c r="AI6" s="7"/>
      <c r="AJ6" s="7"/>
    </row>
    <row r="7">
      <c r="A7" s="4">
        <v>42349.0</v>
      </c>
      <c r="B7" s="5" t="s">
        <v>20</v>
      </c>
      <c r="C7" s="6" t="s">
        <v>37</v>
      </c>
      <c r="D7" s="6" t="str">
        <f>IF(NOT(ISBLANK(C7)), VLOOKUP(C7,'Dataset Descriptions'!$A$2:$B$10, 2, FALSE), "")</f>
        <v>Forecasts of municipal-level changes in population over coming years.</v>
      </c>
      <c r="E7" s="5" t="s">
        <v>25</v>
      </c>
      <c r="F7" s="5" t="s">
        <v>25</v>
      </c>
      <c r="G7" s="5" t="s">
        <v>25</v>
      </c>
      <c r="H7" s="5" t="s">
        <v>25</v>
      </c>
      <c r="I7" s="5" t="s">
        <v>25</v>
      </c>
      <c r="J7" s="5" t="s">
        <v>25</v>
      </c>
      <c r="K7" s="5" t="s">
        <v>23</v>
      </c>
      <c r="L7" s="5" t="s">
        <v>25</v>
      </c>
      <c r="M7" s="5" t="s">
        <v>25</v>
      </c>
      <c r="N7" s="5" t="s">
        <v>23</v>
      </c>
      <c r="O7" s="5" t="s">
        <v>23</v>
      </c>
      <c r="P7" s="5" t="s">
        <v>23</v>
      </c>
      <c r="Q7" s="9" t="s">
        <v>38</v>
      </c>
      <c r="R7" s="6" t="s">
        <v>39</v>
      </c>
      <c r="S7" s="6">
        <f>IF(NOT(ISBLANK(E7)), ROUND(((IF(E7="yes",1,0)*'Grading Scale'!E$2)+(IF(F7="yes",1,0)*'Grading Scale'!E$3)+(IF(G7="yes",1,0)*'Grading Scale'!E$4)+(IF(H7="yes",1,0)*'Grading Scale'!E$5)+(IF(I7="yes",1,0)*'Grading Scale'!E$6)+(IF(J7="yes",1,0)*'Grading Scale'!E$7)+(IF(K7="yes",1,0)*'Grading Scale'!E$8)+(IF(L7="yes",1,0)*'Grading Scale'!E$9)+(IF(M7="yes",1,0)*'Grading Scale'!E$10)+(IF(N7="yes",1,0)*'Grading Scale'!E$11)+(IF(O7="yes",1,0)*'Grading Scale'!E$12)+(IF(P7="yes",1,0)*'Grading Scale'!E$13))/'Grading Scale'!E$14*100,0), "")</f>
        <v>80</v>
      </c>
      <c r="T7" s="6" t="str">
        <f>IF(ISNUMBER(S7),VLOOKUP(S7,'Grading Scale'!$A$2:$B$14, 2), "")</f>
        <v>B−</v>
      </c>
      <c r="U7" s="7"/>
      <c r="V7" s="7"/>
      <c r="W7" s="7"/>
      <c r="X7" s="7"/>
      <c r="Y7" s="7"/>
      <c r="Z7" s="7"/>
      <c r="AA7" s="7"/>
      <c r="AB7" s="7"/>
      <c r="AC7" s="7"/>
      <c r="AD7" s="7"/>
      <c r="AE7" s="7"/>
      <c r="AF7" s="7"/>
      <c r="AG7" s="7"/>
      <c r="AH7" s="7"/>
      <c r="AI7" s="7"/>
      <c r="AJ7" s="7"/>
    </row>
    <row r="8">
      <c r="A8" s="4">
        <v>42349.0</v>
      </c>
      <c r="B8" s="5" t="s">
        <v>20</v>
      </c>
      <c r="C8" s="5" t="s">
        <v>40</v>
      </c>
      <c r="D8" s="6" t="str">
        <f>IF(NOT(ISBLANK(C8)), VLOOKUP(C8,'Dataset Descriptions'!$A$2:$B$10, 2, FALSE), "")</f>
        <v>State-owned land and buildings.</v>
      </c>
      <c r="E8" s="5" t="s">
        <v>25</v>
      </c>
      <c r="F8" s="5" t="s">
        <v>25</v>
      </c>
      <c r="G8" s="5" t="s">
        <v>25</v>
      </c>
      <c r="H8" s="5" t="s">
        <v>25</v>
      </c>
      <c r="I8" s="5" t="s">
        <v>25</v>
      </c>
      <c r="J8" s="5" t="s">
        <v>23</v>
      </c>
      <c r="K8" s="5" t="s">
        <v>23</v>
      </c>
      <c r="L8" s="5" t="s">
        <v>23</v>
      </c>
      <c r="M8" s="5" t="s">
        <v>22</v>
      </c>
      <c r="N8" s="5" t="s">
        <v>23</v>
      </c>
      <c r="O8" s="5" t="s">
        <v>23</v>
      </c>
      <c r="P8" s="5" t="s">
        <v>23</v>
      </c>
      <c r="Q8" s="9" t="s">
        <v>41</v>
      </c>
      <c r="R8" s="6" t="s">
        <v>42</v>
      </c>
      <c r="S8" s="6">
        <f>IF(NOT(ISBLANK(E8)), ROUND(((IF(E8="yes",1,0)*'Grading Scale'!E$2)+(IF(F8="yes",1,0)*'Grading Scale'!E$3)+(IF(G8="yes",1,0)*'Grading Scale'!E$4)+(IF(H8="yes",1,0)*'Grading Scale'!E$5)+(IF(I8="yes",1,0)*'Grading Scale'!E$6)+(IF(J8="yes",1,0)*'Grading Scale'!E$7)+(IF(K8="yes",1,0)*'Grading Scale'!E$8)+(IF(L8="yes",1,0)*'Grading Scale'!E$9)+(IF(M8="yes",1,0)*'Grading Scale'!E$10)+(IF(N8="yes",1,0)*'Grading Scale'!E$11)+(IF(O8="yes",1,0)*'Grading Scale'!E$12)+(IF(P8="yes",1,0)*'Grading Scale'!E$13))/'Grading Scale'!E$14*100,0), "")</f>
        <v>30</v>
      </c>
      <c r="T8" s="6" t="str">
        <f>IF(ISNUMBER(S8),VLOOKUP(S8,'Grading Scale'!$A$2:$B$14, 2), "")</f>
        <v>F</v>
      </c>
      <c r="U8" s="7"/>
      <c r="V8" s="7"/>
      <c r="W8" s="7"/>
      <c r="X8" s="7"/>
      <c r="Y8" s="7"/>
      <c r="Z8" s="7"/>
      <c r="AA8" s="7"/>
      <c r="AB8" s="7"/>
      <c r="AC8" s="7"/>
      <c r="AD8" s="7"/>
      <c r="AE8" s="7"/>
      <c r="AF8" s="7"/>
      <c r="AG8" s="7"/>
      <c r="AH8" s="7"/>
      <c r="AI8" s="7"/>
      <c r="AJ8" s="7"/>
    </row>
    <row r="9">
      <c r="A9" s="4">
        <v>42349.0</v>
      </c>
      <c r="B9" s="5" t="s">
        <v>20</v>
      </c>
      <c r="C9" s="5" t="s">
        <v>43</v>
      </c>
      <c r="D9" s="6" t="str">
        <f>IF(NOT(ISBLANK(C9)), VLOOKUP(C9,'Dataset Descriptions'!$A$2:$B$10, 2, FALSE), "")</f>
        <v>Health inspections of establishments that serve food to the public.</v>
      </c>
      <c r="E9" s="5" t="s">
        <v>25</v>
      </c>
      <c r="F9" s="5" t="s">
        <v>25</v>
      </c>
      <c r="G9" s="5" t="s">
        <v>25</v>
      </c>
      <c r="H9" s="5" t="s">
        <v>25</v>
      </c>
      <c r="I9" s="5" t="s">
        <v>25</v>
      </c>
      <c r="J9" s="5" t="s">
        <v>23</v>
      </c>
      <c r="K9" s="5" t="s">
        <v>23</v>
      </c>
      <c r="L9" s="5" t="s">
        <v>25</v>
      </c>
      <c r="M9" s="5" t="s">
        <v>25</v>
      </c>
      <c r="N9" s="5" t="s">
        <v>23</v>
      </c>
      <c r="O9" s="5" t="s">
        <v>23</v>
      </c>
      <c r="P9" s="5" t="s">
        <v>23</v>
      </c>
      <c r="Q9" s="9" t="s">
        <v>44</v>
      </c>
      <c r="R9" s="6" t="s">
        <v>45</v>
      </c>
      <c r="S9" s="6">
        <f>IF(NOT(ISBLANK(E9)), ROUND(((IF(E9="yes",1,0)*'Grading Scale'!E$2)+(IF(F9="yes",1,0)*'Grading Scale'!E$3)+(IF(G9="yes",1,0)*'Grading Scale'!E$4)+(IF(H9="yes",1,0)*'Grading Scale'!E$5)+(IF(I9="yes",1,0)*'Grading Scale'!E$6)+(IF(J9="yes",1,0)*'Grading Scale'!E$7)+(IF(K9="yes",1,0)*'Grading Scale'!E$8)+(IF(L9="yes",1,0)*'Grading Scale'!E$9)+(IF(M9="yes",1,0)*'Grading Scale'!E$10)+(IF(N9="yes",1,0)*'Grading Scale'!E$11)+(IF(O9="yes",1,0)*'Grading Scale'!E$12)+(IF(P9="yes",1,0)*'Grading Scale'!E$13))/'Grading Scale'!E$14*100,0), "")</f>
        <v>40</v>
      </c>
      <c r="T9" s="6" t="str">
        <f>IF(ISNUMBER(S9),VLOOKUP(S9,'Grading Scale'!$A$2:$B$14, 2), "")</f>
        <v>F</v>
      </c>
      <c r="U9" s="7"/>
      <c r="V9" s="7"/>
      <c r="W9" s="7"/>
      <c r="X9" s="7"/>
      <c r="Y9" s="7"/>
      <c r="Z9" s="7"/>
      <c r="AA9" s="7"/>
      <c r="AB9" s="7"/>
      <c r="AC9" s="7"/>
      <c r="AD9" s="7"/>
      <c r="AE9" s="7"/>
      <c r="AF9" s="7"/>
      <c r="AG9" s="7"/>
      <c r="AH9" s="7"/>
      <c r="AI9" s="7"/>
      <c r="AJ9" s="7"/>
    </row>
    <row r="10">
      <c r="A10" s="4">
        <v>42349.0</v>
      </c>
      <c r="B10" s="5" t="s">
        <v>20</v>
      </c>
      <c r="C10" s="5" t="s">
        <v>46</v>
      </c>
      <c r="D10" s="6" t="str">
        <f>IF(NOT(ISBLANK(C10)), VLOOKUP(C10,'Dataset Descriptions'!$A$2:$B$10, 2, FALSE), "")</f>
        <v>Incident-level reportable motor vehicle crash records.</v>
      </c>
      <c r="E10" s="5" t="s">
        <v>25</v>
      </c>
      <c r="F10" s="5" t="s">
        <v>25</v>
      </c>
      <c r="G10" s="5" t="s">
        <v>25</v>
      </c>
      <c r="H10" s="5" t="s">
        <v>25</v>
      </c>
      <c r="I10" s="5" t="s">
        <v>25</v>
      </c>
      <c r="J10" s="5" t="s">
        <v>23</v>
      </c>
      <c r="K10" s="5" t="s">
        <v>23</v>
      </c>
      <c r="L10" s="5" t="s">
        <v>25</v>
      </c>
      <c r="M10" s="5" t="s">
        <v>23</v>
      </c>
      <c r="N10" s="5" t="s">
        <v>23</v>
      </c>
      <c r="O10" s="5" t="s">
        <v>23</v>
      </c>
      <c r="P10" s="5" t="s">
        <v>23</v>
      </c>
      <c r="Q10" s="9" t="s">
        <v>47</v>
      </c>
      <c r="R10" s="6" t="s">
        <v>48</v>
      </c>
      <c r="S10" s="6">
        <f>IF(NOT(ISBLANK(E10)), ROUND(((IF(E10="yes",1,0)*'Grading Scale'!E$2)+(IF(F10="yes",1,0)*'Grading Scale'!E$3)+(IF(G10="yes",1,0)*'Grading Scale'!E$4)+(IF(H10="yes",1,0)*'Grading Scale'!E$5)+(IF(I10="yes",1,0)*'Grading Scale'!E$6)+(IF(J10="yes",1,0)*'Grading Scale'!E$7)+(IF(K10="yes",1,0)*'Grading Scale'!E$8)+(IF(L10="yes",1,0)*'Grading Scale'!E$9)+(IF(M10="yes",1,0)*'Grading Scale'!E$10)+(IF(N10="yes",1,0)*'Grading Scale'!E$11)+(IF(O10="yes",1,0)*'Grading Scale'!E$12)+(IF(P10="yes",1,0)*'Grading Scale'!E$13))/'Grading Scale'!E$14*100,0), "")</f>
        <v>35</v>
      </c>
      <c r="T10" s="6" t="str">
        <f>IF(ISNUMBER(S10),VLOOKUP(S10,'Grading Scale'!$A$2:$B$14, 2), "")</f>
        <v>F</v>
      </c>
      <c r="U10" s="7"/>
      <c r="V10" s="7"/>
      <c r="W10" s="7"/>
      <c r="X10" s="7"/>
      <c r="Y10" s="7"/>
      <c r="Z10" s="7"/>
      <c r="AA10" s="7"/>
      <c r="AB10" s="7"/>
      <c r="AC10" s="7"/>
      <c r="AD10" s="7"/>
      <c r="AE10" s="7"/>
      <c r="AF10" s="7"/>
      <c r="AG10" s="7"/>
      <c r="AH10" s="7"/>
      <c r="AI10" s="7"/>
      <c r="AJ10" s="7"/>
    </row>
    <row r="11">
      <c r="A11" s="4">
        <v>42408.0</v>
      </c>
      <c r="B11" s="5" t="s">
        <v>49</v>
      </c>
      <c r="C11" s="5" t="s">
        <v>21</v>
      </c>
      <c r="D11" s="6" t="str">
        <f>IF(NOT(ISBLANK(C11)), VLOOKUP(C11,'Dataset Descriptions'!$A$2:$B$10, 2, FALSE), "")</f>
        <v>The geographic coordinates for physical addresses.</v>
      </c>
      <c r="E11" s="5" t="s">
        <v>22</v>
      </c>
      <c r="F11" s="5" t="s">
        <v>22</v>
      </c>
      <c r="G11" s="5" t="s">
        <v>22</v>
      </c>
      <c r="H11" s="5" t="s">
        <v>22</v>
      </c>
      <c r="I11" s="5" t="s">
        <v>23</v>
      </c>
      <c r="J11" s="5" t="s">
        <v>22</v>
      </c>
      <c r="K11" s="5" t="s">
        <v>22</v>
      </c>
      <c r="L11" s="5" t="s">
        <v>22</v>
      </c>
      <c r="M11" s="5" t="s">
        <v>22</v>
      </c>
      <c r="N11" s="5" t="s">
        <v>23</v>
      </c>
      <c r="O11" s="5" t="s">
        <v>22</v>
      </c>
      <c r="P11" s="5" t="s">
        <v>22</v>
      </c>
      <c r="Q11" s="7"/>
      <c r="R11" s="8"/>
      <c r="S11" s="6">
        <f>IF(NOT(ISBLANK(E11)), ROUND(((IF(E11="yes",1,0)*'Grading Scale'!E$2)+(IF(F11="yes",1,0)*'Grading Scale'!E$3)+(IF(G11="yes",1,0)*'Grading Scale'!E$4)+(IF(H11="yes",1,0)*'Grading Scale'!E$5)+(IF(I11="yes",1,0)*'Grading Scale'!E$6)+(IF(J11="yes",1,0)*'Grading Scale'!E$7)+(IF(K11="yes",1,0)*'Grading Scale'!E$8)+(IF(L11="yes",1,0)*'Grading Scale'!E$9)+(IF(M11="yes",1,0)*'Grading Scale'!E$10)+(IF(N11="yes",1,0)*'Grading Scale'!E$11)+(IF(O11="yes",1,0)*'Grading Scale'!E$12)+(IF(P11="yes",1,0)*'Grading Scale'!E$13))/'Grading Scale'!E$14*100,0), "")</f>
        <v>0</v>
      </c>
      <c r="T11" s="6" t="str">
        <f>IF(ISNUMBER(S11),VLOOKUP(S11,'Grading Scale'!$A$2:$B$14, 2), "")</f>
        <v>F</v>
      </c>
      <c r="U11" s="7"/>
      <c r="V11" s="7"/>
      <c r="W11" s="7"/>
      <c r="X11" s="7"/>
      <c r="Y11" s="7"/>
      <c r="Z11" s="7"/>
      <c r="AA11" s="7"/>
      <c r="AB11" s="7"/>
      <c r="AC11" s="7"/>
      <c r="AD11" s="7"/>
      <c r="AE11" s="7"/>
      <c r="AF11" s="7"/>
      <c r="AG11" s="7"/>
      <c r="AH11" s="7"/>
      <c r="AI11" s="7"/>
      <c r="AJ11" s="7"/>
    </row>
    <row r="12">
      <c r="A12" s="4">
        <v>42408.0</v>
      </c>
      <c r="B12" s="5" t="s">
        <v>49</v>
      </c>
      <c r="C12" s="5" t="s">
        <v>24</v>
      </c>
      <c r="D12" s="6" t="str">
        <f>IF(NOT(ISBLANK(C12)), VLOOKUP(C12,'Dataset Descriptions'!$A$2:$B$10, 2, FALSE), "")</f>
        <v>Transaction-level, per-agency spending records.</v>
      </c>
      <c r="E12" s="5" t="s">
        <v>25</v>
      </c>
      <c r="F12" s="5" t="s">
        <v>25</v>
      </c>
      <c r="G12" s="5" t="s">
        <v>25</v>
      </c>
      <c r="H12" s="5" t="s">
        <v>25</v>
      </c>
      <c r="I12" s="5" t="s">
        <v>25</v>
      </c>
      <c r="J12" s="5" t="s">
        <v>25</v>
      </c>
      <c r="K12" s="5" t="s">
        <v>25</v>
      </c>
      <c r="L12" s="5" t="s">
        <v>25</v>
      </c>
      <c r="M12" s="5" t="s">
        <v>25</v>
      </c>
      <c r="N12" s="5" t="s">
        <v>23</v>
      </c>
      <c r="O12" s="5" t="s">
        <v>23</v>
      </c>
      <c r="P12" s="5" t="s">
        <v>23</v>
      </c>
      <c r="Q12" s="9" t="s">
        <v>50</v>
      </c>
      <c r="R12" s="6" t="s">
        <v>51</v>
      </c>
      <c r="S12" s="6">
        <f>IF(NOT(ISBLANK(E12)), ROUND(((IF(E12="yes",1,0)*'Grading Scale'!E$2)+(IF(F12="yes",1,0)*'Grading Scale'!E$3)+(IF(G12="yes",1,0)*'Grading Scale'!E$4)+(IF(H12="yes",1,0)*'Grading Scale'!E$5)+(IF(I12="yes",1,0)*'Grading Scale'!E$6)+(IF(J12="yes",1,0)*'Grading Scale'!E$7)+(IF(K12="yes",1,0)*'Grading Scale'!E$8)+(IF(L12="yes",1,0)*'Grading Scale'!E$9)+(IF(M12="yes",1,0)*'Grading Scale'!E$10)+(IF(N12="yes",1,0)*'Grading Scale'!E$11)+(IF(O12="yes",1,0)*'Grading Scale'!E$12)+(IF(P12="yes",1,0)*'Grading Scale'!E$13))/'Grading Scale'!E$14*100,0), "")</f>
        <v>85</v>
      </c>
      <c r="T12" s="6" t="str">
        <f>IF(ISNUMBER(S12),VLOOKUP(S12,'Grading Scale'!$A$2:$B$14, 2), "")</f>
        <v>B</v>
      </c>
      <c r="U12" s="7"/>
      <c r="V12" s="7"/>
      <c r="W12" s="7"/>
      <c r="X12" s="7"/>
      <c r="Y12" s="7"/>
      <c r="Z12" s="7"/>
      <c r="AA12" s="7"/>
      <c r="AB12" s="7"/>
      <c r="AC12" s="7"/>
      <c r="AD12" s="7"/>
      <c r="AE12" s="7"/>
      <c r="AF12" s="7"/>
      <c r="AG12" s="7"/>
      <c r="AH12" s="7"/>
      <c r="AI12" s="7"/>
      <c r="AJ12" s="7"/>
    </row>
    <row r="13">
      <c r="A13" s="4">
        <v>42408.0</v>
      </c>
      <c r="B13" s="5" t="s">
        <v>49</v>
      </c>
      <c r="C13" s="5" t="s">
        <v>28</v>
      </c>
      <c r="D13" s="6" t="str">
        <f>IF(NOT(ISBLANK(C13)), VLOOKUP(C13,'Dataset Descriptions'!$A$2:$B$10, 2, FALSE), "")</f>
        <v>The register of all corporations that exist in the state.</v>
      </c>
      <c r="E13" s="5" t="s">
        <v>25</v>
      </c>
      <c r="F13" s="5" t="s">
        <v>25</v>
      </c>
      <c r="G13" s="5" t="s">
        <v>25</v>
      </c>
      <c r="H13" s="5" t="s">
        <v>25</v>
      </c>
      <c r="I13" s="5" t="s">
        <v>25</v>
      </c>
      <c r="J13" s="5" t="s">
        <v>25</v>
      </c>
      <c r="K13" s="5" t="s">
        <v>25</v>
      </c>
      <c r="L13" s="5" t="s">
        <v>23</v>
      </c>
      <c r="M13" s="5" t="s">
        <v>25</v>
      </c>
      <c r="N13" s="5" t="s">
        <v>23</v>
      </c>
      <c r="O13" s="5" t="s">
        <v>25</v>
      </c>
      <c r="P13" s="5" t="s">
        <v>25</v>
      </c>
      <c r="Q13" s="9" t="s">
        <v>52</v>
      </c>
      <c r="R13" s="6" t="s">
        <v>53</v>
      </c>
      <c r="S13" s="6">
        <f>IF(NOT(ISBLANK(E13)), ROUND(((IF(E13="yes",1,0)*'Grading Scale'!E$2)+(IF(F13="yes",1,0)*'Grading Scale'!E$3)+(IF(G13="yes",1,0)*'Grading Scale'!E$4)+(IF(H13="yes",1,0)*'Grading Scale'!E$5)+(IF(I13="yes",1,0)*'Grading Scale'!E$6)+(IF(J13="yes",1,0)*'Grading Scale'!E$7)+(IF(K13="yes",1,0)*'Grading Scale'!E$8)+(IF(L13="yes",1,0)*'Grading Scale'!E$9)+(IF(M13="yes",1,0)*'Grading Scale'!E$10)+(IF(N13="yes",1,0)*'Grading Scale'!E$11)+(IF(O13="yes",1,0)*'Grading Scale'!E$12)+(IF(P13="yes",1,0)*'Grading Scale'!E$13))/'Grading Scale'!E$14*100,0), "")</f>
        <v>90</v>
      </c>
      <c r="T13" s="6" t="str">
        <f>IF(ISNUMBER(S13),VLOOKUP(S13,'Grading Scale'!$A$2:$B$14, 2), "")</f>
        <v>A−</v>
      </c>
      <c r="U13" s="7"/>
      <c r="V13" s="7"/>
      <c r="W13" s="7"/>
      <c r="X13" s="7"/>
      <c r="Y13" s="7"/>
      <c r="Z13" s="7"/>
      <c r="AA13" s="7"/>
      <c r="AB13" s="7"/>
      <c r="AC13" s="7"/>
      <c r="AD13" s="7"/>
      <c r="AE13" s="7"/>
      <c r="AF13" s="7"/>
      <c r="AG13" s="7"/>
      <c r="AH13" s="7"/>
      <c r="AI13" s="7"/>
      <c r="AJ13" s="7"/>
    </row>
    <row r="14">
      <c r="A14" s="4">
        <v>42408.0</v>
      </c>
      <c r="B14" s="5" t="s">
        <v>49</v>
      </c>
      <c r="C14" s="5" t="s">
        <v>31</v>
      </c>
      <c r="D14" s="6" t="str">
        <f>IF(NOT(ISBLANK(C14)), VLOOKUP(C14,'Dataset Descriptions'!$A$2:$B$10, 2, FALSE), "")</f>
        <v>Per-facility inmate population records.</v>
      </c>
      <c r="E14" s="5" t="s">
        <v>25</v>
      </c>
      <c r="F14" s="5" t="s">
        <v>25</v>
      </c>
      <c r="G14" s="5" t="s">
        <v>25</v>
      </c>
      <c r="H14" s="5" t="s">
        <v>25</v>
      </c>
      <c r="I14" s="5" t="s">
        <v>25</v>
      </c>
      <c r="J14" s="5" t="s">
        <v>23</v>
      </c>
      <c r="K14" s="5" t="s">
        <v>25</v>
      </c>
      <c r="L14" s="5" t="s">
        <v>25</v>
      </c>
      <c r="M14" s="5" t="s">
        <v>25</v>
      </c>
      <c r="N14" s="5" t="s">
        <v>23</v>
      </c>
      <c r="O14" s="5" t="s">
        <v>23</v>
      </c>
      <c r="P14" s="5" t="s">
        <v>23</v>
      </c>
      <c r="Q14" s="9" t="s">
        <v>54</v>
      </c>
      <c r="R14" s="6" t="s">
        <v>55</v>
      </c>
      <c r="S14" s="6">
        <f>IF(NOT(ISBLANK(E14)), ROUND(((IF(E14="yes",1,0)*'Grading Scale'!E$2)+(IF(F14="yes",1,0)*'Grading Scale'!E$3)+(IF(G14="yes",1,0)*'Grading Scale'!E$4)+(IF(H14="yes",1,0)*'Grading Scale'!E$5)+(IF(I14="yes",1,0)*'Grading Scale'!E$6)+(IF(J14="yes",1,0)*'Grading Scale'!E$7)+(IF(K14="yes",1,0)*'Grading Scale'!E$8)+(IF(L14="yes",1,0)*'Grading Scale'!E$9)+(IF(M14="yes",1,0)*'Grading Scale'!E$10)+(IF(N14="yes",1,0)*'Grading Scale'!E$11)+(IF(O14="yes",1,0)*'Grading Scale'!E$12)+(IF(P14="yes",1,0)*'Grading Scale'!E$13))/'Grading Scale'!E$14*100,0), "")</f>
        <v>45</v>
      </c>
      <c r="T14" s="6" t="str">
        <f>IF(ISNUMBER(S14),VLOOKUP(S14,'Grading Scale'!$A$2:$B$14, 2), "")</f>
        <v>F</v>
      </c>
      <c r="U14" s="7"/>
      <c r="V14" s="7"/>
      <c r="W14" s="7"/>
      <c r="X14" s="7"/>
      <c r="Y14" s="7"/>
      <c r="Z14" s="7"/>
      <c r="AA14" s="7"/>
      <c r="AB14" s="7"/>
      <c r="AC14" s="7"/>
      <c r="AD14" s="7"/>
      <c r="AE14" s="7"/>
      <c r="AF14" s="7"/>
      <c r="AG14" s="7"/>
      <c r="AH14" s="7"/>
      <c r="AI14" s="7"/>
      <c r="AJ14" s="7"/>
    </row>
    <row r="15">
      <c r="A15" s="4">
        <v>42408.0</v>
      </c>
      <c r="B15" s="5" t="s">
        <v>49</v>
      </c>
      <c r="C15" s="5" t="s">
        <v>34</v>
      </c>
      <c r="D15" s="6" t="str">
        <f>IF(NOT(ISBLANK(C15)), VLOOKUP(C15,'Dataset Descriptions'!$A$2:$B$10, 2, FALSE), "")</f>
        <v>Bills before the legislature, and the legislators that comprise it.</v>
      </c>
      <c r="E15" s="5" t="s">
        <v>25</v>
      </c>
      <c r="F15" s="5" t="s">
        <v>25</v>
      </c>
      <c r="G15" s="5" t="s">
        <v>25</v>
      </c>
      <c r="H15" s="5" t="s">
        <v>25</v>
      </c>
      <c r="I15" s="5" t="s">
        <v>25</v>
      </c>
      <c r="J15" s="5" t="s">
        <v>23</v>
      </c>
      <c r="K15" s="5" t="s">
        <v>23</v>
      </c>
      <c r="L15" s="5" t="s">
        <v>23</v>
      </c>
      <c r="M15" s="5" t="s">
        <v>25</v>
      </c>
      <c r="N15" s="5" t="s">
        <v>23</v>
      </c>
      <c r="O15" s="5" t="s">
        <v>23</v>
      </c>
      <c r="P15" s="5" t="s">
        <v>23</v>
      </c>
      <c r="Q15" s="9" t="s">
        <v>56</v>
      </c>
      <c r="R15" s="6" t="s">
        <v>57</v>
      </c>
      <c r="S15" s="6">
        <f>IF(NOT(ISBLANK(E15)), ROUND(((IF(E15="yes",1,0)*'Grading Scale'!E$2)+(IF(F15="yes",1,0)*'Grading Scale'!E$3)+(IF(G15="yes",1,0)*'Grading Scale'!E$4)+(IF(H15="yes",1,0)*'Grading Scale'!E$5)+(IF(I15="yes",1,0)*'Grading Scale'!E$6)+(IF(J15="yes",1,0)*'Grading Scale'!E$7)+(IF(K15="yes",1,0)*'Grading Scale'!E$8)+(IF(L15="yes",1,0)*'Grading Scale'!E$9)+(IF(M15="yes",1,0)*'Grading Scale'!E$10)+(IF(N15="yes",1,0)*'Grading Scale'!E$11)+(IF(O15="yes",1,0)*'Grading Scale'!E$12)+(IF(P15="yes",1,0)*'Grading Scale'!E$13))/'Grading Scale'!E$14*100,0), "")</f>
        <v>35</v>
      </c>
      <c r="T15" s="6" t="str">
        <f>IF(ISNUMBER(S15),VLOOKUP(S15,'Grading Scale'!$A$2:$B$14, 2), "")</f>
        <v>F</v>
      </c>
      <c r="U15" s="7"/>
      <c r="V15" s="7"/>
      <c r="W15" s="7"/>
      <c r="X15" s="7"/>
      <c r="Y15" s="7"/>
      <c r="Z15" s="7"/>
      <c r="AA15" s="7"/>
      <c r="AB15" s="7"/>
      <c r="AC15" s="7"/>
      <c r="AD15" s="7"/>
      <c r="AE15" s="7"/>
      <c r="AF15" s="7"/>
      <c r="AG15" s="7"/>
      <c r="AH15" s="7"/>
      <c r="AI15" s="7"/>
      <c r="AJ15" s="7"/>
    </row>
    <row r="16">
      <c r="A16" s="4">
        <v>42408.0</v>
      </c>
      <c r="B16" s="5" t="s">
        <v>49</v>
      </c>
      <c r="C16" s="6" t="s">
        <v>37</v>
      </c>
      <c r="D16" s="6" t="str">
        <f>IF(NOT(ISBLANK(C16)), VLOOKUP(C16,'Dataset Descriptions'!$A$2:$B$10, 2, FALSE), "")</f>
        <v>Forecasts of municipal-level changes in population over coming years.</v>
      </c>
      <c r="E16" s="5" t="s">
        <v>25</v>
      </c>
      <c r="F16" s="5" t="s">
        <v>25</v>
      </c>
      <c r="G16" s="5" t="s">
        <v>25</v>
      </c>
      <c r="H16" s="5" t="s">
        <v>25</v>
      </c>
      <c r="I16" s="5" t="s">
        <v>25</v>
      </c>
      <c r="J16" s="5" t="s">
        <v>25</v>
      </c>
      <c r="K16" s="5" t="s">
        <v>25</v>
      </c>
      <c r="L16" s="5" t="s">
        <v>23</v>
      </c>
      <c r="M16" s="5" t="s">
        <v>25</v>
      </c>
      <c r="N16" s="5" t="s">
        <v>23</v>
      </c>
      <c r="O16" s="5" t="s">
        <v>23</v>
      </c>
      <c r="P16" s="5" t="s">
        <v>23</v>
      </c>
      <c r="Q16" s="9" t="s">
        <v>58</v>
      </c>
      <c r="R16" s="6" t="s">
        <v>59</v>
      </c>
      <c r="S16" s="6">
        <f>IF(NOT(ISBLANK(E16)), ROUND(((IF(E16="yes",1,0)*'Grading Scale'!E$2)+(IF(F16="yes",1,0)*'Grading Scale'!E$3)+(IF(G16="yes",1,0)*'Grading Scale'!E$4)+(IF(H16="yes",1,0)*'Grading Scale'!E$5)+(IF(I16="yes",1,0)*'Grading Scale'!E$6)+(IF(J16="yes",1,0)*'Grading Scale'!E$7)+(IF(K16="yes",1,0)*'Grading Scale'!E$8)+(IF(L16="yes",1,0)*'Grading Scale'!E$9)+(IF(M16="yes",1,0)*'Grading Scale'!E$10)+(IF(N16="yes",1,0)*'Grading Scale'!E$11)+(IF(O16="yes",1,0)*'Grading Scale'!E$12)+(IF(P16="yes",1,0)*'Grading Scale'!E$13))/'Grading Scale'!E$14*100,0), "")</f>
        <v>80</v>
      </c>
      <c r="T16" s="6" t="str">
        <f>IF(ISNUMBER(S16),VLOOKUP(S16,'Grading Scale'!$A$2:$B$14, 2), "")</f>
        <v>B−</v>
      </c>
      <c r="U16" s="7"/>
      <c r="V16" s="7"/>
      <c r="W16" s="7"/>
      <c r="X16" s="7"/>
      <c r="Y16" s="7"/>
      <c r="Z16" s="7"/>
      <c r="AA16" s="7"/>
      <c r="AB16" s="7"/>
      <c r="AC16" s="7"/>
      <c r="AD16" s="7"/>
      <c r="AE16" s="7"/>
      <c r="AF16" s="7"/>
      <c r="AG16" s="7"/>
      <c r="AH16" s="7"/>
      <c r="AI16" s="7"/>
      <c r="AJ16" s="7"/>
    </row>
    <row r="17">
      <c r="A17" s="4">
        <v>42408.0</v>
      </c>
      <c r="B17" s="5" t="s">
        <v>49</v>
      </c>
      <c r="C17" s="5" t="s">
        <v>40</v>
      </c>
      <c r="D17" s="6" t="str">
        <f>IF(NOT(ISBLANK(C17)), VLOOKUP(C17,'Dataset Descriptions'!$A$2:$B$10, 2, FALSE), "")</f>
        <v>State-owned land and buildings.</v>
      </c>
      <c r="E17" s="5" t="s">
        <v>22</v>
      </c>
      <c r="F17" s="5" t="s">
        <v>22</v>
      </c>
      <c r="G17" s="5" t="s">
        <v>22</v>
      </c>
      <c r="H17" s="5" t="s">
        <v>22</v>
      </c>
      <c r="I17" s="5" t="s">
        <v>23</v>
      </c>
      <c r="J17" s="5" t="s">
        <v>22</v>
      </c>
      <c r="K17" s="5" t="s">
        <v>22</v>
      </c>
      <c r="L17" s="5" t="s">
        <v>22</v>
      </c>
      <c r="M17" s="5" t="s">
        <v>22</v>
      </c>
      <c r="N17" s="5" t="s">
        <v>23</v>
      </c>
      <c r="O17" s="5" t="s">
        <v>22</v>
      </c>
      <c r="P17" s="5" t="s">
        <v>22</v>
      </c>
      <c r="Q17" s="7"/>
      <c r="R17" s="6" t="s">
        <v>60</v>
      </c>
      <c r="S17" s="6">
        <f>IF(NOT(ISBLANK(E17)), ROUND(((IF(E17="yes",1,0)*'Grading Scale'!E$2)+(IF(F17="yes",1,0)*'Grading Scale'!E$3)+(IF(G17="yes",1,0)*'Grading Scale'!E$4)+(IF(H17="yes",1,0)*'Grading Scale'!E$5)+(IF(I17="yes",1,0)*'Grading Scale'!E$6)+(IF(J17="yes",1,0)*'Grading Scale'!E$7)+(IF(K17="yes",1,0)*'Grading Scale'!E$8)+(IF(L17="yes",1,0)*'Grading Scale'!E$9)+(IF(M17="yes",1,0)*'Grading Scale'!E$10)+(IF(N17="yes",1,0)*'Grading Scale'!E$11)+(IF(O17="yes",1,0)*'Grading Scale'!E$12)+(IF(P17="yes",1,0)*'Grading Scale'!E$13))/'Grading Scale'!E$14*100,0), "")</f>
        <v>0</v>
      </c>
      <c r="T17" s="6" t="str">
        <f>IF(ISNUMBER(S17),VLOOKUP(S17,'Grading Scale'!$A$2:$B$14, 2), "")</f>
        <v>F</v>
      </c>
      <c r="U17" s="7"/>
      <c r="V17" s="7"/>
      <c r="W17" s="7"/>
      <c r="X17" s="7"/>
      <c r="Y17" s="7"/>
      <c r="Z17" s="7"/>
      <c r="AA17" s="7"/>
      <c r="AB17" s="7"/>
      <c r="AC17" s="7"/>
      <c r="AD17" s="7"/>
      <c r="AE17" s="7"/>
      <c r="AF17" s="7"/>
      <c r="AG17" s="7"/>
      <c r="AH17" s="7"/>
      <c r="AI17" s="7"/>
      <c r="AJ17" s="7"/>
    </row>
    <row r="18">
      <c r="A18" s="4">
        <v>42408.0</v>
      </c>
      <c r="B18" s="5" t="s">
        <v>49</v>
      </c>
      <c r="C18" s="5" t="s">
        <v>43</v>
      </c>
      <c r="D18" s="6" t="str">
        <f>IF(NOT(ISBLANK(C18)), VLOOKUP(C18,'Dataset Descriptions'!$A$2:$B$10, 2, FALSE), "")</f>
        <v>Health inspections of establishments that serve food to the public.</v>
      </c>
      <c r="E18" s="5" t="s">
        <v>25</v>
      </c>
      <c r="F18" s="5" t="s">
        <v>25</v>
      </c>
      <c r="G18" s="5" t="s">
        <v>25</v>
      </c>
      <c r="H18" s="5" t="s">
        <v>25</v>
      </c>
      <c r="I18" s="5" t="s">
        <v>25</v>
      </c>
      <c r="J18" s="5" t="s">
        <v>23</v>
      </c>
      <c r="K18" s="5" t="s">
        <v>23</v>
      </c>
      <c r="L18" s="5" t="s">
        <v>25</v>
      </c>
      <c r="M18" s="5" t="s">
        <v>25</v>
      </c>
      <c r="N18" s="5" t="s">
        <v>23</v>
      </c>
      <c r="O18" s="5" t="s">
        <v>23</v>
      </c>
      <c r="P18" s="5" t="s">
        <v>25</v>
      </c>
      <c r="Q18" s="9" t="s">
        <v>61</v>
      </c>
      <c r="R18" s="6" t="s">
        <v>62</v>
      </c>
      <c r="S18" s="6">
        <f>IF(NOT(ISBLANK(E18)), ROUND(((IF(E18="yes",1,0)*'Grading Scale'!E$2)+(IF(F18="yes",1,0)*'Grading Scale'!E$3)+(IF(G18="yes",1,0)*'Grading Scale'!E$4)+(IF(H18="yes",1,0)*'Grading Scale'!E$5)+(IF(I18="yes",1,0)*'Grading Scale'!E$6)+(IF(J18="yes",1,0)*'Grading Scale'!E$7)+(IF(K18="yes",1,0)*'Grading Scale'!E$8)+(IF(L18="yes",1,0)*'Grading Scale'!E$9)+(IF(M18="yes",1,0)*'Grading Scale'!E$10)+(IF(N18="yes",1,0)*'Grading Scale'!E$11)+(IF(O18="yes",1,0)*'Grading Scale'!E$12)+(IF(P18="yes",1,0)*'Grading Scale'!E$13))/'Grading Scale'!E$14*100,0), "")</f>
        <v>45</v>
      </c>
      <c r="T18" s="6" t="str">
        <f>IF(ISNUMBER(S18),VLOOKUP(S18,'Grading Scale'!$A$2:$B$14, 2), "")</f>
        <v>F</v>
      </c>
      <c r="U18" s="7"/>
      <c r="V18" s="7"/>
      <c r="W18" s="7"/>
      <c r="X18" s="7"/>
      <c r="Y18" s="7"/>
      <c r="Z18" s="7"/>
      <c r="AA18" s="7"/>
      <c r="AB18" s="7"/>
      <c r="AC18" s="7"/>
      <c r="AD18" s="7"/>
      <c r="AE18" s="7"/>
      <c r="AF18" s="7"/>
      <c r="AG18" s="7"/>
      <c r="AH18" s="7"/>
      <c r="AI18" s="7"/>
      <c r="AJ18" s="7"/>
    </row>
    <row r="19">
      <c r="A19" s="4">
        <v>42408.0</v>
      </c>
      <c r="B19" s="5" t="s">
        <v>49</v>
      </c>
      <c r="C19" s="5" t="s">
        <v>46</v>
      </c>
      <c r="D19" s="6" t="str">
        <f>IF(NOT(ISBLANK(C19)), VLOOKUP(C19,'Dataset Descriptions'!$A$2:$B$10, 2, FALSE), "")</f>
        <v>Incident-level reportable motor vehicle crash records.</v>
      </c>
      <c r="E19" s="5" t="s">
        <v>25</v>
      </c>
      <c r="F19" s="5" t="s">
        <v>25</v>
      </c>
      <c r="G19" s="5" t="s">
        <v>25</v>
      </c>
      <c r="H19" s="5" t="s">
        <v>25</v>
      </c>
      <c r="I19" s="5" t="s">
        <v>25</v>
      </c>
      <c r="J19" s="5" t="s">
        <v>23</v>
      </c>
      <c r="K19" s="5" t="s">
        <v>25</v>
      </c>
      <c r="L19" s="5" t="s">
        <v>25</v>
      </c>
      <c r="M19" s="5" t="s">
        <v>23</v>
      </c>
      <c r="N19" s="5" t="s">
        <v>23</v>
      </c>
      <c r="O19" s="5" t="s">
        <v>23</v>
      </c>
      <c r="P19" s="5" t="s">
        <v>23</v>
      </c>
      <c r="Q19" s="9" t="s">
        <v>63</v>
      </c>
      <c r="R19" s="6" t="s">
        <v>64</v>
      </c>
      <c r="S19" s="6">
        <f>IF(NOT(ISBLANK(E19)), ROUND(((IF(E19="yes",1,0)*'Grading Scale'!E$2)+(IF(F19="yes",1,0)*'Grading Scale'!E$3)+(IF(G19="yes",1,0)*'Grading Scale'!E$4)+(IF(H19="yes",1,0)*'Grading Scale'!E$5)+(IF(I19="yes",1,0)*'Grading Scale'!E$6)+(IF(J19="yes",1,0)*'Grading Scale'!E$7)+(IF(K19="yes",1,0)*'Grading Scale'!E$8)+(IF(L19="yes",1,0)*'Grading Scale'!E$9)+(IF(M19="yes",1,0)*'Grading Scale'!E$10)+(IF(N19="yes",1,0)*'Grading Scale'!E$11)+(IF(O19="yes",1,0)*'Grading Scale'!E$12)+(IF(P19="yes",1,0)*'Grading Scale'!E$13))/'Grading Scale'!E$14*100,0), "")</f>
        <v>40</v>
      </c>
      <c r="T19" s="6" t="str">
        <f>IF(ISNUMBER(S19),VLOOKUP(S19,'Grading Scale'!$A$2:$B$14, 2), "")</f>
        <v>F</v>
      </c>
      <c r="U19" s="7"/>
      <c r="V19" s="7"/>
      <c r="W19" s="7"/>
      <c r="X19" s="7"/>
      <c r="Y19" s="7"/>
      <c r="Z19" s="7"/>
      <c r="AA19" s="7"/>
      <c r="AB19" s="7"/>
      <c r="AC19" s="7"/>
      <c r="AD19" s="7"/>
      <c r="AE19" s="7"/>
      <c r="AF19" s="7"/>
      <c r="AG19" s="7"/>
      <c r="AH19" s="7"/>
      <c r="AI19" s="7"/>
      <c r="AJ19" s="7"/>
    </row>
    <row r="20">
      <c r="A20" s="10">
        <v>42338.0</v>
      </c>
      <c r="B20" s="6" t="s">
        <v>65</v>
      </c>
      <c r="C20" s="6" t="s">
        <v>21</v>
      </c>
      <c r="D20" s="6" t="str">
        <f>IF(NOT(ISBLANK(C20)), VLOOKUP(C20,'Dataset Descriptions'!$A$2:$B$10, 2, FALSE), "")</f>
        <v>The geographic coordinates for physical addresses.</v>
      </c>
      <c r="E20" s="6" t="s">
        <v>23</v>
      </c>
      <c r="F20" s="6" t="s">
        <v>23</v>
      </c>
      <c r="G20" s="6" t="s">
        <v>23</v>
      </c>
      <c r="H20" s="6" t="s">
        <v>23</v>
      </c>
      <c r="I20" s="6" t="s">
        <v>23</v>
      </c>
      <c r="J20" s="6" t="s">
        <v>23</v>
      </c>
      <c r="K20" s="6" t="s">
        <v>23</v>
      </c>
      <c r="L20" s="6" t="s">
        <v>23</v>
      </c>
      <c r="M20" s="6" t="s">
        <v>23</v>
      </c>
      <c r="N20" s="6" t="s">
        <v>23</v>
      </c>
      <c r="O20" s="6" t="s">
        <v>23</v>
      </c>
      <c r="P20" s="6" t="s">
        <v>23</v>
      </c>
      <c r="Q20" s="8"/>
      <c r="R20" s="11"/>
      <c r="S20" s="6">
        <f>IF(NOT(ISBLANK(E20)), ROUND(((IF(E20="yes",1,0)*'Grading Scale'!E$2)+(IF(F20="yes",1,0)*'Grading Scale'!E$3)+(IF(G20="yes",1,0)*'Grading Scale'!E$4)+(IF(H20="yes",1,0)*'Grading Scale'!E$5)+(IF(I20="yes",1,0)*'Grading Scale'!E$6)+(IF(J20="yes",1,0)*'Grading Scale'!E$7)+(IF(K20="yes",1,0)*'Grading Scale'!E$8)+(IF(L20="yes",1,0)*'Grading Scale'!E$9)+(IF(M20="yes",1,0)*'Grading Scale'!E$10)+(IF(N20="yes",1,0)*'Grading Scale'!E$11)+(IF(O20="yes",1,0)*'Grading Scale'!E$12)+(IF(P20="yes",1,0)*'Grading Scale'!E$13))/'Grading Scale'!E$14*100,0), "")</f>
        <v>0</v>
      </c>
      <c r="T20" s="6" t="str">
        <f>IF(ISNUMBER(S20),VLOOKUP(S20,'Grading Scale'!$A$2:$B$14, 2), "")</f>
        <v>F</v>
      </c>
      <c r="U20" s="7"/>
      <c r="V20" s="7"/>
      <c r="W20" s="7"/>
      <c r="X20" s="7"/>
      <c r="Y20" s="7"/>
      <c r="Z20" s="7"/>
      <c r="AA20" s="7"/>
      <c r="AB20" s="7"/>
      <c r="AC20" s="7"/>
      <c r="AD20" s="7"/>
      <c r="AE20" s="7"/>
      <c r="AF20" s="7"/>
      <c r="AG20" s="7"/>
      <c r="AH20" s="7"/>
      <c r="AI20" s="7"/>
      <c r="AJ20" s="7"/>
    </row>
    <row r="21">
      <c r="A21" s="10">
        <v>42374.0</v>
      </c>
      <c r="B21" s="6" t="s">
        <v>65</v>
      </c>
      <c r="C21" s="6" t="s">
        <v>24</v>
      </c>
      <c r="D21" s="6" t="str">
        <f>IF(NOT(ISBLANK(C21)), VLOOKUP(C21,'Dataset Descriptions'!$A$2:$B$10, 2, FALSE), "")</f>
        <v>Transaction-level, per-agency spending records.</v>
      </c>
      <c r="E21" s="6" t="s">
        <v>25</v>
      </c>
      <c r="F21" s="6" t="s">
        <v>25</v>
      </c>
      <c r="G21" s="6" t="s">
        <v>25</v>
      </c>
      <c r="H21" s="6" t="s">
        <v>25</v>
      </c>
      <c r="I21" s="6" t="s">
        <v>25</v>
      </c>
      <c r="J21" s="6" t="s">
        <v>25</v>
      </c>
      <c r="K21" s="6" t="s">
        <v>25</v>
      </c>
      <c r="L21" s="6" t="s">
        <v>25</v>
      </c>
      <c r="M21" s="6" t="s">
        <v>23</v>
      </c>
      <c r="N21" s="6" t="s">
        <v>23</v>
      </c>
      <c r="O21" s="6" t="s">
        <v>23</v>
      </c>
      <c r="P21" s="6" t="s">
        <v>25</v>
      </c>
      <c r="Q21" s="12" t="s">
        <v>66</v>
      </c>
      <c r="R21" s="13" t="s">
        <v>67</v>
      </c>
      <c r="S21" s="6">
        <f>IF(NOT(ISBLANK(E21)), ROUND(((IF(E21="yes",1,0)*'Grading Scale'!E$2)+(IF(F21="yes",1,0)*'Grading Scale'!E$3)+(IF(G21="yes",1,0)*'Grading Scale'!E$4)+(IF(H21="yes",1,0)*'Grading Scale'!E$5)+(IF(I21="yes",1,0)*'Grading Scale'!E$6)+(IF(J21="yes",1,0)*'Grading Scale'!E$7)+(IF(K21="yes",1,0)*'Grading Scale'!E$8)+(IF(L21="yes",1,0)*'Grading Scale'!E$9)+(IF(M21="yes",1,0)*'Grading Scale'!E$10)+(IF(N21="yes",1,0)*'Grading Scale'!E$11)+(IF(O21="yes",1,0)*'Grading Scale'!E$12)+(IF(P21="yes",1,0)*'Grading Scale'!E$13))/'Grading Scale'!E$14*100,0), "")</f>
        <v>85</v>
      </c>
      <c r="T21" s="6" t="str">
        <f>IF(ISNUMBER(S21),VLOOKUP(S21,'Grading Scale'!$A$2:$B$14, 2), "")</f>
        <v>B</v>
      </c>
      <c r="U21" s="7"/>
      <c r="V21" s="7"/>
      <c r="W21" s="7"/>
      <c r="X21" s="7"/>
      <c r="Y21" s="7"/>
      <c r="Z21" s="7"/>
      <c r="AA21" s="7"/>
      <c r="AB21" s="7"/>
      <c r="AC21" s="7"/>
      <c r="AD21" s="7"/>
      <c r="AE21" s="7"/>
      <c r="AF21" s="7"/>
      <c r="AG21" s="7"/>
      <c r="AH21" s="7"/>
      <c r="AI21" s="7"/>
      <c r="AJ21" s="7"/>
    </row>
    <row r="22">
      <c r="A22" s="10">
        <v>42402.0</v>
      </c>
      <c r="B22" s="6" t="s">
        <v>65</v>
      </c>
      <c r="C22" s="6" t="s">
        <v>28</v>
      </c>
      <c r="D22" s="6" t="str">
        <f>IF(NOT(ISBLANK(C22)), VLOOKUP(C22,'Dataset Descriptions'!$A$2:$B$10, 2, FALSE), "")</f>
        <v>The register of all corporations that exist in the state.</v>
      </c>
      <c r="E22" s="6" t="s">
        <v>25</v>
      </c>
      <c r="F22" s="6" t="s">
        <v>25</v>
      </c>
      <c r="G22" s="6" t="s">
        <v>25</v>
      </c>
      <c r="H22" s="6" t="s">
        <v>23</v>
      </c>
      <c r="I22" s="6" t="s">
        <v>25</v>
      </c>
      <c r="J22" s="6" t="s">
        <v>25</v>
      </c>
      <c r="K22" s="6" t="s">
        <v>25</v>
      </c>
      <c r="L22" s="6" t="s">
        <v>25</v>
      </c>
      <c r="M22" s="6" t="s">
        <v>25</v>
      </c>
      <c r="N22" s="6" t="s">
        <v>23</v>
      </c>
      <c r="O22" s="6" t="s">
        <v>23</v>
      </c>
      <c r="P22" s="6" t="s">
        <v>25</v>
      </c>
      <c r="Q22" s="12" t="s">
        <v>68</v>
      </c>
      <c r="R22" s="14" t="s">
        <v>69</v>
      </c>
      <c r="S22" s="6">
        <f>IF(NOT(ISBLANK(E22)), ROUND(((IF(E22="yes",1,0)*'Grading Scale'!E$2)+(IF(F22="yes",1,0)*'Grading Scale'!E$3)+(IF(G22="yes",1,0)*'Grading Scale'!E$4)+(IF(H22="yes",1,0)*'Grading Scale'!E$5)+(IF(I22="yes",1,0)*'Grading Scale'!E$6)+(IF(J22="yes",1,0)*'Grading Scale'!E$7)+(IF(K22="yes",1,0)*'Grading Scale'!E$8)+(IF(L22="yes",1,0)*'Grading Scale'!E$9)+(IF(M22="yes",1,0)*'Grading Scale'!E$10)+(IF(N22="yes",1,0)*'Grading Scale'!E$11)+(IF(O22="yes",1,0)*'Grading Scale'!E$12)+(IF(P22="yes",1,0)*'Grading Scale'!E$13))/'Grading Scale'!E$14*100,0), "")</f>
        <v>75</v>
      </c>
      <c r="T22" s="6" t="str">
        <f>IF(ISNUMBER(S22),VLOOKUP(S22,'Grading Scale'!$A$2:$B$14, 2), "")</f>
        <v>C</v>
      </c>
      <c r="U22" s="7"/>
      <c r="V22" s="7"/>
      <c r="W22" s="7"/>
      <c r="X22" s="7"/>
      <c r="Y22" s="7"/>
      <c r="Z22" s="7"/>
      <c r="AA22" s="7"/>
      <c r="AB22" s="7"/>
      <c r="AC22" s="7"/>
      <c r="AD22" s="7"/>
      <c r="AE22" s="7"/>
      <c r="AF22" s="7"/>
      <c r="AG22" s="7"/>
      <c r="AH22" s="7"/>
      <c r="AI22" s="7"/>
      <c r="AJ22" s="7"/>
    </row>
    <row r="23">
      <c r="A23" s="10">
        <v>42402.0</v>
      </c>
      <c r="B23" s="6" t="s">
        <v>65</v>
      </c>
      <c r="C23" s="6" t="s">
        <v>31</v>
      </c>
      <c r="D23" s="6" t="str">
        <f>IF(NOT(ISBLANK(C23)), VLOOKUP(C23,'Dataset Descriptions'!$A$2:$B$10, 2, FALSE), "")</f>
        <v>Per-facility inmate population records.</v>
      </c>
      <c r="E23" s="6" t="s">
        <v>25</v>
      </c>
      <c r="F23" s="6" t="s">
        <v>25</v>
      </c>
      <c r="G23" s="6" t="s">
        <v>25</v>
      </c>
      <c r="H23" s="6" t="s">
        <v>25</v>
      </c>
      <c r="I23" s="6" t="s">
        <v>25</v>
      </c>
      <c r="J23" s="6" t="s">
        <v>23</v>
      </c>
      <c r="K23" s="6" t="s">
        <v>23</v>
      </c>
      <c r="L23" s="6" t="s">
        <v>23</v>
      </c>
      <c r="M23" s="6" t="s">
        <v>25</v>
      </c>
      <c r="N23" s="6"/>
      <c r="O23" s="6" t="s">
        <v>25</v>
      </c>
      <c r="P23" s="6" t="s">
        <v>23</v>
      </c>
      <c r="Q23" s="15" t="s">
        <v>70</v>
      </c>
      <c r="R23" s="13" t="s">
        <v>71</v>
      </c>
      <c r="S23" s="6">
        <f>IF(NOT(ISBLANK(E23)), ROUND(((IF(E23="yes",1,0)*'Grading Scale'!E$2)+(IF(F23="yes",1,0)*'Grading Scale'!E$3)+(IF(G23="yes",1,0)*'Grading Scale'!E$4)+(IF(H23="yes",1,0)*'Grading Scale'!E$5)+(IF(I23="yes",1,0)*'Grading Scale'!E$6)+(IF(J23="yes",1,0)*'Grading Scale'!E$7)+(IF(K23="yes",1,0)*'Grading Scale'!E$8)+(IF(L23="yes",1,0)*'Grading Scale'!E$9)+(IF(M23="yes",1,0)*'Grading Scale'!E$10)+(IF(N23="yes",1,0)*'Grading Scale'!E$11)+(IF(O23="yes",1,0)*'Grading Scale'!E$12)+(IF(P23="yes",1,0)*'Grading Scale'!E$13))/'Grading Scale'!E$14*100,0), "")</f>
        <v>40</v>
      </c>
      <c r="T23" s="6" t="str">
        <f>IF(ISNUMBER(S23),VLOOKUP(S23,'Grading Scale'!$A$2:$B$14, 2), "")</f>
        <v>F</v>
      </c>
      <c r="U23" s="7"/>
      <c r="V23" s="7"/>
      <c r="W23" s="7"/>
      <c r="X23" s="7"/>
      <c r="Y23" s="7"/>
      <c r="Z23" s="7"/>
      <c r="AA23" s="7"/>
      <c r="AB23" s="7"/>
      <c r="AC23" s="7"/>
      <c r="AD23" s="7"/>
      <c r="AE23" s="7"/>
      <c r="AF23" s="7"/>
      <c r="AG23" s="7"/>
      <c r="AH23" s="7"/>
      <c r="AI23" s="7"/>
      <c r="AJ23" s="7"/>
    </row>
    <row r="24">
      <c r="A24" s="10">
        <v>42338.0</v>
      </c>
      <c r="B24" s="6" t="s">
        <v>65</v>
      </c>
      <c r="C24" s="6" t="s">
        <v>34</v>
      </c>
      <c r="D24" s="6" t="str">
        <f>IF(NOT(ISBLANK(C24)), VLOOKUP(C24,'Dataset Descriptions'!$A$2:$B$10, 2, FALSE), "")</f>
        <v>Bills before the legislature, and the legislators that comprise it.</v>
      </c>
      <c r="E24" s="6" t="s">
        <v>25</v>
      </c>
      <c r="F24" s="6" t="s">
        <v>25</v>
      </c>
      <c r="G24" s="6" t="s">
        <v>25</v>
      </c>
      <c r="H24" s="6" t="s">
        <v>25</v>
      </c>
      <c r="I24" s="6" t="s">
        <v>25</v>
      </c>
      <c r="J24" s="6" t="s">
        <v>23</v>
      </c>
      <c r="K24" s="6" t="s">
        <v>23</v>
      </c>
      <c r="L24" s="6" t="s">
        <v>23</v>
      </c>
      <c r="M24" s="6" t="s">
        <v>25</v>
      </c>
      <c r="N24" s="6" t="s">
        <v>23</v>
      </c>
      <c r="O24" s="6" t="s">
        <v>23</v>
      </c>
      <c r="P24" s="6" t="s">
        <v>25</v>
      </c>
      <c r="Q24" s="15" t="s">
        <v>72</v>
      </c>
      <c r="R24" s="11"/>
      <c r="S24" s="6">
        <f>IF(NOT(ISBLANK(E24)), ROUND(((IF(E24="yes",1,0)*'Grading Scale'!E$2)+(IF(F24="yes",1,0)*'Grading Scale'!E$3)+(IF(G24="yes",1,0)*'Grading Scale'!E$4)+(IF(H24="yes",1,0)*'Grading Scale'!E$5)+(IF(I24="yes",1,0)*'Grading Scale'!E$6)+(IF(J24="yes",1,0)*'Grading Scale'!E$7)+(IF(K24="yes",1,0)*'Grading Scale'!E$8)+(IF(L24="yes",1,0)*'Grading Scale'!E$9)+(IF(M24="yes",1,0)*'Grading Scale'!E$10)+(IF(N24="yes",1,0)*'Grading Scale'!E$11)+(IF(O24="yes",1,0)*'Grading Scale'!E$12)+(IF(P24="yes",1,0)*'Grading Scale'!E$13))/'Grading Scale'!E$14*100,0), "")</f>
        <v>40</v>
      </c>
      <c r="T24" s="6" t="str">
        <f>IF(ISNUMBER(S24),VLOOKUP(S24,'Grading Scale'!$A$2:$B$14, 2), "")</f>
        <v>F</v>
      </c>
      <c r="U24" s="7"/>
      <c r="V24" s="7"/>
      <c r="W24" s="7"/>
      <c r="X24" s="7"/>
      <c r="Y24" s="7"/>
      <c r="Z24" s="7"/>
      <c r="AA24" s="7"/>
      <c r="AB24" s="7"/>
      <c r="AC24" s="7"/>
      <c r="AD24" s="7"/>
      <c r="AE24" s="7"/>
      <c r="AF24" s="7"/>
      <c r="AG24" s="7"/>
      <c r="AH24" s="7"/>
      <c r="AI24" s="7"/>
      <c r="AJ24" s="7"/>
    </row>
    <row r="25">
      <c r="A25" s="10">
        <v>42402.0</v>
      </c>
      <c r="B25" s="6" t="s">
        <v>65</v>
      </c>
      <c r="C25" s="6" t="s">
        <v>37</v>
      </c>
      <c r="D25" s="6" t="str">
        <f>IF(NOT(ISBLANK(C25)), VLOOKUP(C25,'Dataset Descriptions'!$A$2:$B$10, 2, FALSE), "")</f>
        <v>Forecasts of municipal-level changes in population over coming years.</v>
      </c>
      <c r="E25" s="6" t="s">
        <v>25</v>
      </c>
      <c r="F25" s="6" t="s">
        <v>25</v>
      </c>
      <c r="G25" s="6" t="s">
        <v>25</v>
      </c>
      <c r="H25" s="6" t="s">
        <v>25</v>
      </c>
      <c r="I25" s="6" t="s">
        <v>25</v>
      </c>
      <c r="J25" s="6" t="s">
        <v>25</v>
      </c>
      <c r="K25" s="6" t="s">
        <v>25</v>
      </c>
      <c r="L25" s="6" t="s">
        <v>25</v>
      </c>
      <c r="M25" s="6" t="s">
        <v>25</v>
      </c>
      <c r="N25" s="6" t="s">
        <v>23</v>
      </c>
      <c r="O25" s="6" t="s">
        <v>23</v>
      </c>
      <c r="P25" s="6" t="s">
        <v>23</v>
      </c>
      <c r="Q25" s="15" t="s">
        <v>73</v>
      </c>
      <c r="R25" s="14" t="s">
        <v>74</v>
      </c>
      <c r="S25" s="6">
        <f>IF(NOT(ISBLANK(E25)), ROUND(((IF(E25="yes",1,0)*'Grading Scale'!E$2)+(IF(F25="yes",1,0)*'Grading Scale'!E$3)+(IF(G25="yes",1,0)*'Grading Scale'!E$4)+(IF(H25="yes",1,0)*'Grading Scale'!E$5)+(IF(I25="yes",1,0)*'Grading Scale'!E$6)+(IF(J25="yes",1,0)*'Grading Scale'!E$7)+(IF(K25="yes",1,0)*'Grading Scale'!E$8)+(IF(L25="yes",1,0)*'Grading Scale'!E$9)+(IF(M25="yes",1,0)*'Grading Scale'!E$10)+(IF(N25="yes",1,0)*'Grading Scale'!E$11)+(IF(O25="yes",1,0)*'Grading Scale'!E$12)+(IF(P25="yes",1,0)*'Grading Scale'!E$13))/'Grading Scale'!E$14*100,0), "")</f>
        <v>85</v>
      </c>
      <c r="T25" s="6" t="str">
        <f>IF(ISNUMBER(S25),VLOOKUP(S25,'Grading Scale'!$A$2:$B$14, 2), "")</f>
        <v>B</v>
      </c>
      <c r="U25" s="7"/>
      <c r="V25" s="7"/>
      <c r="W25" s="7"/>
      <c r="X25" s="7"/>
      <c r="Y25" s="7"/>
      <c r="Z25" s="7"/>
      <c r="AA25" s="7"/>
      <c r="AB25" s="7"/>
      <c r="AC25" s="7"/>
      <c r="AD25" s="7"/>
      <c r="AE25" s="7"/>
      <c r="AF25" s="7"/>
      <c r="AG25" s="7"/>
      <c r="AH25" s="7"/>
      <c r="AI25" s="7"/>
      <c r="AJ25" s="7"/>
    </row>
    <row r="26">
      <c r="A26" s="10">
        <v>42360.0</v>
      </c>
      <c r="B26" s="6" t="s">
        <v>65</v>
      </c>
      <c r="C26" s="6" t="s">
        <v>40</v>
      </c>
      <c r="D26" s="6" t="str">
        <f>IF(NOT(ISBLANK(C26)), VLOOKUP(C26,'Dataset Descriptions'!$A$2:$B$10, 2, FALSE), "")</f>
        <v>State-owned land and buildings.</v>
      </c>
      <c r="E26" s="6" t="s">
        <v>23</v>
      </c>
      <c r="F26" s="6" t="s">
        <v>23</v>
      </c>
      <c r="G26" s="6" t="s">
        <v>23</v>
      </c>
      <c r="H26" s="6" t="s">
        <v>23</v>
      </c>
      <c r="I26" s="6" t="s">
        <v>23</v>
      </c>
      <c r="J26" s="6" t="s">
        <v>23</v>
      </c>
      <c r="K26" s="6" t="s">
        <v>23</v>
      </c>
      <c r="L26" s="6" t="s">
        <v>23</v>
      </c>
      <c r="M26" s="6" t="s">
        <v>23</v>
      </c>
      <c r="N26" s="6" t="s">
        <v>23</v>
      </c>
      <c r="O26" s="6" t="s">
        <v>23</v>
      </c>
      <c r="P26" s="6" t="s">
        <v>23</v>
      </c>
      <c r="Q26" s="6"/>
      <c r="R26" s="14"/>
      <c r="S26" s="6">
        <f>IF(NOT(ISBLANK(E26)), ROUND(((IF(E26="yes",1,0)*'Grading Scale'!E$2)+(IF(F26="yes",1,0)*'Grading Scale'!E$3)+(IF(G26="yes",1,0)*'Grading Scale'!E$4)+(IF(H26="yes",1,0)*'Grading Scale'!E$5)+(IF(I26="yes",1,0)*'Grading Scale'!E$6)+(IF(J26="yes",1,0)*'Grading Scale'!E$7)+(IF(K26="yes",1,0)*'Grading Scale'!E$8)+(IF(L26="yes",1,0)*'Grading Scale'!E$9)+(IF(M26="yes",1,0)*'Grading Scale'!E$10)+(IF(N26="yes",1,0)*'Grading Scale'!E$11)+(IF(O26="yes",1,0)*'Grading Scale'!E$12)+(IF(P26="yes",1,0)*'Grading Scale'!E$13))/'Grading Scale'!E$14*100,0), "")</f>
        <v>0</v>
      </c>
      <c r="T26" s="6" t="str">
        <f>IF(ISNUMBER(S26),VLOOKUP(S26,'Grading Scale'!$A$2:$B$14, 2), "")</f>
        <v>F</v>
      </c>
      <c r="U26" s="7"/>
      <c r="V26" s="7"/>
      <c r="W26" s="7"/>
      <c r="X26" s="7"/>
      <c r="Y26" s="7"/>
      <c r="Z26" s="7"/>
      <c r="AA26" s="7"/>
      <c r="AB26" s="7"/>
      <c r="AC26" s="7"/>
      <c r="AD26" s="7"/>
      <c r="AE26" s="7"/>
      <c r="AF26" s="7"/>
      <c r="AG26" s="7"/>
      <c r="AH26" s="7"/>
      <c r="AI26" s="7"/>
      <c r="AJ26" s="7"/>
    </row>
    <row r="27">
      <c r="A27" s="10">
        <v>42338.0</v>
      </c>
      <c r="B27" s="6" t="s">
        <v>65</v>
      </c>
      <c r="C27" s="6" t="s">
        <v>43</v>
      </c>
      <c r="D27" s="6" t="str">
        <f>IF(NOT(ISBLANK(C27)), VLOOKUP(C27,'Dataset Descriptions'!$A$2:$B$10, 2, FALSE), "")</f>
        <v>Health inspections of establishments that serve food to the public.</v>
      </c>
      <c r="E27" s="6" t="s">
        <v>23</v>
      </c>
      <c r="F27" s="6" t="s">
        <v>23</v>
      </c>
      <c r="G27" s="6" t="s">
        <v>23</v>
      </c>
      <c r="H27" s="6" t="s">
        <v>23</v>
      </c>
      <c r="I27" s="6" t="s">
        <v>23</v>
      </c>
      <c r="J27" s="6" t="s">
        <v>23</v>
      </c>
      <c r="K27" s="6" t="s">
        <v>23</v>
      </c>
      <c r="L27" s="6" t="s">
        <v>23</v>
      </c>
      <c r="M27" s="6" t="s">
        <v>23</v>
      </c>
      <c r="N27" s="6" t="s">
        <v>23</v>
      </c>
      <c r="O27" s="6" t="s">
        <v>23</v>
      </c>
      <c r="P27" s="6" t="s">
        <v>23</v>
      </c>
      <c r="Q27" s="8"/>
      <c r="R27" s="11"/>
      <c r="S27" s="6">
        <f>IF(NOT(ISBLANK(E27)), ROUND(((IF(E27="yes",1,0)*'Grading Scale'!E$2)+(IF(F27="yes",1,0)*'Grading Scale'!E$3)+(IF(G27="yes",1,0)*'Grading Scale'!E$4)+(IF(H27="yes",1,0)*'Grading Scale'!E$5)+(IF(I27="yes",1,0)*'Grading Scale'!E$6)+(IF(J27="yes",1,0)*'Grading Scale'!E$7)+(IF(K27="yes",1,0)*'Grading Scale'!E$8)+(IF(L27="yes",1,0)*'Grading Scale'!E$9)+(IF(M27="yes",1,0)*'Grading Scale'!E$10)+(IF(N27="yes",1,0)*'Grading Scale'!E$11)+(IF(O27="yes",1,0)*'Grading Scale'!E$12)+(IF(P27="yes",1,0)*'Grading Scale'!E$13))/'Grading Scale'!E$14*100,0), "")</f>
        <v>0</v>
      </c>
      <c r="T27" s="6" t="str">
        <f>IF(ISNUMBER(S27),VLOOKUP(S27,'Grading Scale'!$A$2:$B$14, 2), "")</f>
        <v>F</v>
      </c>
      <c r="U27" s="7"/>
      <c r="V27" s="7"/>
      <c r="W27" s="7"/>
      <c r="X27" s="7"/>
      <c r="Y27" s="7"/>
      <c r="Z27" s="7"/>
      <c r="AA27" s="7"/>
      <c r="AB27" s="7"/>
      <c r="AC27" s="7"/>
      <c r="AD27" s="7"/>
      <c r="AE27" s="7"/>
      <c r="AF27" s="7"/>
      <c r="AG27" s="7"/>
      <c r="AH27" s="7"/>
      <c r="AI27" s="7"/>
      <c r="AJ27" s="7"/>
    </row>
    <row r="28">
      <c r="A28" s="10">
        <v>42375.0</v>
      </c>
      <c r="B28" s="6" t="s">
        <v>65</v>
      </c>
      <c r="C28" s="6" t="s">
        <v>46</v>
      </c>
      <c r="D28" s="6" t="str">
        <f>IF(NOT(ISBLANK(C28)), VLOOKUP(C28,'Dataset Descriptions'!$A$2:$B$10, 2, FALSE), "")</f>
        <v>Incident-level reportable motor vehicle crash records.</v>
      </c>
      <c r="E28" s="6" t="s">
        <v>25</v>
      </c>
      <c r="F28" s="6" t="s">
        <v>25</v>
      </c>
      <c r="G28" s="6" t="s">
        <v>25</v>
      </c>
      <c r="H28" s="6" t="s">
        <v>25</v>
      </c>
      <c r="I28" s="6" t="s">
        <v>25</v>
      </c>
      <c r="J28" s="6" t="s">
        <v>23</v>
      </c>
      <c r="K28" s="6" t="s">
        <v>23</v>
      </c>
      <c r="L28" s="6" t="s">
        <v>23</v>
      </c>
      <c r="M28" s="6" t="s">
        <v>25</v>
      </c>
      <c r="N28" s="6" t="s">
        <v>23</v>
      </c>
      <c r="O28" s="6" t="s">
        <v>23</v>
      </c>
      <c r="P28" s="6" t="s">
        <v>23</v>
      </c>
      <c r="Q28" s="15" t="s">
        <v>75</v>
      </c>
      <c r="R28" s="14" t="s">
        <v>76</v>
      </c>
      <c r="S28" s="6">
        <f>IF(NOT(ISBLANK(E28)), ROUND(((IF(E28="yes",1,0)*'Grading Scale'!E$2)+(IF(F28="yes",1,0)*'Grading Scale'!E$3)+(IF(G28="yes",1,0)*'Grading Scale'!E$4)+(IF(H28="yes",1,0)*'Grading Scale'!E$5)+(IF(I28="yes",1,0)*'Grading Scale'!E$6)+(IF(J28="yes",1,0)*'Grading Scale'!E$7)+(IF(K28="yes",1,0)*'Grading Scale'!E$8)+(IF(L28="yes",1,0)*'Grading Scale'!E$9)+(IF(M28="yes",1,0)*'Grading Scale'!E$10)+(IF(N28="yes",1,0)*'Grading Scale'!E$11)+(IF(O28="yes",1,0)*'Grading Scale'!E$12)+(IF(P28="yes",1,0)*'Grading Scale'!E$13))/'Grading Scale'!E$14*100,0), "")</f>
        <v>35</v>
      </c>
      <c r="T28" s="6" t="str">
        <f>IF(ISNUMBER(S28),VLOOKUP(S28,'Grading Scale'!$A$2:$B$14, 2), "")</f>
        <v>F</v>
      </c>
      <c r="U28" s="7"/>
      <c r="V28" s="7"/>
      <c r="W28" s="7"/>
      <c r="X28" s="7"/>
      <c r="Y28" s="7"/>
      <c r="Z28" s="7"/>
      <c r="AA28" s="7"/>
      <c r="AB28" s="7"/>
      <c r="AC28" s="7"/>
      <c r="AD28" s="7"/>
      <c r="AE28" s="7"/>
      <c r="AF28" s="7"/>
      <c r="AG28" s="7"/>
      <c r="AH28" s="7"/>
      <c r="AI28" s="7"/>
      <c r="AJ28" s="7"/>
    </row>
    <row r="29">
      <c r="A29" s="4">
        <v>42388.0</v>
      </c>
      <c r="B29" s="5" t="s">
        <v>77</v>
      </c>
      <c r="C29" s="5" t="s">
        <v>21</v>
      </c>
      <c r="D29" s="6" t="str">
        <f>IF(NOT(ISBLANK(C29)), VLOOKUP(C29,'Dataset Descriptions'!$A$2:$B$10, 2, FALSE), "")</f>
        <v>The geographic coordinates for physical addresses.</v>
      </c>
      <c r="E29" s="5" t="s">
        <v>25</v>
      </c>
      <c r="F29" s="5" t="s">
        <v>25</v>
      </c>
      <c r="G29" s="5" t="s">
        <v>25</v>
      </c>
      <c r="H29" s="5" t="s">
        <v>25</v>
      </c>
      <c r="I29" s="5" t="s">
        <v>25</v>
      </c>
      <c r="J29" s="5" t="s">
        <v>25</v>
      </c>
      <c r="K29" s="5" t="s">
        <v>25</v>
      </c>
      <c r="L29" s="5" t="s">
        <v>25</v>
      </c>
      <c r="M29" s="5" t="s">
        <v>25</v>
      </c>
      <c r="N29" s="5" t="s">
        <v>23</v>
      </c>
      <c r="O29" s="5" t="s">
        <v>23</v>
      </c>
      <c r="P29" s="5" t="s">
        <v>25</v>
      </c>
      <c r="Q29" s="9" t="s">
        <v>78</v>
      </c>
      <c r="R29" s="6" t="s">
        <v>79</v>
      </c>
      <c r="S29" s="6">
        <f>IF(NOT(ISBLANK(E29)), ROUND(((IF(E29="yes",1,0)*'Grading Scale'!E$2)+(IF(F29="yes",1,0)*'Grading Scale'!E$3)+(IF(G29="yes",1,0)*'Grading Scale'!E$4)+(IF(H29="yes",1,0)*'Grading Scale'!E$5)+(IF(I29="yes",1,0)*'Grading Scale'!E$6)+(IF(J29="yes",1,0)*'Grading Scale'!E$7)+(IF(K29="yes",1,0)*'Grading Scale'!E$8)+(IF(L29="yes",1,0)*'Grading Scale'!E$9)+(IF(M29="yes",1,0)*'Grading Scale'!E$10)+(IF(N29="yes",1,0)*'Grading Scale'!E$11)+(IF(O29="yes",1,0)*'Grading Scale'!E$12)+(IF(P29="yes",1,0)*'Grading Scale'!E$13))/'Grading Scale'!E$14*100,0), "")</f>
        <v>90</v>
      </c>
      <c r="T29" s="6" t="str">
        <f>IF(ISNUMBER(S29),VLOOKUP(S29,'Grading Scale'!$A$2:$B$14, 2), "")</f>
        <v>A−</v>
      </c>
      <c r="U29" s="7"/>
      <c r="V29" s="7"/>
      <c r="W29" s="7"/>
      <c r="X29" s="7"/>
      <c r="Y29" s="7"/>
      <c r="Z29" s="7"/>
      <c r="AA29" s="7"/>
      <c r="AB29" s="7"/>
      <c r="AC29" s="7"/>
      <c r="AD29" s="7"/>
      <c r="AE29" s="7"/>
      <c r="AF29" s="7"/>
      <c r="AG29" s="7"/>
      <c r="AH29" s="7"/>
      <c r="AI29" s="7"/>
      <c r="AJ29" s="7"/>
    </row>
    <row r="30">
      <c r="A30" s="4">
        <v>42388.0</v>
      </c>
      <c r="B30" s="5" t="s">
        <v>77</v>
      </c>
      <c r="C30" s="5" t="s">
        <v>24</v>
      </c>
      <c r="D30" s="6" t="str">
        <f>IF(NOT(ISBLANK(C30)), VLOOKUP(C30,'Dataset Descriptions'!$A$2:$B$10, 2, FALSE), "")</f>
        <v>Transaction-level, per-agency spending records.</v>
      </c>
      <c r="E30" s="5" t="s">
        <v>25</v>
      </c>
      <c r="F30" s="5" t="s">
        <v>25</v>
      </c>
      <c r="G30" s="5" t="s">
        <v>25</v>
      </c>
      <c r="H30" s="5" t="s">
        <v>25</v>
      </c>
      <c r="I30" s="5" t="s">
        <v>25</v>
      </c>
      <c r="J30" s="5" t="s">
        <v>25</v>
      </c>
      <c r="K30" s="5" t="s">
        <v>23</v>
      </c>
      <c r="L30" s="5" t="s">
        <v>23</v>
      </c>
      <c r="M30" s="5" t="s">
        <v>25</v>
      </c>
      <c r="N30" s="5" t="s">
        <v>23</v>
      </c>
      <c r="O30" s="5" t="s">
        <v>25</v>
      </c>
      <c r="P30" s="5" t="s">
        <v>23</v>
      </c>
      <c r="Q30" s="9" t="s">
        <v>80</v>
      </c>
      <c r="R30" s="6" t="s">
        <v>81</v>
      </c>
      <c r="S30" s="6">
        <f>IF(NOT(ISBLANK(E30)), ROUND(((IF(E30="yes",1,0)*'Grading Scale'!E$2)+(IF(F30="yes",1,0)*'Grading Scale'!E$3)+(IF(G30="yes",1,0)*'Grading Scale'!E$4)+(IF(H30="yes",1,0)*'Grading Scale'!E$5)+(IF(I30="yes",1,0)*'Grading Scale'!E$6)+(IF(J30="yes",1,0)*'Grading Scale'!E$7)+(IF(K30="yes",1,0)*'Grading Scale'!E$8)+(IF(L30="yes",1,0)*'Grading Scale'!E$9)+(IF(M30="yes",1,0)*'Grading Scale'!E$10)+(IF(N30="yes",1,0)*'Grading Scale'!E$11)+(IF(O30="yes",1,0)*'Grading Scale'!E$12)+(IF(P30="yes",1,0)*'Grading Scale'!E$13))/'Grading Scale'!E$14*100,0), "")</f>
        <v>80</v>
      </c>
      <c r="T30" s="6" t="str">
        <f>IF(ISNUMBER(S30),VLOOKUP(S30,'Grading Scale'!$A$2:$B$14, 2), "")</f>
        <v>B−</v>
      </c>
      <c r="U30" s="7"/>
      <c r="V30" s="7"/>
      <c r="W30" s="7"/>
      <c r="X30" s="7"/>
      <c r="Y30" s="7"/>
      <c r="Z30" s="7"/>
      <c r="AA30" s="7"/>
      <c r="AB30" s="7"/>
      <c r="AC30" s="7"/>
      <c r="AD30" s="7"/>
      <c r="AE30" s="7"/>
      <c r="AF30" s="7"/>
      <c r="AG30" s="7"/>
      <c r="AH30" s="7"/>
      <c r="AI30" s="7"/>
      <c r="AJ30" s="7"/>
    </row>
    <row r="31">
      <c r="A31" s="4">
        <v>42384.0</v>
      </c>
      <c r="B31" s="5" t="s">
        <v>77</v>
      </c>
      <c r="C31" s="5" t="s">
        <v>28</v>
      </c>
      <c r="D31" s="6" t="str">
        <f>IF(NOT(ISBLANK(C31)), VLOOKUP(C31,'Dataset Descriptions'!$A$2:$B$10, 2, FALSE), "")</f>
        <v>The register of all corporations that exist in the state.</v>
      </c>
      <c r="E31" s="5" t="s">
        <v>25</v>
      </c>
      <c r="F31" s="5" t="s">
        <v>25</v>
      </c>
      <c r="G31" s="5" t="s">
        <v>25</v>
      </c>
      <c r="H31" s="5" t="s">
        <v>23</v>
      </c>
      <c r="I31" s="5" t="s">
        <v>25</v>
      </c>
      <c r="J31" s="5" t="s">
        <v>25</v>
      </c>
      <c r="K31" s="5" t="s">
        <v>25</v>
      </c>
      <c r="L31" s="5" t="s">
        <v>23</v>
      </c>
      <c r="M31" s="5" t="s">
        <v>25</v>
      </c>
      <c r="N31" s="5" t="s">
        <v>23</v>
      </c>
      <c r="O31" s="5" t="s">
        <v>22</v>
      </c>
      <c r="P31" s="5" t="s">
        <v>22</v>
      </c>
      <c r="Q31" s="9" t="s">
        <v>82</v>
      </c>
      <c r="R31" s="6" t="s">
        <v>83</v>
      </c>
      <c r="S31" s="6">
        <f>IF(NOT(ISBLANK(E31)), ROUND(((IF(E31="yes",1,0)*'Grading Scale'!E$2)+(IF(F31="yes",1,0)*'Grading Scale'!E$3)+(IF(G31="yes",1,0)*'Grading Scale'!E$4)+(IF(H31="yes",1,0)*'Grading Scale'!E$5)+(IF(I31="yes",1,0)*'Grading Scale'!E$6)+(IF(J31="yes",1,0)*'Grading Scale'!E$7)+(IF(K31="yes",1,0)*'Grading Scale'!E$8)+(IF(L31="yes",1,0)*'Grading Scale'!E$9)+(IF(M31="yes",1,0)*'Grading Scale'!E$10)+(IF(N31="yes",1,0)*'Grading Scale'!E$11)+(IF(O31="yes",1,0)*'Grading Scale'!E$12)+(IF(P31="yes",1,0)*'Grading Scale'!E$13))/'Grading Scale'!E$14*100,0), "")</f>
        <v>65</v>
      </c>
      <c r="T31" s="6" t="str">
        <f>IF(ISNUMBER(S31),VLOOKUP(S31,'Grading Scale'!$A$2:$B$14, 2), "")</f>
        <v>D</v>
      </c>
      <c r="U31" s="7"/>
      <c r="V31" s="7"/>
      <c r="W31" s="7"/>
      <c r="X31" s="7"/>
      <c r="Y31" s="7"/>
      <c r="Z31" s="7"/>
      <c r="AA31" s="7"/>
      <c r="AB31" s="7"/>
      <c r="AC31" s="7"/>
      <c r="AD31" s="7"/>
      <c r="AE31" s="7"/>
      <c r="AF31" s="7"/>
      <c r="AG31" s="7"/>
      <c r="AH31" s="7"/>
      <c r="AI31" s="7"/>
      <c r="AJ31" s="7"/>
    </row>
    <row r="32" ht="16.5" customHeight="1">
      <c r="A32" s="4">
        <v>42388.0</v>
      </c>
      <c r="B32" s="5" t="s">
        <v>77</v>
      </c>
      <c r="C32" s="5" t="s">
        <v>31</v>
      </c>
      <c r="D32" s="6" t="str">
        <f>IF(NOT(ISBLANK(C32)), VLOOKUP(C32,'Dataset Descriptions'!$A$2:$B$10, 2, FALSE), "")</f>
        <v>Per-facility inmate population records.</v>
      </c>
      <c r="E32" s="5" t="s">
        <v>23</v>
      </c>
      <c r="F32" s="5" t="s">
        <v>23</v>
      </c>
      <c r="G32" s="5" t="s">
        <v>23</v>
      </c>
      <c r="H32" s="5" t="s">
        <v>23</v>
      </c>
      <c r="I32" s="5" t="s">
        <v>23</v>
      </c>
      <c r="J32" s="5" t="s">
        <v>23</v>
      </c>
      <c r="K32" s="5" t="s">
        <v>23</v>
      </c>
      <c r="L32" s="5" t="s">
        <v>23</v>
      </c>
      <c r="M32" s="5" t="s">
        <v>23</v>
      </c>
      <c r="N32" s="5" t="s">
        <v>23</v>
      </c>
      <c r="O32" s="5" t="s">
        <v>23</v>
      </c>
      <c r="P32" s="5" t="s">
        <v>23</v>
      </c>
      <c r="Q32" s="7"/>
      <c r="R32" s="6" t="s">
        <v>84</v>
      </c>
      <c r="S32" s="6">
        <f>IF(NOT(ISBLANK(E32)), ROUND(((IF(E32="yes",1,0)*'Grading Scale'!E$2)+(IF(F32="yes",1,0)*'Grading Scale'!E$3)+(IF(G32="yes",1,0)*'Grading Scale'!E$4)+(IF(H32="yes",1,0)*'Grading Scale'!E$5)+(IF(I32="yes",1,0)*'Grading Scale'!E$6)+(IF(J32="yes",1,0)*'Grading Scale'!E$7)+(IF(K32="yes",1,0)*'Grading Scale'!E$8)+(IF(L32="yes",1,0)*'Grading Scale'!E$9)+(IF(M32="yes",1,0)*'Grading Scale'!E$10)+(IF(N32="yes",1,0)*'Grading Scale'!E$11)+(IF(O32="yes",1,0)*'Grading Scale'!E$12)+(IF(P32="yes",1,0)*'Grading Scale'!E$13))/'Grading Scale'!E$14*100,0), "")</f>
        <v>0</v>
      </c>
      <c r="T32" s="6" t="str">
        <f>IF(ISNUMBER(S32),VLOOKUP(S32,'Grading Scale'!$A$2:$B$14, 2), "")</f>
        <v>F</v>
      </c>
      <c r="U32" s="7"/>
      <c r="V32" s="7"/>
      <c r="W32" s="7"/>
      <c r="X32" s="7"/>
      <c r="Y32" s="7"/>
      <c r="Z32" s="7"/>
      <c r="AA32" s="7"/>
      <c r="AB32" s="7"/>
      <c r="AC32" s="7"/>
      <c r="AD32" s="7"/>
      <c r="AE32" s="7"/>
      <c r="AF32" s="7"/>
      <c r="AG32" s="7"/>
      <c r="AH32" s="7"/>
      <c r="AI32" s="7"/>
      <c r="AJ32" s="7"/>
    </row>
    <row r="33">
      <c r="A33" s="4">
        <v>42388.0</v>
      </c>
      <c r="B33" s="5" t="s">
        <v>77</v>
      </c>
      <c r="C33" s="5" t="s">
        <v>34</v>
      </c>
      <c r="D33" s="6" t="str">
        <f>IF(NOT(ISBLANK(C33)), VLOOKUP(C33,'Dataset Descriptions'!$A$2:$B$10, 2, FALSE), "")</f>
        <v>Bills before the legislature, and the legislators that comprise it.</v>
      </c>
      <c r="E33" s="5" t="s">
        <v>25</v>
      </c>
      <c r="F33" s="5" t="s">
        <v>25</v>
      </c>
      <c r="G33" s="5" t="s">
        <v>25</v>
      </c>
      <c r="H33" s="5" t="s">
        <v>25</v>
      </c>
      <c r="I33" s="5" t="s">
        <v>25</v>
      </c>
      <c r="J33" s="5" t="s">
        <v>23</v>
      </c>
      <c r="K33" s="5" t="s">
        <v>23</v>
      </c>
      <c r="L33" s="5" t="s">
        <v>25</v>
      </c>
      <c r="M33" s="5" t="s">
        <v>25</v>
      </c>
      <c r="N33" s="5" t="s">
        <v>23</v>
      </c>
      <c r="O33" s="5" t="s">
        <v>23</v>
      </c>
      <c r="P33" s="5" t="s">
        <v>25</v>
      </c>
      <c r="Q33" s="9" t="s">
        <v>85</v>
      </c>
      <c r="R33" s="6" t="s">
        <v>86</v>
      </c>
      <c r="S33" s="6">
        <f>IF(NOT(ISBLANK(E33)), ROUND(((IF(E33="yes",1,0)*'Grading Scale'!E$2)+(IF(F33="yes",1,0)*'Grading Scale'!E$3)+(IF(G33="yes",1,0)*'Grading Scale'!E$4)+(IF(H33="yes",1,0)*'Grading Scale'!E$5)+(IF(I33="yes",1,0)*'Grading Scale'!E$6)+(IF(J33="yes",1,0)*'Grading Scale'!E$7)+(IF(K33="yes",1,0)*'Grading Scale'!E$8)+(IF(L33="yes",1,0)*'Grading Scale'!E$9)+(IF(M33="yes",1,0)*'Grading Scale'!E$10)+(IF(N33="yes",1,0)*'Grading Scale'!E$11)+(IF(O33="yes",1,0)*'Grading Scale'!E$12)+(IF(P33="yes",1,0)*'Grading Scale'!E$13))/'Grading Scale'!E$14*100,0), "")</f>
        <v>45</v>
      </c>
      <c r="T33" s="6" t="str">
        <f>IF(ISNUMBER(S33),VLOOKUP(S33,'Grading Scale'!$A$2:$B$14, 2), "")</f>
        <v>F</v>
      </c>
      <c r="U33" s="7"/>
      <c r="V33" s="7"/>
      <c r="W33" s="7"/>
      <c r="X33" s="7"/>
      <c r="Y33" s="7"/>
      <c r="Z33" s="7"/>
      <c r="AA33" s="7"/>
      <c r="AB33" s="7"/>
      <c r="AC33" s="7"/>
      <c r="AD33" s="7"/>
      <c r="AE33" s="7"/>
      <c r="AF33" s="7"/>
      <c r="AG33" s="7"/>
      <c r="AH33" s="7"/>
      <c r="AI33" s="7"/>
      <c r="AJ33" s="7"/>
    </row>
    <row r="34">
      <c r="A34" s="4">
        <v>42395.0</v>
      </c>
      <c r="B34" s="5" t="s">
        <v>77</v>
      </c>
      <c r="C34" s="6" t="s">
        <v>37</v>
      </c>
      <c r="D34" s="6" t="str">
        <f>IF(NOT(ISBLANK(C34)), VLOOKUP(C34,'Dataset Descriptions'!$A$2:$B$10, 2, FALSE), "")</f>
        <v>Forecasts of municipal-level changes in population over coming years.</v>
      </c>
      <c r="E34" s="5" t="s">
        <v>25</v>
      </c>
      <c r="F34" s="5" t="s">
        <v>25</v>
      </c>
      <c r="G34" s="5" t="s">
        <v>25</v>
      </c>
      <c r="H34" s="5" t="s">
        <v>25</v>
      </c>
      <c r="I34" s="5" t="s">
        <v>25</v>
      </c>
      <c r="J34" s="5" t="s">
        <v>25</v>
      </c>
      <c r="K34" s="5" t="s">
        <v>25</v>
      </c>
      <c r="L34" s="5" t="s">
        <v>23</v>
      </c>
      <c r="M34" s="5" t="s">
        <v>25</v>
      </c>
      <c r="N34" s="5" t="s">
        <v>23</v>
      </c>
      <c r="O34" s="5" t="s">
        <v>23</v>
      </c>
      <c r="P34" s="5" t="s">
        <v>23</v>
      </c>
      <c r="Q34" s="9" t="s">
        <v>87</v>
      </c>
      <c r="R34" s="6" t="s">
        <v>88</v>
      </c>
      <c r="S34" s="6">
        <f>IF(NOT(ISBLANK(E34)), ROUND(((IF(E34="yes",1,0)*'Grading Scale'!E$2)+(IF(F34="yes",1,0)*'Grading Scale'!E$3)+(IF(G34="yes",1,0)*'Grading Scale'!E$4)+(IF(H34="yes",1,0)*'Grading Scale'!E$5)+(IF(I34="yes",1,0)*'Grading Scale'!E$6)+(IF(J34="yes",1,0)*'Grading Scale'!E$7)+(IF(K34="yes",1,0)*'Grading Scale'!E$8)+(IF(L34="yes",1,0)*'Grading Scale'!E$9)+(IF(M34="yes",1,0)*'Grading Scale'!E$10)+(IF(N34="yes",1,0)*'Grading Scale'!E$11)+(IF(O34="yes",1,0)*'Grading Scale'!E$12)+(IF(P34="yes",1,0)*'Grading Scale'!E$13))/'Grading Scale'!E$14*100,0), "")</f>
        <v>80</v>
      </c>
      <c r="T34" s="6" t="str">
        <f>IF(ISNUMBER(S34),VLOOKUP(S34,'Grading Scale'!$A$2:$B$14, 2), "")</f>
        <v>B−</v>
      </c>
      <c r="U34" s="7"/>
      <c r="V34" s="7"/>
      <c r="W34" s="7"/>
      <c r="X34" s="7"/>
      <c r="Y34" s="7"/>
      <c r="Z34" s="7"/>
      <c r="AA34" s="7"/>
      <c r="AB34" s="7"/>
      <c r="AC34" s="7"/>
      <c r="AD34" s="7"/>
      <c r="AE34" s="7"/>
      <c r="AF34" s="7"/>
      <c r="AG34" s="7"/>
      <c r="AH34" s="7"/>
      <c r="AI34" s="7"/>
      <c r="AJ34" s="7"/>
    </row>
    <row r="35">
      <c r="A35" s="4">
        <v>42388.0</v>
      </c>
      <c r="B35" s="5" t="s">
        <v>77</v>
      </c>
      <c r="C35" s="5" t="s">
        <v>40</v>
      </c>
      <c r="D35" s="6" t="str">
        <f>IF(NOT(ISBLANK(C35)), VLOOKUP(C35,'Dataset Descriptions'!$A$2:$B$10, 2, FALSE), "")</f>
        <v>State-owned land and buildings.</v>
      </c>
      <c r="E35" s="5" t="s">
        <v>22</v>
      </c>
      <c r="F35" s="5" t="s">
        <v>22</v>
      </c>
      <c r="G35" s="5" t="s">
        <v>22</v>
      </c>
      <c r="H35" s="5" t="s">
        <v>22</v>
      </c>
      <c r="I35" s="5" t="s">
        <v>23</v>
      </c>
      <c r="J35" s="5" t="s">
        <v>22</v>
      </c>
      <c r="K35" s="5" t="s">
        <v>22</v>
      </c>
      <c r="L35" s="5" t="s">
        <v>22</v>
      </c>
      <c r="M35" s="5" t="s">
        <v>22</v>
      </c>
      <c r="N35" s="5" t="s">
        <v>23</v>
      </c>
      <c r="O35" s="5" t="s">
        <v>22</v>
      </c>
      <c r="P35" s="5" t="s">
        <v>22</v>
      </c>
      <c r="Q35" s="7"/>
      <c r="R35" s="8"/>
      <c r="S35" s="6">
        <f>IF(NOT(ISBLANK(E35)), ROUND(((IF(E35="yes",1,0)*'Grading Scale'!E$2)+(IF(F35="yes",1,0)*'Grading Scale'!E$3)+(IF(G35="yes",1,0)*'Grading Scale'!E$4)+(IF(H35="yes",1,0)*'Grading Scale'!E$5)+(IF(I35="yes",1,0)*'Grading Scale'!E$6)+(IF(J35="yes",1,0)*'Grading Scale'!E$7)+(IF(K35="yes",1,0)*'Grading Scale'!E$8)+(IF(L35="yes",1,0)*'Grading Scale'!E$9)+(IF(M35="yes",1,0)*'Grading Scale'!E$10)+(IF(N35="yes",1,0)*'Grading Scale'!E$11)+(IF(O35="yes",1,0)*'Grading Scale'!E$12)+(IF(P35="yes",1,0)*'Grading Scale'!E$13))/'Grading Scale'!E$14*100,0), "")</f>
        <v>0</v>
      </c>
      <c r="T35" s="6" t="str">
        <f>IF(ISNUMBER(S35),VLOOKUP(S35,'Grading Scale'!$A$2:$B$14, 2), "")</f>
        <v>F</v>
      </c>
      <c r="U35" s="7"/>
      <c r="V35" s="7"/>
      <c r="W35" s="7"/>
      <c r="X35" s="7"/>
      <c r="Y35" s="7"/>
      <c r="Z35" s="7"/>
      <c r="AA35" s="7"/>
      <c r="AB35" s="7"/>
      <c r="AC35" s="7"/>
      <c r="AD35" s="7"/>
      <c r="AE35" s="7"/>
      <c r="AF35" s="7"/>
      <c r="AG35" s="7"/>
      <c r="AH35" s="7"/>
      <c r="AI35" s="7"/>
      <c r="AJ35" s="7"/>
    </row>
    <row r="36">
      <c r="A36" s="4">
        <v>42388.0</v>
      </c>
      <c r="B36" s="5" t="s">
        <v>77</v>
      </c>
      <c r="C36" s="5" t="s">
        <v>43</v>
      </c>
      <c r="D36" s="6" t="str">
        <f>IF(NOT(ISBLANK(C36)), VLOOKUP(C36,'Dataset Descriptions'!$A$2:$B$10, 2, FALSE), "")</f>
        <v>Health inspections of establishments that serve food to the public.</v>
      </c>
      <c r="E36" s="5" t="s">
        <v>23</v>
      </c>
      <c r="F36" s="5" t="s">
        <v>23</v>
      </c>
      <c r="G36" s="5" t="s">
        <v>23</v>
      </c>
      <c r="H36" s="5" t="s">
        <v>23</v>
      </c>
      <c r="I36" s="5" t="s">
        <v>23</v>
      </c>
      <c r="J36" s="5" t="s">
        <v>23</v>
      </c>
      <c r="K36" s="5" t="s">
        <v>23</v>
      </c>
      <c r="L36" s="5" t="s">
        <v>23</v>
      </c>
      <c r="M36" s="5" t="s">
        <v>23</v>
      </c>
      <c r="N36" s="5" t="s">
        <v>23</v>
      </c>
      <c r="O36" s="5" t="s">
        <v>23</v>
      </c>
      <c r="P36" s="5" t="s">
        <v>23</v>
      </c>
      <c r="Q36" s="7"/>
      <c r="R36" s="6" t="s">
        <v>89</v>
      </c>
      <c r="S36" s="6">
        <f>IF(NOT(ISBLANK(E36)), ROUND(((IF(E36="yes",1,0)*'Grading Scale'!E$2)+(IF(F36="yes",1,0)*'Grading Scale'!E$3)+(IF(G36="yes",1,0)*'Grading Scale'!E$4)+(IF(H36="yes",1,0)*'Grading Scale'!E$5)+(IF(I36="yes",1,0)*'Grading Scale'!E$6)+(IF(J36="yes",1,0)*'Grading Scale'!E$7)+(IF(K36="yes",1,0)*'Grading Scale'!E$8)+(IF(L36="yes",1,0)*'Grading Scale'!E$9)+(IF(M36="yes",1,0)*'Grading Scale'!E$10)+(IF(N36="yes",1,0)*'Grading Scale'!E$11)+(IF(O36="yes",1,0)*'Grading Scale'!E$12)+(IF(P36="yes",1,0)*'Grading Scale'!E$13))/'Grading Scale'!E$14*100,0), "")</f>
        <v>0</v>
      </c>
      <c r="T36" s="6" t="str">
        <f>IF(ISNUMBER(S36),VLOOKUP(S36,'Grading Scale'!$A$2:$B$14, 2), "")</f>
        <v>F</v>
      </c>
      <c r="U36" s="7"/>
      <c r="V36" s="7"/>
      <c r="W36" s="7"/>
      <c r="X36" s="7"/>
      <c r="Y36" s="7"/>
      <c r="Z36" s="7"/>
      <c r="AA36" s="7"/>
      <c r="AB36" s="7"/>
      <c r="AC36" s="7"/>
      <c r="AD36" s="7"/>
      <c r="AE36" s="7"/>
      <c r="AF36" s="7"/>
      <c r="AG36" s="7"/>
      <c r="AH36" s="7"/>
      <c r="AI36" s="7"/>
      <c r="AJ36" s="7"/>
    </row>
    <row r="37">
      <c r="A37" s="4">
        <v>42389.0</v>
      </c>
      <c r="B37" s="5" t="s">
        <v>77</v>
      </c>
      <c r="C37" s="5" t="s">
        <v>46</v>
      </c>
      <c r="D37" s="6" t="str">
        <f>IF(NOT(ISBLANK(C37)), VLOOKUP(C37,'Dataset Descriptions'!$A$2:$B$10, 2, FALSE), "")</f>
        <v>Incident-level reportable motor vehicle crash records.</v>
      </c>
      <c r="E37" s="5" t="s">
        <v>25</v>
      </c>
      <c r="F37" s="5" t="s">
        <v>25</v>
      </c>
      <c r="G37" s="5" t="s">
        <v>22</v>
      </c>
      <c r="H37" s="5" t="s">
        <v>22</v>
      </c>
      <c r="I37" s="5" t="s">
        <v>23</v>
      </c>
      <c r="J37" s="5" t="s">
        <v>25</v>
      </c>
      <c r="K37" s="5" t="s">
        <v>22</v>
      </c>
      <c r="L37" s="5" t="s">
        <v>22</v>
      </c>
      <c r="M37" s="5" t="s">
        <v>22</v>
      </c>
      <c r="N37" s="5" t="s">
        <v>23</v>
      </c>
      <c r="O37" s="5" t="s">
        <v>22</v>
      </c>
      <c r="P37" s="5" t="s">
        <v>25</v>
      </c>
      <c r="Q37" s="9" t="s">
        <v>90</v>
      </c>
      <c r="R37" s="6" t="s">
        <v>91</v>
      </c>
      <c r="S37" s="6">
        <f>IF(NOT(ISBLANK(E37)), ROUND(((IF(E37="yes",1,0)*'Grading Scale'!E$2)+(IF(F37="yes",1,0)*'Grading Scale'!E$3)+(IF(G37="yes",1,0)*'Grading Scale'!E$4)+(IF(H37="yes",1,0)*'Grading Scale'!E$5)+(IF(I37="yes",1,0)*'Grading Scale'!E$6)+(IF(J37="yes",1,0)*'Grading Scale'!E$7)+(IF(K37="yes",1,0)*'Grading Scale'!E$8)+(IF(L37="yes",1,0)*'Grading Scale'!E$9)+(IF(M37="yes",1,0)*'Grading Scale'!E$10)+(IF(N37="yes",1,0)*'Grading Scale'!E$11)+(IF(O37="yes",1,0)*'Grading Scale'!E$12)+(IF(P37="yes",1,0)*'Grading Scale'!E$13))/'Grading Scale'!E$14*100,0), "")</f>
        <v>50</v>
      </c>
      <c r="T37" s="6" t="str">
        <f>IF(ISNUMBER(S37),VLOOKUP(S37,'Grading Scale'!$A$2:$B$14, 2), "")</f>
        <v>F</v>
      </c>
      <c r="U37" s="7"/>
      <c r="V37" s="7"/>
      <c r="W37" s="7"/>
      <c r="X37" s="7"/>
      <c r="Y37" s="7"/>
      <c r="Z37" s="7"/>
      <c r="AA37" s="7"/>
      <c r="AB37" s="7"/>
      <c r="AC37" s="7"/>
      <c r="AD37" s="7"/>
      <c r="AE37" s="7"/>
      <c r="AF37" s="7"/>
      <c r="AG37" s="7"/>
      <c r="AH37" s="7"/>
      <c r="AI37" s="7"/>
      <c r="AJ37" s="7"/>
    </row>
    <row r="38">
      <c r="A38" s="10">
        <v>42349.0</v>
      </c>
      <c r="B38" s="6" t="s">
        <v>92</v>
      </c>
      <c r="C38" s="6" t="s">
        <v>21</v>
      </c>
      <c r="D38" s="6" t="str">
        <f>IF(NOT(ISBLANK(C38)), VLOOKUP(C38,'Dataset Descriptions'!$A$2:$B$10, 2, FALSE), "")</f>
        <v>The geographic coordinates for physical addresses.</v>
      </c>
      <c r="E38" s="6" t="s">
        <v>23</v>
      </c>
      <c r="F38" s="6" t="s">
        <v>23</v>
      </c>
      <c r="G38" s="6" t="s">
        <v>23</v>
      </c>
      <c r="H38" s="6" t="s">
        <v>23</v>
      </c>
      <c r="I38" s="6" t="s">
        <v>23</v>
      </c>
      <c r="J38" s="6" t="s">
        <v>23</v>
      </c>
      <c r="K38" s="6" t="s">
        <v>23</v>
      </c>
      <c r="L38" s="6" t="s">
        <v>23</v>
      </c>
      <c r="M38" s="6" t="s">
        <v>23</v>
      </c>
      <c r="N38" s="6" t="s">
        <v>23</v>
      </c>
      <c r="O38" s="6" t="s">
        <v>23</v>
      </c>
      <c r="P38" s="6" t="s">
        <v>23</v>
      </c>
      <c r="Q38" s="8"/>
      <c r="R38" s="11"/>
      <c r="S38" s="6">
        <f>IF(NOT(ISBLANK(E38)), ROUND(((IF(E38="yes",1,0)*'Grading Scale'!E$2)+(IF(F38="yes",1,0)*'Grading Scale'!E$3)+(IF(G38="yes",1,0)*'Grading Scale'!E$4)+(IF(H38="yes",1,0)*'Grading Scale'!E$5)+(IF(I38="yes",1,0)*'Grading Scale'!E$6)+(IF(J38="yes",1,0)*'Grading Scale'!E$7)+(IF(K38="yes",1,0)*'Grading Scale'!E$8)+(IF(L38="yes",1,0)*'Grading Scale'!E$9)+(IF(M38="yes",1,0)*'Grading Scale'!E$10)+(IF(N38="yes",1,0)*'Grading Scale'!E$11)+(IF(O38="yes",1,0)*'Grading Scale'!E$12)+(IF(P38="yes",1,0)*'Grading Scale'!E$13))/'Grading Scale'!E$14*100,0), "")</f>
        <v>0</v>
      </c>
      <c r="T38" s="6" t="str">
        <f>IF(ISNUMBER(S38),VLOOKUP(S38,'Grading Scale'!$A$2:$B$14, 2), "")</f>
        <v>F</v>
      </c>
      <c r="U38" s="7"/>
      <c r="V38" s="7"/>
      <c r="W38" s="7"/>
      <c r="X38" s="7"/>
      <c r="Y38" s="7"/>
      <c r="Z38" s="7"/>
      <c r="AA38" s="7"/>
      <c r="AB38" s="7"/>
      <c r="AC38" s="7"/>
      <c r="AD38" s="7"/>
      <c r="AE38" s="7"/>
      <c r="AF38" s="7"/>
      <c r="AG38" s="7"/>
      <c r="AH38" s="7"/>
      <c r="AI38" s="7"/>
      <c r="AJ38" s="7"/>
    </row>
    <row r="39">
      <c r="A39" s="10">
        <v>42402.0</v>
      </c>
      <c r="B39" s="6" t="s">
        <v>92</v>
      </c>
      <c r="C39" s="6" t="s">
        <v>24</v>
      </c>
      <c r="D39" s="6" t="str">
        <f>IF(NOT(ISBLANK(C39)), VLOOKUP(C39,'Dataset Descriptions'!$A$2:$B$10, 2, FALSE), "")</f>
        <v>Transaction-level, per-agency spending records.</v>
      </c>
      <c r="E39" s="6" t="s">
        <v>23</v>
      </c>
      <c r="F39" s="6" t="s">
        <v>23</v>
      </c>
      <c r="G39" s="6" t="s">
        <v>23</v>
      </c>
      <c r="H39" s="6" t="s">
        <v>23</v>
      </c>
      <c r="I39" s="6" t="s">
        <v>23</v>
      </c>
      <c r="J39" s="6" t="s">
        <v>23</v>
      </c>
      <c r="K39" s="6" t="s">
        <v>23</v>
      </c>
      <c r="L39" s="6" t="s">
        <v>23</v>
      </c>
      <c r="M39" s="6" t="s">
        <v>23</v>
      </c>
      <c r="N39" s="6" t="s">
        <v>23</v>
      </c>
      <c r="O39" s="6" t="s">
        <v>23</v>
      </c>
      <c r="P39" s="6" t="s">
        <v>23</v>
      </c>
      <c r="Q39" s="8"/>
      <c r="R39" s="11"/>
      <c r="S39" s="6">
        <f>IF(NOT(ISBLANK(E39)), ROUND(((IF(E39="yes",1,0)*'Grading Scale'!E$2)+(IF(F39="yes",1,0)*'Grading Scale'!E$3)+(IF(G39="yes",1,0)*'Grading Scale'!E$4)+(IF(H39="yes",1,0)*'Grading Scale'!E$5)+(IF(I39="yes",1,0)*'Grading Scale'!E$6)+(IF(J39="yes",1,0)*'Grading Scale'!E$7)+(IF(K39="yes",1,0)*'Grading Scale'!E$8)+(IF(L39="yes",1,0)*'Grading Scale'!E$9)+(IF(M39="yes",1,0)*'Grading Scale'!E$10)+(IF(N39="yes",1,0)*'Grading Scale'!E$11)+(IF(O39="yes",1,0)*'Grading Scale'!E$12)+(IF(P39="yes",1,0)*'Grading Scale'!E$13))/'Grading Scale'!E$14*100,0), "")</f>
        <v>0</v>
      </c>
      <c r="T39" s="6" t="str">
        <f>IF(ISNUMBER(S39),VLOOKUP(S39,'Grading Scale'!$A$2:$B$14, 2), "")</f>
        <v>F</v>
      </c>
      <c r="U39" s="7"/>
      <c r="V39" s="7"/>
      <c r="W39" s="7"/>
      <c r="X39" s="7"/>
      <c r="Y39" s="7"/>
      <c r="Z39" s="7"/>
      <c r="AA39" s="7"/>
      <c r="AB39" s="7"/>
      <c r="AC39" s="7"/>
      <c r="AD39" s="7"/>
      <c r="AE39" s="7"/>
      <c r="AF39" s="7"/>
      <c r="AG39" s="7"/>
      <c r="AH39" s="7"/>
      <c r="AI39" s="7"/>
      <c r="AJ39" s="7"/>
    </row>
    <row r="40">
      <c r="A40" s="10">
        <v>42338.0</v>
      </c>
      <c r="B40" s="6" t="s">
        <v>92</v>
      </c>
      <c r="C40" s="6" t="s">
        <v>28</v>
      </c>
      <c r="D40" s="6" t="str">
        <f>IF(NOT(ISBLANK(C40)), VLOOKUP(C40,'Dataset Descriptions'!$A$2:$B$10, 2, FALSE), "")</f>
        <v>The register of all corporations that exist in the state.</v>
      </c>
      <c r="E40" s="6" t="s">
        <v>25</v>
      </c>
      <c r="F40" s="6" t="s">
        <v>25</v>
      </c>
      <c r="G40" s="6" t="s">
        <v>25</v>
      </c>
      <c r="H40" s="6" t="s">
        <v>25</v>
      </c>
      <c r="I40" s="6" t="s">
        <v>25</v>
      </c>
      <c r="J40" s="6" t="s">
        <v>23</v>
      </c>
      <c r="K40" s="6" t="s">
        <v>23</v>
      </c>
      <c r="L40" s="6" t="s">
        <v>23</v>
      </c>
      <c r="M40" s="6" t="s">
        <v>25</v>
      </c>
      <c r="N40" s="6" t="s">
        <v>25</v>
      </c>
      <c r="O40" s="6" t="s">
        <v>23</v>
      </c>
      <c r="P40" s="6" t="s">
        <v>23</v>
      </c>
      <c r="Q40" s="16" t="s">
        <v>93</v>
      </c>
      <c r="R40" s="14" t="s">
        <v>94</v>
      </c>
      <c r="S40" s="6">
        <f>IF(NOT(ISBLANK(E40)), ROUND(((IF(E40="yes",1,0)*'Grading Scale'!E$2)+(IF(F40="yes",1,0)*'Grading Scale'!E$3)+(IF(G40="yes",1,0)*'Grading Scale'!E$4)+(IF(H40="yes",1,0)*'Grading Scale'!E$5)+(IF(I40="yes",1,0)*'Grading Scale'!E$6)+(IF(J40="yes",1,0)*'Grading Scale'!E$7)+(IF(K40="yes",1,0)*'Grading Scale'!E$8)+(IF(L40="yes",1,0)*'Grading Scale'!E$9)+(IF(M40="yes",1,0)*'Grading Scale'!E$10)+(IF(N40="yes",1,0)*'Grading Scale'!E$11)+(IF(O40="yes",1,0)*'Grading Scale'!E$12)+(IF(P40="yes",1,0)*'Grading Scale'!E$13))/'Grading Scale'!E$14*100,0), "")</f>
        <v>40</v>
      </c>
      <c r="T40" s="6" t="str">
        <f>IF(ISNUMBER(S40),VLOOKUP(S40,'Grading Scale'!$A$2:$B$14, 2), "")</f>
        <v>F</v>
      </c>
      <c r="U40" s="7"/>
      <c r="V40" s="7"/>
      <c r="W40" s="7"/>
      <c r="X40" s="7"/>
      <c r="Y40" s="7"/>
      <c r="Z40" s="7"/>
      <c r="AA40" s="7"/>
      <c r="AB40" s="7"/>
      <c r="AC40" s="7"/>
      <c r="AD40" s="7"/>
      <c r="AE40" s="7"/>
      <c r="AF40" s="7"/>
      <c r="AG40" s="7"/>
      <c r="AH40" s="7"/>
      <c r="AI40" s="7"/>
      <c r="AJ40" s="7"/>
    </row>
    <row r="41">
      <c r="A41" s="10">
        <v>42360.0</v>
      </c>
      <c r="B41" s="6" t="s">
        <v>92</v>
      </c>
      <c r="C41" s="6" t="s">
        <v>31</v>
      </c>
      <c r="D41" s="6" t="str">
        <f>IF(NOT(ISBLANK(C41)), VLOOKUP(C41,'Dataset Descriptions'!$A$2:$B$10, 2, FALSE), "")</f>
        <v>Per-facility inmate population records.</v>
      </c>
      <c r="E41" s="6" t="s">
        <v>25</v>
      </c>
      <c r="F41" s="6" t="s">
        <v>25</v>
      </c>
      <c r="G41" s="6" t="s">
        <v>25</v>
      </c>
      <c r="H41" s="6" t="s">
        <v>25</v>
      </c>
      <c r="I41" s="6" t="s">
        <v>25</v>
      </c>
      <c r="J41" s="6" t="s">
        <v>23</v>
      </c>
      <c r="K41" s="6" t="s">
        <v>23</v>
      </c>
      <c r="L41" s="6" t="s">
        <v>23</v>
      </c>
      <c r="M41" s="6" t="s">
        <v>25</v>
      </c>
      <c r="N41" s="6" t="s">
        <v>23</v>
      </c>
      <c r="O41" s="6" t="s">
        <v>23</v>
      </c>
      <c r="P41" s="6" t="s">
        <v>25</v>
      </c>
      <c r="Q41" s="15" t="s">
        <v>95</v>
      </c>
      <c r="R41" s="11"/>
      <c r="S41" s="6">
        <f>IF(NOT(ISBLANK(E41)), ROUND(((IF(E41="yes",1,0)*'Grading Scale'!E$2)+(IF(F41="yes",1,0)*'Grading Scale'!E$3)+(IF(G41="yes",1,0)*'Grading Scale'!E$4)+(IF(H41="yes",1,0)*'Grading Scale'!E$5)+(IF(I41="yes",1,0)*'Grading Scale'!E$6)+(IF(J41="yes",1,0)*'Grading Scale'!E$7)+(IF(K41="yes",1,0)*'Grading Scale'!E$8)+(IF(L41="yes",1,0)*'Grading Scale'!E$9)+(IF(M41="yes",1,0)*'Grading Scale'!E$10)+(IF(N41="yes",1,0)*'Grading Scale'!E$11)+(IF(O41="yes",1,0)*'Grading Scale'!E$12)+(IF(P41="yes",1,0)*'Grading Scale'!E$13))/'Grading Scale'!E$14*100,0), "")</f>
        <v>40</v>
      </c>
      <c r="T41" s="6" t="str">
        <f>IF(ISNUMBER(S41),VLOOKUP(S41,'Grading Scale'!$A$2:$B$14, 2), "")</f>
        <v>F</v>
      </c>
      <c r="U41" s="7"/>
      <c r="V41" s="7"/>
      <c r="W41" s="7"/>
      <c r="X41" s="7"/>
      <c r="Y41" s="7"/>
      <c r="Z41" s="7"/>
      <c r="AA41" s="7"/>
      <c r="AB41" s="7"/>
      <c r="AC41" s="7"/>
      <c r="AD41" s="7"/>
      <c r="AE41" s="7"/>
      <c r="AF41" s="7"/>
      <c r="AG41" s="7"/>
      <c r="AH41" s="7"/>
      <c r="AI41" s="7"/>
      <c r="AJ41" s="7"/>
    </row>
    <row r="42">
      <c r="A42" s="10">
        <v>42338.0</v>
      </c>
      <c r="B42" s="6" t="s">
        <v>92</v>
      </c>
      <c r="C42" s="6" t="s">
        <v>34</v>
      </c>
      <c r="D42" s="6" t="str">
        <f>IF(NOT(ISBLANK(C42)), VLOOKUP(C42,'Dataset Descriptions'!$A$2:$B$10, 2, FALSE), "")</f>
        <v>Bills before the legislature, and the legislators that comprise it.</v>
      </c>
      <c r="E42" s="6" t="s">
        <v>25</v>
      </c>
      <c r="F42" s="6" t="s">
        <v>25</v>
      </c>
      <c r="G42" s="6" t="s">
        <v>25</v>
      </c>
      <c r="H42" s="6" t="s">
        <v>25</v>
      </c>
      <c r="I42" s="6" t="s">
        <v>25</v>
      </c>
      <c r="J42" s="6" t="s">
        <v>25</v>
      </c>
      <c r="K42" s="6" t="s">
        <v>25</v>
      </c>
      <c r="L42" s="6" t="s">
        <v>23</v>
      </c>
      <c r="M42" s="6" t="s">
        <v>25</v>
      </c>
      <c r="N42" s="6" t="s">
        <v>23</v>
      </c>
      <c r="O42" s="6" t="s">
        <v>23</v>
      </c>
      <c r="P42" s="6" t="s">
        <v>25</v>
      </c>
      <c r="Q42" s="15" t="s">
        <v>96</v>
      </c>
      <c r="R42" s="13" t="s">
        <v>97</v>
      </c>
      <c r="S42" s="6">
        <f>IF(NOT(ISBLANK(E42)), ROUND(((IF(E42="yes",1,0)*'Grading Scale'!E$2)+(IF(F42="yes",1,0)*'Grading Scale'!E$3)+(IF(G42="yes",1,0)*'Grading Scale'!E$4)+(IF(H42="yes",1,0)*'Grading Scale'!E$5)+(IF(I42="yes",1,0)*'Grading Scale'!E$6)+(IF(J42="yes",1,0)*'Grading Scale'!E$7)+(IF(K42="yes",1,0)*'Grading Scale'!E$8)+(IF(L42="yes",1,0)*'Grading Scale'!E$9)+(IF(M42="yes",1,0)*'Grading Scale'!E$10)+(IF(N42="yes",1,0)*'Grading Scale'!E$11)+(IF(O42="yes",1,0)*'Grading Scale'!E$12)+(IF(P42="yes",1,0)*'Grading Scale'!E$13))/'Grading Scale'!E$14*100,0), "")</f>
        <v>85</v>
      </c>
      <c r="T42" s="6" t="str">
        <f>IF(ISNUMBER(S42),VLOOKUP(S42,'Grading Scale'!$A$2:$B$14, 2), "")</f>
        <v>B</v>
      </c>
      <c r="U42" s="7"/>
      <c r="V42" s="7"/>
      <c r="W42" s="7"/>
      <c r="X42" s="7"/>
      <c r="Y42" s="7"/>
      <c r="Z42" s="7"/>
      <c r="AA42" s="7"/>
      <c r="AB42" s="7"/>
      <c r="AC42" s="7"/>
      <c r="AD42" s="7"/>
      <c r="AE42" s="7"/>
      <c r="AF42" s="7"/>
      <c r="AG42" s="7"/>
      <c r="AH42" s="7"/>
      <c r="AI42" s="7"/>
      <c r="AJ42" s="7"/>
    </row>
    <row r="43">
      <c r="A43" s="10">
        <v>42338.0</v>
      </c>
      <c r="B43" s="6" t="s">
        <v>92</v>
      </c>
      <c r="C43" s="6" t="s">
        <v>37</v>
      </c>
      <c r="D43" s="6" t="str">
        <f>IF(NOT(ISBLANK(C43)), VLOOKUP(C43,'Dataset Descriptions'!$A$2:$B$10, 2, FALSE), "")</f>
        <v>Forecasts of municipal-level changes in population over coming years.</v>
      </c>
      <c r="E43" s="6" t="s">
        <v>25</v>
      </c>
      <c r="F43" s="6" t="s">
        <v>25</v>
      </c>
      <c r="G43" s="6" t="s">
        <v>25</v>
      </c>
      <c r="H43" s="6" t="s">
        <v>25</v>
      </c>
      <c r="I43" s="6" t="s">
        <v>25</v>
      </c>
      <c r="J43" s="6" t="s">
        <v>25</v>
      </c>
      <c r="K43" s="6" t="s">
        <v>25</v>
      </c>
      <c r="L43" s="6" t="s">
        <v>23</v>
      </c>
      <c r="M43" s="6" t="s">
        <v>25</v>
      </c>
      <c r="N43" s="6" t="s">
        <v>23</v>
      </c>
      <c r="O43" s="6" t="s">
        <v>23</v>
      </c>
      <c r="P43" s="6" t="s">
        <v>25</v>
      </c>
      <c r="Q43" s="15" t="s">
        <v>98</v>
      </c>
      <c r="R43" s="14" t="s">
        <v>99</v>
      </c>
      <c r="S43" s="6">
        <f>IF(NOT(ISBLANK(E43)), ROUND(((IF(E43="yes",1,0)*'Grading Scale'!E$2)+(IF(F43="yes",1,0)*'Grading Scale'!E$3)+(IF(G43="yes",1,0)*'Grading Scale'!E$4)+(IF(H43="yes",1,0)*'Grading Scale'!E$5)+(IF(I43="yes",1,0)*'Grading Scale'!E$6)+(IF(J43="yes",1,0)*'Grading Scale'!E$7)+(IF(K43="yes",1,0)*'Grading Scale'!E$8)+(IF(L43="yes",1,0)*'Grading Scale'!E$9)+(IF(M43="yes",1,0)*'Grading Scale'!E$10)+(IF(N43="yes",1,0)*'Grading Scale'!E$11)+(IF(O43="yes",1,0)*'Grading Scale'!E$12)+(IF(P43="yes",1,0)*'Grading Scale'!E$13))/'Grading Scale'!E$14*100,0), "")</f>
        <v>85</v>
      </c>
      <c r="T43" s="6" t="str">
        <f>IF(ISNUMBER(S43),VLOOKUP(S43,'Grading Scale'!$A$2:$B$14, 2), "")</f>
        <v>B</v>
      </c>
      <c r="U43" s="7"/>
      <c r="V43" s="7"/>
      <c r="W43" s="7"/>
      <c r="X43" s="7"/>
      <c r="Y43" s="7"/>
      <c r="Z43" s="7"/>
      <c r="AA43" s="7"/>
      <c r="AB43" s="7"/>
      <c r="AC43" s="7"/>
      <c r="AD43" s="7"/>
      <c r="AE43" s="7"/>
      <c r="AF43" s="7"/>
      <c r="AG43" s="7"/>
      <c r="AH43" s="7"/>
      <c r="AI43" s="7"/>
      <c r="AJ43" s="7"/>
    </row>
    <row r="44">
      <c r="A44" s="10">
        <v>42338.0</v>
      </c>
      <c r="B44" s="6" t="s">
        <v>92</v>
      </c>
      <c r="C44" s="6" t="s">
        <v>40</v>
      </c>
      <c r="D44" s="6" t="str">
        <f>IF(NOT(ISBLANK(C44)), VLOOKUP(C44,'Dataset Descriptions'!$A$2:$B$10, 2, FALSE), "")</f>
        <v>State-owned land and buildings.</v>
      </c>
      <c r="E44" s="6" t="s">
        <v>25</v>
      </c>
      <c r="F44" s="6" t="s">
        <v>25</v>
      </c>
      <c r="G44" s="6" t="s">
        <v>25</v>
      </c>
      <c r="H44" s="6" t="s">
        <v>25</v>
      </c>
      <c r="I44" s="6" t="s">
        <v>25</v>
      </c>
      <c r="J44" s="6" t="s">
        <v>23</v>
      </c>
      <c r="K44" s="6" t="s">
        <v>23</v>
      </c>
      <c r="L44" s="6" t="s">
        <v>25</v>
      </c>
      <c r="M44" s="6" t="s">
        <v>22</v>
      </c>
      <c r="N44" s="6" t="s">
        <v>23</v>
      </c>
      <c r="O44" s="6" t="s">
        <v>23</v>
      </c>
      <c r="P44" s="6" t="s">
        <v>25</v>
      </c>
      <c r="Q44" s="15" t="s">
        <v>100</v>
      </c>
      <c r="R44" s="11"/>
      <c r="S44" s="6">
        <f>IF(NOT(ISBLANK(E44)), ROUND(((IF(E44="yes",1,0)*'Grading Scale'!E$2)+(IF(F44="yes",1,0)*'Grading Scale'!E$3)+(IF(G44="yes",1,0)*'Grading Scale'!E$4)+(IF(H44="yes",1,0)*'Grading Scale'!E$5)+(IF(I44="yes",1,0)*'Grading Scale'!E$6)+(IF(J44="yes",1,0)*'Grading Scale'!E$7)+(IF(K44="yes",1,0)*'Grading Scale'!E$8)+(IF(L44="yes",1,0)*'Grading Scale'!E$9)+(IF(M44="yes",1,0)*'Grading Scale'!E$10)+(IF(N44="yes",1,0)*'Grading Scale'!E$11)+(IF(O44="yes",1,0)*'Grading Scale'!E$12)+(IF(P44="yes",1,0)*'Grading Scale'!E$13))/'Grading Scale'!E$14*100,0), "")</f>
        <v>40</v>
      </c>
      <c r="T44" s="6" t="str">
        <f>IF(ISNUMBER(S44),VLOOKUP(S44,'Grading Scale'!$A$2:$B$14, 2), "")</f>
        <v>F</v>
      </c>
      <c r="U44" s="7"/>
      <c r="V44" s="7"/>
      <c r="W44" s="7"/>
      <c r="X44" s="7"/>
      <c r="Y44" s="7"/>
      <c r="Z44" s="7"/>
      <c r="AA44" s="7"/>
      <c r="AB44" s="7"/>
      <c r="AC44" s="7"/>
      <c r="AD44" s="7"/>
      <c r="AE44" s="7"/>
      <c r="AF44" s="7"/>
      <c r="AG44" s="7"/>
      <c r="AH44" s="7"/>
      <c r="AI44" s="7"/>
      <c r="AJ44" s="7"/>
    </row>
    <row r="45" ht="14.25" customHeight="1">
      <c r="A45" s="10">
        <v>42402.0</v>
      </c>
      <c r="B45" s="6" t="s">
        <v>92</v>
      </c>
      <c r="C45" s="6" t="s">
        <v>43</v>
      </c>
      <c r="D45" s="6" t="str">
        <f>IF(NOT(ISBLANK(C45)), VLOOKUP(C45,'Dataset Descriptions'!$A$2:$B$10, 2, FALSE), "")</f>
        <v>Health inspections of establishments that serve food to the public.</v>
      </c>
      <c r="E45" s="6" t="s">
        <v>23</v>
      </c>
      <c r="F45" s="6" t="s">
        <v>23</v>
      </c>
      <c r="G45" s="6" t="s">
        <v>23</v>
      </c>
      <c r="H45" s="6" t="s">
        <v>23</v>
      </c>
      <c r="I45" s="6" t="s">
        <v>23</v>
      </c>
      <c r="J45" s="6" t="s">
        <v>23</v>
      </c>
      <c r="K45" s="6" t="s">
        <v>23</v>
      </c>
      <c r="L45" s="6" t="s">
        <v>25</v>
      </c>
      <c r="M45" s="6" t="s">
        <v>23</v>
      </c>
      <c r="N45" s="6" t="s">
        <v>23</v>
      </c>
      <c r="O45" s="6" t="s">
        <v>23</v>
      </c>
      <c r="P45" s="6" t="s">
        <v>23</v>
      </c>
      <c r="Q45" s="15" t="s">
        <v>101</v>
      </c>
      <c r="R45" s="14" t="s">
        <v>102</v>
      </c>
      <c r="S45" s="6">
        <f>IF(NOT(ISBLANK(E45)), ROUND(((IF(E45="yes",1,0)*'Grading Scale'!E$2)+(IF(F45="yes",1,0)*'Grading Scale'!E$3)+(IF(G45="yes",1,0)*'Grading Scale'!E$4)+(IF(H45="yes",1,0)*'Grading Scale'!E$5)+(IF(I45="yes",1,0)*'Grading Scale'!E$6)+(IF(J45="yes",1,0)*'Grading Scale'!E$7)+(IF(K45="yes",1,0)*'Grading Scale'!E$8)+(IF(L45="yes",1,0)*'Grading Scale'!E$9)+(IF(M45="yes",1,0)*'Grading Scale'!E$10)+(IF(N45="yes",1,0)*'Grading Scale'!E$11)+(IF(O45="yes",1,0)*'Grading Scale'!E$12)+(IF(P45="yes",1,0)*'Grading Scale'!E$13))/'Grading Scale'!E$14*100,0), "")</f>
        <v>5</v>
      </c>
      <c r="T45" s="6" t="str">
        <f>IF(ISNUMBER(S45),VLOOKUP(S45,'Grading Scale'!$A$2:$B$14, 2), "")</f>
        <v>F</v>
      </c>
      <c r="U45" s="7"/>
      <c r="V45" s="7"/>
      <c r="W45" s="7"/>
      <c r="X45" s="7"/>
      <c r="Y45" s="7"/>
      <c r="Z45" s="7"/>
      <c r="AA45" s="7"/>
      <c r="AB45" s="7"/>
      <c r="AC45" s="7"/>
      <c r="AD45" s="7"/>
      <c r="AE45" s="7"/>
      <c r="AF45" s="7"/>
      <c r="AG45" s="7"/>
      <c r="AH45" s="7"/>
      <c r="AI45" s="7"/>
      <c r="AJ45" s="7"/>
    </row>
    <row r="46">
      <c r="A46" s="10">
        <v>42375.0</v>
      </c>
      <c r="B46" s="6" t="s">
        <v>92</v>
      </c>
      <c r="C46" s="6" t="s">
        <v>46</v>
      </c>
      <c r="D46" s="6" t="str">
        <f>IF(NOT(ISBLANK(C46)), VLOOKUP(C46,'Dataset Descriptions'!$A$2:$B$10, 2, FALSE), "")</f>
        <v>Incident-level reportable motor vehicle crash records.</v>
      </c>
      <c r="E46" s="6" t="s">
        <v>25</v>
      </c>
      <c r="F46" s="6" t="s">
        <v>25</v>
      </c>
      <c r="G46" s="6" t="s">
        <v>25</v>
      </c>
      <c r="H46" s="6" t="s">
        <v>25</v>
      </c>
      <c r="I46" s="6" t="s">
        <v>25</v>
      </c>
      <c r="J46" s="6" t="s">
        <v>25</v>
      </c>
      <c r="K46" s="6" t="s">
        <v>25</v>
      </c>
      <c r="L46" s="6" t="s">
        <v>23</v>
      </c>
      <c r="M46" s="6" t="s">
        <v>23</v>
      </c>
      <c r="N46" s="6" t="s">
        <v>25</v>
      </c>
      <c r="O46" s="6" t="s">
        <v>23</v>
      </c>
      <c r="P46" s="6" t="s">
        <v>23</v>
      </c>
      <c r="Q46" s="15" t="s">
        <v>103</v>
      </c>
      <c r="R46" s="14" t="s">
        <v>104</v>
      </c>
      <c r="S46" s="6">
        <f>IF(NOT(ISBLANK(E46)), ROUND(((IF(E46="yes",1,0)*'Grading Scale'!E$2)+(IF(F46="yes",1,0)*'Grading Scale'!E$3)+(IF(G46="yes",1,0)*'Grading Scale'!E$4)+(IF(H46="yes",1,0)*'Grading Scale'!E$5)+(IF(I46="yes",1,0)*'Grading Scale'!E$6)+(IF(J46="yes",1,0)*'Grading Scale'!E$7)+(IF(K46="yes",1,0)*'Grading Scale'!E$8)+(IF(L46="yes",1,0)*'Grading Scale'!E$9)+(IF(M46="yes",1,0)*'Grading Scale'!E$10)+(IF(N46="yes",1,0)*'Grading Scale'!E$11)+(IF(O46="yes",1,0)*'Grading Scale'!E$12)+(IF(P46="yes",1,0)*'Grading Scale'!E$13))/'Grading Scale'!E$14*100,0), "")</f>
        <v>80</v>
      </c>
      <c r="T46" s="6" t="str">
        <f>IF(ISNUMBER(S46),VLOOKUP(S46,'Grading Scale'!$A$2:$B$14, 2), "")</f>
        <v>B−</v>
      </c>
      <c r="U46" s="7"/>
      <c r="V46" s="7"/>
      <c r="W46" s="7"/>
      <c r="X46" s="7"/>
      <c r="Y46" s="7"/>
      <c r="Z46" s="7"/>
      <c r="AA46" s="7"/>
      <c r="AB46" s="7"/>
      <c r="AC46" s="7"/>
      <c r="AD46" s="7"/>
      <c r="AE46" s="7"/>
      <c r="AF46" s="7"/>
      <c r="AG46" s="7"/>
      <c r="AH46" s="7"/>
      <c r="AI46" s="7"/>
      <c r="AJ46" s="7"/>
    </row>
    <row r="47">
      <c r="A47" s="4">
        <v>42626.0</v>
      </c>
      <c r="B47" s="5" t="s">
        <v>105</v>
      </c>
      <c r="C47" s="5" t="s">
        <v>21</v>
      </c>
      <c r="D47" s="6" t="str">
        <f>IF(NOT(ISBLANK(C47)), VLOOKUP(C47,'Dataset Descriptions'!$A$2:$B$10, 2, FALSE), "")</f>
        <v>The geographic coordinates for physical addresses.</v>
      </c>
      <c r="E47" s="5" t="s">
        <v>25</v>
      </c>
      <c r="F47" s="5" t="s">
        <v>25</v>
      </c>
      <c r="G47" s="5" t="s">
        <v>25</v>
      </c>
      <c r="H47" s="5" t="s">
        <v>25</v>
      </c>
      <c r="I47" s="5" t="s">
        <v>25</v>
      </c>
      <c r="J47" s="5" t="s">
        <v>25</v>
      </c>
      <c r="K47" s="5" t="s">
        <v>25</v>
      </c>
      <c r="L47" s="5" t="s">
        <v>25</v>
      </c>
      <c r="M47" s="5" t="s">
        <v>25</v>
      </c>
      <c r="N47" s="5" t="s">
        <v>25</v>
      </c>
      <c r="O47" s="5" t="s">
        <v>25</v>
      </c>
      <c r="P47" s="5" t="s">
        <v>23</v>
      </c>
      <c r="Q47" s="9" t="s">
        <v>106</v>
      </c>
      <c r="R47" s="6" t="s">
        <v>107</v>
      </c>
      <c r="S47" s="6">
        <f>IF(NOT(ISBLANK(E47)), ROUND(((IF(E47="yes",1,0)*'Grading Scale'!E$2)+(IF(F47="yes",1,0)*'Grading Scale'!E$3)+(IF(G47="yes",1,0)*'Grading Scale'!E$4)+(IF(H47="yes",1,0)*'Grading Scale'!E$5)+(IF(I47="yes",1,0)*'Grading Scale'!E$6)+(IF(J47="yes",1,0)*'Grading Scale'!E$7)+(IF(K47="yes",1,0)*'Grading Scale'!E$8)+(IF(L47="yes",1,0)*'Grading Scale'!E$9)+(IF(M47="yes",1,0)*'Grading Scale'!E$10)+(IF(N47="yes",1,0)*'Grading Scale'!E$11)+(IF(O47="yes",1,0)*'Grading Scale'!E$12)+(IF(P47="yes",1,0)*'Grading Scale'!E$13))/'Grading Scale'!E$14*100,0), "")</f>
        <v>95</v>
      </c>
      <c r="T47" s="6" t="str">
        <f>IF(ISNUMBER(S47),VLOOKUP(S47,'Grading Scale'!$A$2:$B$14, 2), "")</f>
        <v>A</v>
      </c>
      <c r="U47" s="7"/>
      <c r="V47" s="7"/>
      <c r="W47" s="7"/>
      <c r="X47" s="7"/>
      <c r="Y47" s="7"/>
      <c r="Z47" s="7"/>
      <c r="AA47" s="7"/>
      <c r="AB47" s="7"/>
      <c r="AC47" s="7"/>
      <c r="AD47" s="7"/>
      <c r="AE47" s="7"/>
      <c r="AF47" s="7"/>
      <c r="AG47" s="7"/>
      <c r="AH47" s="7"/>
      <c r="AI47" s="7"/>
      <c r="AJ47" s="7"/>
    </row>
    <row r="48">
      <c r="A48" s="4">
        <v>42347.0</v>
      </c>
      <c r="B48" s="5" t="s">
        <v>105</v>
      </c>
      <c r="C48" s="5" t="s">
        <v>24</v>
      </c>
      <c r="D48" s="6" t="str">
        <f>IF(NOT(ISBLANK(C48)), VLOOKUP(C48,'Dataset Descriptions'!$A$2:$B$10, 2, FALSE), "")</f>
        <v>Transaction-level, per-agency spending records.</v>
      </c>
      <c r="E48" s="5" t="s">
        <v>25</v>
      </c>
      <c r="F48" s="5" t="s">
        <v>25</v>
      </c>
      <c r="G48" s="5" t="s">
        <v>25</v>
      </c>
      <c r="H48" s="5" t="s">
        <v>25</v>
      </c>
      <c r="I48" s="5" t="s">
        <v>25</v>
      </c>
      <c r="J48" s="5" t="s">
        <v>25</v>
      </c>
      <c r="K48" s="5" t="s">
        <v>23</v>
      </c>
      <c r="L48" s="5" t="s">
        <v>25</v>
      </c>
      <c r="M48" s="5" t="s">
        <v>25</v>
      </c>
      <c r="N48" s="5" t="s">
        <v>23</v>
      </c>
      <c r="O48" s="5" t="s">
        <v>25</v>
      </c>
      <c r="P48" s="5" t="s">
        <v>25</v>
      </c>
      <c r="Q48" s="9" t="s">
        <v>108</v>
      </c>
      <c r="R48" s="6" t="s">
        <v>109</v>
      </c>
      <c r="S48" s="6">
        <f>IF(NOT(ISBLANK(E48)), ROUND(((IF(E48="yes",1,0)*'Grading Scale'!E$2)+(IF(F48="yes",1,0)*'Grading Scale'!E$3)+(IF(G48="yes",1,0)*'Grading Scale'!E$4)+(IF(H48="yes",1,0)*'Grading Scale'!E$5)+(IF(I48="yes",1,0)*'Grading Scale'!E$6)+(IF(J48="yes",1,0)*'Grading Scale'!E$7)+(IF(K48="yes",1,0)*'Grading Scale'!E$8)+(IF(L48="yes",1,0)*'Grading Scale'!E$9)+(IF(M48="yes",1,0)*'Grading Scale'!E$10)+(IF(N48="yes",1,0)*'Grading Scale'!E$11)+(IF(O48="yes",1,0)*'Grading Scale'!E$12)+(IF(P48="yes",1,0)*'Grading Scale'!E$13))/'Grading Scale'!E$14*100,0), "")</f>
        <v>90</v>
      </c>
      <c r="T48" s="6" t="str">
        <f>IF(ISNUMBER(S48),VLOOKUP(S48,'Grading Scale'!$A$2:$B$14, 2), "")</f>
        <v>A−</v>
      </c>
      <c r="U48" s="7"/>
      <c r="V48" s="7"/>
      <c r="W48" s="7"/>
      <c r="X48" s="7"/>
      <c r="Y48" s="7"/>
      <c r="Z48" s="7"/>
      <c r="AA48" s="7"/>
      <c r="AB48" s="7"/>
      <c r="AC48" s="7"/>
      <c r="AD48" s="7"/>
      <c r="AE48" s="7"/>
      <c r="AF48" s="7"/>
      <c r="AG48" s="7"/>
      <c r="AH48" s="7"/>
      <c r="AI48" s="7"/>
      <c r="AJ48" s="7"/>
    </row>
    <row r="49">
      <c r="A49" s="4">
        <v>42347.0</v>
      </c>
      <c r="B49" s="5" t="s">
        <v>105</v>
      </c>
      <c r="C49" s="5" t="s">
        <v>28</v>
      </c>
      <c r="D49" s="6" t="str">
        <f>IF(NOT(ISBLANK(C49)), VLOOKUP(C49,'Dataset Descriptions'!$A$2:$B$10, 2, FALSE), "")</f>
        <v>The register of all corporations that exist in the state.</v>
      </c>
      <c r="E49" s="5" t="s">
        <v>25</v>
      </c>
      <c r="F49" s="5" t="s">
        <v>25</v>
      </c>
      <c r="G49" s="5" t="s">
        <v>25</v>
      </c>
      <c r="H49" s="5" t="s">
        <v>25</v>
      </c>
      <c r="I49" s="5" t="s">
        <v>25</v>
      </c>
      <c r="J49" s="5" t="s">
        <v>25</v>
      </c>
      <c r="K49" s="5" t="s">
        <v>25</v>
      </c>
      <c r="L49" s="5" t="s">
        <v>25</v>
      </c>
      <c r="M49" s="5" t="s">
        <v>25</v>
      </c>
      <c r="N49" s="5" t="s">
        <v>25</v>
      </c>
      <c r="O49" s="5" t="s">
        <v>25</v>
      </c>
      <c r="P49" s="5" t="s">
        <v>25</v>
      </c>
      <c r="Q49" s="9" t="s">
        <v>110</v>
      </c>
      <c r="R49" s="8"/>
      <c r="S49" s="6">
        <f>IF(NOT(ISBLANK(E49)), ROUND(((IF(E49="yes",1,0)*'Grading Scale'!E$2)+(IF(F49="yes",1,0)*'Grading Scale'!E$3)+(IF(G49="yes",1,0)*'Grading Scale'!E$4)+(IF(H49="yes",1,0)*'Grading Scale'!E$5)+(IF(I49="yes",1,0)*'Grading Scale'!E$6)+(IF(J49="yes",1,0)*'Grading Scale'!E$7)+(IF(K49="yes",1,0)*'Grading Scale'!E$8)+(IF(L49="yes",1,0)*'Grading Scale'!E$9)+(IF(M49="yes",1,0)*'Grading Scale'!E$10)+(IF(N49="yes",1,0)*'Grading Scale'!E$11)+(IF(O49="yes",1,0)*'Grading Scale'!E$12)+(IF(P49="yes",1,0)*'Grading Scale'!E$13))/'Grading Scale'!E$14*100,0), "")</f>
        <v>100</v>
      </c>
      <c r="T49" s="6" t="str">
        <f>IF(ISNUMBER(S49),VLOOKUP(S49,'Grading Scale'!$A$2:$B$14, 2), "")</f>
        <v>A+</v>
      </c>
      <c r="U49" s="7"/>
      <c r="V49" s="7"/>
      <c r="W49" s="7"/>
      <c r="X49" s="7"/>
      <c r="Y49" s="7"/>
      <c r="Z49" s="7"/>
      <c r="AA49" s="7"/>
      <c r="AB49" s="7"/>
      <c r="AC49" s="7"/>
      <c r="AD49" s="7"/>
      <c r="AE49" s="7"/>
      <c r="AF49" s="7"/>
      <c r="AG49" s="7"/>
      <c r="AH49" s="7"/>
      <c r="AI49" s="7"/>
      <c r="AJ49" s="7"/>
    </row>
    <row r="50">
      <c r="A50" s="4">
        <v>42347.0</v>
      </c>
      <c r="B50" s="5" t="s">
        <v>105</v>
      </c>
      <c r="C50" s="5" t="s">
        <v>31</v>
      </c>
      <c r="D50" s="6" t="str">
        <f>IF(NOT(ISBLANK(C50)), VLOOKUP(C50,'Dataset Descriptions'!$A$2:$B$10, 2, FALSE), "")</f>
        <v>Per-facility inmate population records.</v>
      </c>
      <c r="E50" s="5" t="s">
        <v>25</v>
      </c>
      <c r="F50" s="5" t="s">
        <v>25</v>
      </c>
      <c r="G50" s="5" t="s">
        <v>25</v>
      </c>
      <c r="H50" s="5" t="s">
        <v>25</v>
      </c>
      <c r="I50" s="5" t="s">
        <v>25</v>
      </c>
      <c r="J50" s="5" t="s">
        <v>23</v>
      </c>
      <c r="K50" s="5" t="s">
        <v>23</v>
      </c>
      <c r="L50" s="5" t="s">
        <v>23</v>
      </c>
      <c r="M50" s="5" t="s">
        <v>25</v>
      </c>
      <c r="N50" s="5" t="s">
        <v>23</v>
      </c>
      <c r="O50" s="5" t="s">
        <v>25</v>
      </c>
      <c r="P50" s="5" t="s">
        <v>23</v>
      </c>
      <c r="Q50" s="9" t="s">
        <v>111</v>
      </c>
      <c r="R50" s="6" t="s">
        <v>112</v>
      </c>
      <c r="S50" s="6">
        <f>IF(NOT(ISBLANK(E50)), ROUND(((IF(E50="yes",1,0)*'Grading Scale'!E$2)+(IF(F50="yes",1,0)*'Grading Scale'!E$3)+(IF(G50="yes",1,0)*'Grading Scale'!E$4)+(IF(H50="yes",1,0)*'Grading Scale'!E$5)+(IF(I50="yes",1,0)*'Grading Scale'!E$6)+(IF(J50="yes",1,0)*'Grading Scale'!E$7)+(IF(K50="yes",1,0)*'Grading Scale'!E$8)+(IF(L50="yes",1,0)*'Grading Scale'!E$9)+(IF(M50="yes",1,0)*'Grading Scale'!E$10)+(IF(N50="yes",1,0)*'Grading Scale'!E$11)+(IF(O50="yes",1,0)*'Grading Scale'!E$12)+(IF(P50="yes",1,0)*'Grading Scale'!E$13))/'Grading Scale'!E$14*100,0), "")</f>
        <v>40</v>
      </c>
      <c r="T50" s="6" t="str">
        <f>IF(ISNUMBER(S50),VLOOKUP(S50,'Grading Scale'!$A$2:$B$14, 2), "")</f>
        <v>F</v>
      </c>
      <c r="U50" s="7"/>
      <c r="V50" s="7"/>
      <c r="W50" s="7"/>
      <c r="X50" s="7"/>
      <c r="Y50" s="7"/>
      <c r="Z50" s="7"/>
      <c r="AA50" s="7"/>
      <c r="AB50" s="7"/>
      <c r="AC50" s="7"/>
      <c r="AD50" s="7"/>
      <c r="AE50" s="7"/>
      <c r="AF50" s="7"/>
      <c r="AG50" s="7"/>
      <c r="AH50" s="7"/>
      <c r="AI50" s="7"/>
      <c r="AJ50" s="7"/>
    </row>
    <row r="51">
      <c r="A51" s="4">
        <v>42347.0</v>
      </c>
      <c r="B51" s="5" t="s">
        <v>105</v>
      </c>
      <c r="C51" s="5" t="s">
        <v>34</v>
      </c>
      <c r="D51" s="6" t="str">
        <f>IF(NOT(ISBLANK(C51)), VLOOKUP(C51,'Dataset Descriptions'!$A$2:$B$10, 2, FALSE), "")</f>
        <v>Bills before the legislature, and the legislators that comprise it.</v>
      </c>
      <c r="E51" s="5" t="s">
        <v>25</v>
      </c>
      <c r="F51" s="5" t="s">
        <v>25</v>
      </c>
      <c r="G51" s="5" t="s">
        <v>25</v>
      </c>
      <c r="H51" s="5" t="s">
        <v>25</v>
      </c>
      <c r="I51" s="5" t="s">
        <v>25</v>
      </c>
      <c r="J51" s="5" t="s">
        <v>23</v>
      </c>
      <c r="K51" s="5" t="s">
        <v>23</v>
      </c>
      <c r="L51" s="5" t="s">
        <v>25</v>
      </c>
      <c r="M51" s="5" t="s">
        <v>25</v>
      </c>
      <c r="N51" s="5" t="s">
        <v>23</v>
      </c>
      <c r="O51" s="5" t="s">
        <v>23</v>
      </c>
      <c r="P51" s="5" t="s">
        <v>25</v>
      </c>
      <c r="Q51" s="9" t="s">
        <v>113</v>
      </c>
      <c r="R51" s="6" t="s">
        <v>114</v>
      </c>
      <c r="S51" s="6">
        <f>IF(NOT(ISBLANK(E51)), ROUND(((IF(E51="yes",1,0)*'Grading Scale'!E$2)+(IF(F51="yes",1,0)*'Grading Scale'!E$3)+(IF(G51="yes",1,0)*'Grading Scale'!E$4)+(IF(H51="yes",1,0)*'Grading Scale'!E$5)+(IF(I51="yes",1,0)*'Grading Scale'!E$6)+(IF(J51="yes",1,0)*'Grading Scale'!E$7)+(IF(K51="yes",1,0)*'Grading Scale'!E$8)+(IF(L51="yes",1,0)*'Grading Scale'!E$9)+(IF(M51="yes",1,0)*'Grading Scale'!E$10)+(IF(N51="yes",1,0)*'Grading Scale'!E$11)+(IF(O51="yes",1,0)*'Grading Scale'!E$12)+(IF(P51="yes",1,0)*'Grading Scale'!E$13))/'Grading Scale'!E$14*100,0), "")</f>
        <v>45</v>
      </c>
      <c r="T51" s="6" t="str">
        <f>IF(ISNUMBER(S51),VLOOKUP(S51,'Grading Scale'!$A$2:$B$14, 2), "")</f>
        <v>F</v>
      </c>
      <c r="U51" s="7"/>
      <c r="V51" s="7"/>
      <c r="W51" s="7"/>
      <c r="X51" s="7"/>
      <c r="Y51" s="7"/>
      <c r="Z51" s="7"/>
      <c r="AA51" s="7"/>
      <c r="AB51" s="7"/>
      <c r="AC51" s="7"/>
      <c r="AD51" s="7"/>
      <c r="AE51" s="7"/>
      <c r="AF51" s="7"/>
      <c r="AG51" s="7"/>
      <c r="AH51" s="7"/>
      <c r="AI51" s="7"/>
      <c r="AJ51" s="7"/>
    </row>
    <row r="52">
      <c r="A52" s="4">
        <v>42347.0</v>
      </c>
      <c r="B52" s="5" t="s">
        <v>105</v>
      </c>
      <c r="C52" s="6" t="s">
        <v>37</v>
      </c>
      <c r="D52" s="6" t="str">
        <f>IF(NOT(ISBLANK(C52)), VLOOKUP(C52,'Dataset Descriptions'!$A$2:$B$10, 2, FALSE), "")</f>
        <v>Forecasts of municipal-level changes in population over coming years.</v>
      </c>
      <c r="E52" s="5" t="s">
        <v>25</v>
      </c>
      <c r="F52" s="5" t="s">
        <v>25</v>
      </c>
      <c r="G52" s="5" t="s">
        <v>25</v>
      </c>
      <c r="H52" s="5" t="s">
        <v>25</v>
      </c>
      <c r="I52" s="5" t="s">
        <v>25</v>
      </c>
      <c r="J52" s="5" t="s">
        <v>25</v>
      </c>
      <c r="K52" s="5" t="s">
        <v>25</v>
      </c>
      <c r="L52" s="5" t="s">
        <v>25</v>
      </c>
      <c r="M52" s="5" t="s">
        <v>25</v>
      </c>
      <c r="N52" s="5" t="s">
        <v>25</v>
      </c>
      <c r="O52" s="5" t="s">
        <v>25</v>
      </c>
      <c r="P52" s="5" t="s">
        <v>25</v>
      </c>
      <c r="Q52" s="9" t="s">
        <v>115</v>
      </c>
      <c r="R52" s="8"/>
      <c r="S52" s="6">
        <f>IF(NOT(ISBLANK(E52)), ROUND(((IF(E52="yes",1,0)*'Grading Scale'!E$2)+(IF(F52="yes",1,0)*'Grading Scale'!E$3)+(IF(G52="yes",1,0)*'Grading Scale'!E$4)+(IF(H52="yes",1,0)*'Grading Scale'!E$5)+(IF(I52="yes",1,0)*'Grading Scale'!E$6)+(IF(J52="yes",1,0)*'Grading Scale'!E$7)+(IF(K52="yes",1,0)*'Grading Scale'!E$8)+(IF(L52="yes",1,0)*'Grading Scale'!E$9)+(IF(M52="yes",1,0)*'Grading Scale'!E$10)+(IF(N52="yes",1,0)*'Grading Scale'!E$11)+(IF(O52="yes",1,0)*'Grading Scale'!E$12)+(IF(P52="yes",1,0)*'Grading Scale'!E$13))/'Grading Scale'!E$14*100,0), "")</f>
        <v>100</v>
      </c>
      <c r="T52" s="6" t="str">
        <f>IF(ISNUMBER(S52),VLOOKUP(S52,'Grading Scale'!$A$2:$B$14, 2), "")</f>
        <v>A+</v>
      </c>
      <c r="U52" s="7"/>
      <c r="V52" s="7"/>
      <c r="W52" s="7"/>
      <c r="X52" s="7"/>
      <c r="Y52" s="7"/>
      <c r="Z52" s="7"/>
      <c r="AA52" s="7"/>
      <c r="AB52" s="7"/>
      <c r="AC52" s="7"/>
      <c r="AD52" s="7"/>
      <c r="AE52" s="7"/>
      <c r="AF52" s="7"/>
      <c r="AG52" s="7"/>
      <c r="AH52" s="7"/>
      <c r="AI52" s="7"/>
      <c r="AJ52" s="7"/>
    </row>
    <row r="53">
      <c r="A53" s="4">
        <v>42347.0</v>
      </c>
      <c r="B53" s="5" t="s">
        <v>105</v>
      </c>
      <c r="C53" s="5" t="s">
        <v>40</v>
      </c>
      <c r="D53" s="6" t="str">
        <f>IF(NOT(ISBLANK(C53)), VLOOKUP(C53,'Dataset Descriptions'!$A$2:$B$10, 2, FALSE), "")</f>
        <v>State-owned land and buildings.</v>
      </c>
      <c r="E53" s="5" t="s">
        <v>22</v>
      </c>
      <c r="F53" s="5" t="s">
        <v>22</v>
      </c>
      <c r="G53" s="5" t="s">
        <v>22</v>
      </c>
      <c r="H53" s="5" t="s">
        <v>22</v>
      </c>
      <c r="I53" s="5" t="s">
        <v>23</v>
      </c>
      <c r="J53" s="5" t="s">
        <v>22</v>
      </c>
      <c r="K53" s="5" t="s">
        <v>23</v>
      </c>
      <c r="L53" s="5" t="s">
        <v>22</v>
      </c>
      <c r="M53" s="5" t="s">
        <v>22</v>
      </c>
      <c r="N53" s="5" t="s">
        <v>23</v>
      </c>
      <c r="O53" s="5" t="s">
        <v>23</v>
      </c>
      <c r="P53" s="5" t="s">
        <v>22</v>
      </c>
      <c r="Q53" s="7"/>
      <c r="R53" s="8"/>
      <c r="S53" s="6">
        <f>IF(NOT(ISBLANK(E53)), ROUND(((IF(E53="yes",1,0)*'Grading Scale'!E$2)+(IF(F53="yes",1,0)*'Grading Scale'!E$3)+(IF(G53="yes",1,0)*'Grading Scale'!E$4)+(IF(H53="yes",1,0)*'Grading Scale'!E$5)+(IF(I53="yes",1,0)*'Grading Scale'!E$6)+(IF(J53="yes",1,0)*'Grading Scale'!E$7)+(IF(K53="yes",1,0)*'Grading Scale'!E$8)+(IF(L53="yes",1,0)*'Grading Scale'!E$9)+(IF(M53="yes",1,0)*'Grading Scale'!E$10)+(IF(N53="yes",1,0)*'Grading Scale'!E$11)+(IF(O53="yes",1,0)*'Grading Scale'!E$12)+(IF(P53="yes",1,0)*'Grading Scale'!E$13))/'Grading Scale'!E$14*100,0), "")</f>
        <v>0</v>
      </c>
      <c r="T53" s="6" t="str">
        <f>IF(ISNUMBER(S53),VLOOKUP(S53,'Grading Scale'!$A$2:$B$14, 2), "")</f>
        <v>F</v>
      </c>
      <c r="U53" s="7"/>
      <c r="V53" s="7"/>
      <c r="W53" s="7"/>
      <c r="X53" s="7"/>
      <c r="Y53" s="7"/>
      <c r="Z53" s="7"/>
      <c r="AA53" s="7"/>
      <c r="AB53" s="7"/>
      <c r="AC53" s="7"/>
      <c r="AD53" s="7"/>
      <c r="AE53" s="7"/>
      <c r="AF53" s="7"/>
      <c r="AG53" s="7"/>
      <c r="AH53" s="7"/>
      <c r="AI53" s="7"/>
      <c r="AJ53" s="7"/>
    </row>
    <row r="54">
      <c r="A54" s="4">
        <v>42347.0</v>
      </c>
      <c r="B54" s="5" t="s">
        <v>105</v>
      </c>
      <c r="C54" s="5" t="s">
        <v>43</v>
      </c>
      <c r="D54" s="6" t="str">
        <f>IF(NOT(ISBLANK(C54)), VLOOKUP(C54,'Dataset Descriptions'!$A$2:$B$10, 2, FALSE), "")</f>
        <v>Health inspections of establishments that serve food to the public.</v>
      </c>
      <c r="E54" s="5" t="s">
        <v>22</v>
      </c>
      <c r="F54" s="5" t="s">
        <v>22</v>
      </c>
      <c r="G54" s="5" t="s">
        <v>22</v>
      </c>
      <c r="H54" s="5" t="s">
        <v>22</v>
      </c>
      <c r="I54" s="5" t="s">
        <v>23</v>
      </c>
      <c r="J54" s="5" t="s">
        <v>22</v>
      </c>
      <c r="K54" s="5" t="s">
        <v>23</v>
      </c>
      <c r="L54" s="5" t="s">
        <v>22</v>
      </c>
      <c r="M54" s="5" t="s">
        <v>22</v>
      </c>
      <c r="N54" s="5" t="s">
        <v>23</v>
      </c>
      <c r="O54" s="5" t="s">
        <v>23</v>
      </c>
      <c r="P54" s="5" t="s">
        <v>22</v>
      </c>
      <c r="Q54" s="9" t="s">
        <v>116</v>
      </c>
      <c r="R54" s="6" t="s">
        <v>117</v>
      </c>
      <c r="S54" s="6">
        <f>IF(NOT(ISBLANK(E54)), ROUND(((IF(E54="yes",1,0)*'Grading Scale'!E$2)+(IF(F54="yes",1,0)*'Grading Scale'!E$3)+(IF(G54="yes",1,0)*'Grading Scale'!E$4)+(IF(H54="yes",1,0)*'Grading Scale'!E$5)+(IF(I54="yes",1,0)*'Grading Scale'!E$6)+(IF(J54="yes",1,0)*'Grading Scale'!E$7)+(IF(K54="yes",1,0)*'Grading Scale'!E$8)+(IF(L54="yes",1,0)*'Grading Scale'!E$9)+(IF(M54="yes",1,0)*'Grading Scale'!E$10)+(IF(N54="yes",1,0)*'Grading Scale'!E$11)+(IF(O54="yes",1,0)*'Grading Scale'!E$12)+(IF(P54="yes",1,0)*'Grading Scale'!E$13))/'Grading Scale'!E$14*100,0), "")</f>
        <v>0</v>
      </c>
      <c r="T54" s="6" t="str">
        <f>IF(ISNUMBER(S54),VLOOKUP(S54,'Grading Scale'!$A$2:$B$14, 2), "")</f>
        <v>F</v>
      </c>
      <c r="U54" s="7"/>
      <c r="V54" s="7"/>
      <c r="W54" s="7"/>
      <c r="X54" s="7"/>
      <c r="Y54" s="7"/>
      <c r="Z54" s="7"/>
      <c r="AA54" s="7"/>
      <c r="AB54" s="7"/>
      <c r="AC54" s="7"/>
      <c r="AD54" s="7"/>
      <c r="AE54" s="7"/>
      <c r="AF54" s="7"/>
      <c r="AG54" s="7"/>
      <c r="AH54" s="7"/>
      <c r="AI54" s="7"/>
      <c r="AJ54" s="7"/>
    </row>
    <row r="55">
      <c r="A55" s="4">
        <v>42348.0</v>
      </c>
      <c r="B55" s="5" t="s">
        <v>105</v>
      </c>
      <c r="C55" s="5" t="s">
        <v>46</v>
      </c>
      <c r="D55" s="6" t="str">
        <f>IF(NOT(ISBLANK(C55)), VLOOKUP(C55,'Dataset Descriptions'!$A$2:$B$10, 2, FALSE), "")</f>
        <v>Incident-level reportable motor vehicle crash records.</v>
      </c>
      <c r="E55" s="5" t="s">
        <v>25</v>
      </c>
      <c r="F55" s="5" t="s">
        <v>25</v>
      </c>
      <c r="G55" s="5" t="s">
        <v>25</v>
      </c>
      <c r="H55" s="5" t="s">
        <v>25</v>
      </c>
      <c r="I55" s="5" t="s">
        <v>25</v>
      </c>
      <c r="J55" s="5" t="s">
        <v>23</v>
      </c>
      <c r="K55" s="5" t="s">
        <v>23</v>
      </c>
      <c r="L55" s="5" t="s">
        <v>25</v>
      </c>
      <c r="M55" s="5" t="s">
        <v>23</v>
      </c>
      <c r="N55" s="5" t="s">
        <v>23</v>
      </c>
      <c r="O55" s="5" t="s">
        <v>25</v>
      </c>
      <c r="P55" s="5" t="s">
        <v>23</v>
      </c>
      <c r="Q55" s="9" t="s">
        <v>118</v>
      </c>
      <c r="R55" s="6" t="s">
        <v>119</v>
      </c>
      <c r="S55" s="6">
        <f>IF(NOT(ISBLANK(E55)), ROUND(((IF(E55="yes",1,0)*'Grading Scale'!E$2)+(IF(F55="yes",1,0)*'Grading Scale'!E$3)+(IF(G55="yes",1,0)*'Grading Scale'!E$4)+(IF(H55="yes",1,0)*'Grading Scale'!E$5)+(IF(I55="yes",1,0)*'Grading Scale'!E$6)+(IF(J55="yes",1,0)*'Grading Scale'!E$7)+(IF(K55="yes",1,0)*'Grading Scale'!E$8)+(IF(L55="yes",1,0)*'Grading Scale'!E$9)+(IF(M55="yes",1,0)*'Grading Scale'!E$10)+(IF(N55="yes",1,0)*'Grading Scale'!E$11)+(IF(O55="yes",1,0)*'Grading Scale'!E$12)+(IF(P55="yes",1,0)*'Grading Scale'!E$13))/'Grading Scale'!E$14*100,0), "")</f>
        <v>40</v>
      </c>
      <c r="T55" s="6" t="str">
        <f>IF(ISNUMBER(S55),VLOOKUP(S55,'Grading Scale'!$A$2:$B$14, 2), "")</f>
        <v>F</v>
      </c>
      <c r="U55" s="7"/>
      <c r="V55" s="7"/>
      <c r="W55" s="7"/>
      <c r="X55" s="7"/>
      <c r="Y55" s="7"/>
      <c r="Z55" s="7"/>
      <c r="AA55" s="7"/>
      <c r="AB55" s="7"/>
      <c r="AC55" s="7"/>
      <c r="AD55" s="7"/>
      <c r="AE55" s="7"/>
      <c r="AF55" s="7"/>
      <c r="AG55" s="7"/>
      <c r="AH55" s="7"/>
      <c r="AI55" s="7"/>
      <c r="AJ55" s="7"/>
    </row>
    <row r="56">
      <c r="A56" s="10">
        <v>42338.0</v>
      </c>
      <c r="B56" s="5" t="s">
        <v>120</v>
      </c>
      <c r="C56" s="5" t="s">
        <v>21</v>
      </c>
      <c r="D56" s="6" t="str">
        <f>IF(NOT(ISBLANK(C56)), VLOOKUP(C56,'Dataset Descriptions'!$A$2:$B$10, 2, FALSE), "")</f>
        <v>The geographic coordinates for physical addresses.</v>
      </c>
      <c r="E56" s="5" t="s">
        <v>25</v>
      </c>
      <c r="F56" s="5" t="s">
        <v>25</v>
      </c>
      <c r="G56" s="5" t="s">
        <v>25</v>
      </c>
      <c r="H56" s="5" t="s">
        <v>25</v>
      </c>
      <c r="I56" s="5" t="s">
        <v>25</v>
      </c>
      <c r="J56" s="5" t="s">
        <v>25</v>
      </c>
      <c r="K56" s="5" t="s">
        <v>25</v>
      </c>
      <c r="L56" s="5" t="s">
        <v>25</v>
      </c>
      <c r="M56" s="5" t="s">
        <v>25</v>
      </c>
      <c r="N56" s="5" t="s">
        <v>25</v>
      </c>
      <c r="O56" s="5" t="s">
        <v>25</v>
      </c>
      <c r="P56" s="5" t="s">
        <v>23</v>
      </c>
      <c r="Q56" s="9" t="s">
        <v>121</v>
      </c>
      <c r="R56" s="6" t="s">
        <v>122</v>
      </c>
      <c r="S56" s="6">
        <f>IF(NOT(ISBLANK(E56)), ROUND(((IF(E56="yes",1,0)*'Grading Scale'!E$2)+(IF(F56="yes",1,0)*'Grading Scale'!E$3)+(IF(G56="yes",1,0)*'Grading Scale'!E$4)+(IF(H56="yes",1,0)*'Grading Scale'!E$5)+(IF(I56="yes",1,0)*'Grading Scale'!E$6)+(IF(J56="yes",1,0)*'Grading Scale'!E$7)+(IF(K56="yes",1,0)*'Grading Scale'!E$8)+(IF(L56="yes",1,0)*'Grading Scale'!E$9)+(IF(M56="yes",1,0)*'Grading Scale'!E$10)+(IF(N56="yes",1,0)*'Grading Scale'!E$11)+(IF(O56="yes",1,0)*'Grading Scale'!E$12)+(IF(P56="yes",1,0)*'Grading Scale'!E$13))/'Grading Scale'!E$14*100,0), "")</f>
        <v>95</v>
      </c>
      <c r="T56" s="6" t="str">
        <f>IF(ISNUMBER(S56),VLOOKUP(S56,'Grading Scale'!$A$2:$B$14, 2), "")</f>
        <v>A</v>
      </c>
      <c r="U56" s="7"/>
      <c r="V56" s="7"/>
      <c r="W56" s="7"/>
      <c r="X56" s="7"/>
      <c r="Y56" s="7"/>
      <c r="Z56" s="7"/>
      <c r="AA56" s="7"/>
      <c r="AB56" s="7"/>
      <c r="AC56" s="7"/>
      <c r="AD56" s="7"/>
      <c r="AE56" s="7"/>
      <c r="AF56" s="7"/>
      <c r="AG56" s="7"/>
      <c r="AH56" s="7"/>
      <c r="AI56" s="7"/>
      <c r="AJ56" s="7"/>
    </row>
    <row r="57">
      <c r="A57" s="10">
        <v>42355.0</v>
      </c>
      <c r="B57" s="5" t="s">
        <v>120</v>
      </c>
      <c r="C57" s="5" t="s">
        <v>24</v>
      </c>
      <c r="D57" s="6" t="str">
        <f>IF(NOT(ISBLANK(C57)), VLOOKUP(C57,'Dataset Descriptions'!$A$2:$B$10, 2, FALSE), "")</f>
        <v>Transaction-level, per-agency spending records.</v>
      </c>
      <c r="E57" s="5" t="s">
        <v>25</v>
      </c>
      <c r="F57" s="5" t="s">
        <v>25</v>
      </c>
      <c r="G57" s="5" t="s">
        <v>25</v>
      </c>
      <c r="H57" s="5" t="s">
        <v>25</v>
      </c>
      <c r="I57" s="5" t="s">
        <v>25</v>
      </c>
      <c r="J57" s="5" t="s">
        <v>25</v>
      </c>
      <c r="K57" s="5" t="s">
        <v>25</v>
      </c>
      <c r="L57" s="5" t="s">
        <v>25</v>
      </c>
      <c r="M57" s="5" t="s">
        <v>25</v>
      </c>
      <c r="N57" s="5" t="s">
        <v>25</v>
      </c>
      <c r="O57" s="5" t="s">
        <v>25</v>
      </c>
      <c r="P57" s="5" t="s">
        <v>23</v>
      </c>
      <c r="Q57" s="9" t="s">
        <v>123</v>
      </c>
      <c r="R57" s="6" t="s">
        <v>124</v>
      </c>
      <c r="S57" s="6">
        <f>IF(NOT(ISBLANK(E57)), ROUND(((IF(E57="yes",1,0)*'Grading Scale'!E$2)+(IF(F57="yes",1,0)*'Grading Scale'!E$3)+(IF(G57="yes",1,0)*'Grading Scale'!E$4)+(IF(H57="yes",1,0)*'Grading Scale'!E$5)+(IF(I57="yes",1,0)*'Grading Scale'!E$6)+(IF(J57="yes",1,0)*'Grading Scale'!E$7)+(IF(K57="yes",1,0)*'Grading Scale'!E$8)+(IF(L57="yes",1,0)*'Grading Scale'!E$9)+(IF(M57="yes",1,0)*'Grading Scale'!E$10)+(IF(N57="yes",1,0)*'Grading Scale'!E$11)+(IF(O57="yes",1,0)*'Grading Scale'!E$12)+(IF(P57="yes",1,0)*'Grading Scale'!E$13))/'Grading Scale'!E$14*100,0), "")</f>
        <v>95</v>
      </c>
      <c r="T57" s="6" t="str">
        <f>IF(ISNUMBER(S57),VLOOKUP(S57,'Grading Scale'!$A$2:$B$14, 2), "")</f>
        <v>A</v>
      </c>
      <c r="U57" s="7"/>
      <c r="V57" s="7"/>
      <c r="W57" s="7"/>
      <c r="X57" s="7"/>
      <c r="Y57" s="7"/>
      <c r="Z57" s="7"/>
      <c r="AA57" s="7"/>
      <c r="AB57" s="7"/>
      <c r="AC57" s="7"/>
      <c r="AD57" s="7"/>
      <c r="AE57" s="7"/>
      <c r="AF57" s="7"/>
      <c r="AG57" s="7"/>
      <c r="AH57" s="7"/>
      <c r="AI57" s="7"/>
      <c r="AJ57" s="7"/>
    </row>
    <row r="58">
      <c r="A58" s="10">
        <v>42338.0</v>
      </c>
      <c r="B58" s="5" t="s">
        <v>120</v>
      </c>
      <c r="C58" s="5" t="s">
        <v>28</v>
      </c>
      <c r="D58" s="6" t="str">
        <f>IF(NOT(ISBLANK(C58)), VLOOKUP(C58,'Dataset Descriptions'!$A$2:$B$10, 2, FALSE), "")</f>
        <v>The register of all corporations that exist in the state.</v>
      </c>
      <c r="E58" s="5" t="s">
        <v>25</v>
      </c>
      <c r="F58" s="5" t="s">
        <v>25</v>
      </c>
      <c r="G58" s="5" t="s">
        <v>25</v>
      </c>
      <c r="H58" s="5" t="s">
        <v>25</v>
      </c>
      <c r="I58" s="5" t="s">
        <v>25</v>
      </c>
      <c r="J58" s="5" t="s">
        <v>23</v>
      </c>
      <c r="K58" s="5" t="s">
        <v>23</v>
      </c>
      <c r="L58" s="5" t="s">
        <v>23</v>
      </c>
      <c r="M58" s="5" t="s">
        <v>25</v>
      </c>
      <c r="N58" s="5" t="s">
        <v>25</v>
      </c>
      <c r="O58" s="5" t="s">
        <v>23</v>
      </c>
      <c r="P58" s="5" t="s">
        <v>25</v>
      </c>
      <c r="Q58" s="9" t="s">
        <v>125</v>
      </c>
      <c r="R58" s="8"/>
      <c r="S58" s="6">
        <f>IF(NOT(ISBLANK(E58)), ROUND(((IF(E58="yes",1,0)*'Grading Scale'!E$2)+(IF(F58="yes",1,0)*'Grading Scale'!E$3)+(IF(G58="yes",1,0)*'Grading Scale'!E$4)+(IF(H58="yes",1,0)*'Grading Scale'!E$5)+(IF(I58="yes",1,0)*'Grading Scale'!E$6)+(IF(J58="yes",1,0)*'Grading Scale'!E$7)+(IF(K58="yes",1,0)*'Grading Scale'!E$8)+(IF(L58="yes",1,0)*'Grading Scale'!E$9)+(IF(M58="yes",1,0)*'Grading Scale'!E$10)+(IF(N58="yes",1,0)*'Grading Scale'!E$11)+(IF(O58="yes",1,0)*'Grading Scale'!E$12)+(IF(P58="yes",1,0)*'Grading Scale'!E$13))/'Grading Scale'!E$14*100,0), "")</f>
        <v>45</v>
      </c>
      <c r="T58" s="6" t="str">
        <f>IF(ISNUMBER(S58),VLOOKUP(S58,'Grading Scale'!$A$2:$B$14, 2), "")</f>
        <v>F</v>
      </c>
      <c r="U58" s="7"/>
      <c r="V58" s="7"/>
      <c r="W58" s="7"/>
      <c r="X58" s="7"/>
      <c r="Y58" s="7"/>
      <c r="Z58" s="7"/>
      <c r="AA58" s="7"/>
      <c r="AB58" s="7"/>
      <c r="AC58" s="7"/>
      <c r="AD58" s="7"/>
      <c r="AE58" s="7"/>
      <c r="AF58" s="7"/>
      <c r="AG58" s="7"/>
      <c r="AH58" s="7"/>
      <c r="AI58" s="7"/>
      <c r="AJ58" s="7"/>
    </row>
    <row r="59">
      <c r="A59" s="10">
        <v>42447.0</v>
      </c>
      <c r="B59" s="5" t="s">
        <v>120</v>
      </c>
      <c r="C59" s="5" t="s">
        <v>31</v>
      </c>
      <c r="D59" s="6" t="str">
        <f>IF(NOT(ISBLANK(C59)), VLOOKUP(C59,'Dataset Descriptions'!$A$2:$B$10, 2, FALSE), "")</f>
        <v>Per-facility inmate population records.</v>
      </c>
      <c r="E59" s="5" t="s">
        <v>25</v>
      </c>
      <c r="F59" s="5" t="s">
        <v>25</v>
      </c>
      <c r="G59" s="5" t="s">
        <v>25</v>
      </c>
      <c r="H59" s="5" t="s">
        <v>25</v>
      </c>
      <c r="I59" s="5" t="s">
        <v>25</v>
      </c>
      <c r="J59" s="5" t="s">
        <v>25</v>
      </c>
      <c r="K59" s="5" t="s">
        <v>25</v>
      </c>
      <c r="L59" s="5" t="s">
        <v>25</v>
      </c>
      <c r="M59" s="5" t="s">
        <v>25</v>
      </c>
      <c r="N59" s="5" t="s">
        <v>25</v>
      </c>
      <c r="O59" s="5" t="s">
        <v>25</v>
      </c>
      <c r="P59" s="5" t="s">
        <v>25</v>
      </c>
      <c r="Q59" s="9" t="s">
        <v>126</v>
      </c>
      <c r="R59" s="6" t="s">
        <v>127</v>
      </c>
      <c r="S59" s="6">
        <f>IF(NOT(ISBLANK(E59)), ROUND(((IF(E59="yes",1,0)*'Grading Scale'!E$2)+(IF(F59="yes",1,0)*'Grading Scale'!E$3)+(IF(G59="yes",1,0)*'Grading Scale'!E$4)+(IF(H59="yes",1,0)*'Grading Scale'!E$5)+(IF(I59="yes",1,0)*'Grading Scale'!E$6)+(IF(J59="yes",1,0)*'Grading Scale'!E$7)+(IF(K59="yes",1,0)*'Grading Scale'!E$8)+(IF(L59="yes",1,0)*'Grading Scale'!E$9)+(IF(M59="yes",1,0)*'Grading Scale'!E$10)+(IF(N59="yes",1,0)*'Grading Scale'!E$11)+(IF(O59="yes",1,0)*'Grading Scale'!E$12)+(IF(P59="yes",1,0)*'Grading Scale'!E$13))/'Grading Scale'!E$14*100,0), "")</f>
        <v>100</v>
      </c>
      <c r="T59" s="6" t="str">
        <f>IF(ISNUMBER(S59),VLOOKUP(S59,'Grading Scale'!$A$2:$B$14, 2), "")</f>
        <v>A+</v>
      </c>
      <c r="U59" s="7"/>
      <c r="V59" s="7"/>
      <c r="W59" s="7"/>
      <c r="X59" s="7"/>
      <c r="Y59" s="7"/>
      <c r="Z59" s="7"/>
      <c r="AA59" s="7"/>
      <c r="AB59" s="7"/>
      <c r="AC59" s="7"/>
      <c r="AD59" s="7"/>
      <c r="AE59" s="7"/>
      <c r="AF59" s="7"/>
      <c r="AG59" s="7"/>
      <c r="AH59" s="7"/>
      <c r="AI59" s="7"/>
      <c r="AJ59" s="7"/>
    </row>
    <row r="60">
      <c r="A60" s="10">
        <v>42338.0</v>
      </c>
      <c r="B60" s="5" t="s">
        <v>120</v>
      </c>
      <c r="C60" s="5" t="s">
        <v>34</v>
      </c>
      <c r="D60" s="6" t="str">
        <f>IF(NOT(ISBLANK(C60)), VLOOKUP(C60,'Dataset Descriptions'!$A$2:$B$10, 2, FALSE), "")</f>
        <v>Bills before the legislature, and the legislators that comprise it.</v>
      </c>
      <c r="E60" s="5" t="s">
        <v>25</v>
      </c>
      <c r="F60" s="5" t="s">
        <v>25</v>
      </c>
      <c r="G60" s="5" t="s">
        <v>25</v>
      </c>
      <c r="H60" s="5" t="s">
        <v>25</v>
      </c>
      <c r="I60" s="5" t="s">
        <v>25</v>
      </c>
      <c r="J60" s="5" t="s">
        <v>25</v>
      </c>
      <c r="K60" s="5" t="s">
        <v>25</v>
      </c>
      <c r="L60" s="5" t="s">
        <v>23</v>
      </c>
      <c r="M60" s="5" t="s">
        <v>25</v>
      </c>
      <c r="N60" s="5" t="s">
        <v>25</v>
      </c>
      <c r="O60" s="5" t="s">
        <v>25</v>
      </c>
      <c r="P60" s="5" t="s">
        <v>25</v>
      </c>
      <c r="Q60" s="9" t="s">
        <v>128</v>
      </c>
      <c r="R60" s="8"/>
      <c r="S60" s="6">
        <f>IF(NOT(ISBLANK(E60)), ROUND(((IF(E60="yes",1,0)*'Grading Scale'!E$2)+(IF(F60="yes",1,0)*'Grading Scale'!E$3)+(IF(G60="yes",1,0)*'Grading Scale'!E$4)+(IF(H60="yes",1,0)*'Grading Scale'!E$5)+(IF(I60="yes",1,0)*'Grading Scale'!E$6)+(IF(J60="yes",1,0)*'Grading Scale'!E$7)+(IF(K60="yes",1,0)*'Grading Scale'!E$8)+(IF(L60="yes",1,0)*'Grading Scale'!E$9)+(IF(M60="yes",1,0)*'Grading Scale'!E$10)+(IF(N60="yes",1,0)*'Grading Scale'!E$11)+(IF(O60="yes",1,0)*'Grading Scale'!E$12)+(IF(P60="yes",1,0)*'Grading Scale'!E$13))/'Grading Scale'!E$14*100,0), "")</f>
        <v>95</v>
      </c>
      <c r="T60" s="6" t="str">
        <f>IF(ISNUMBER(S60),VLOOKUP(S60,'Grading Scale'!$A$2:$B$14, 2), "")</f>
        <v>A</v>
      </c>
      <c r="U60" s="7"/>
      <c r="V60" s="7"/>
      <c r="W60" s="7"/>
      <c r="X60" s="7"/>
      <c r="Y60" s="7"/>
      <c r="Z60" s="7"/>
      <c r="AA60" s="7"/>
      <c r="AB60" s="7"/>
      <c r="AC60" s="7"/>
      <c r="AD60" s="7"/>
      <c r="AE60" s="7"/>
      <c r="AF60" s="7"/>
      <c r="AG60" s="7"/>
      <c r="AH60" s="7"/>
      <c r="AI60" s="7"/>
      <c r="AJ60" s="7"/>
    </row>
    <row r="61">
      <c r="A61" s="10">
        <v>42355.0</v>
      </c>
      <c r="B61" s="5" t="s">
        <v>120</v>
      </c>
      <c r="C61" s="6" t="s">
        <v>37</v>
      </c>
      <c r="D61" s="6" t="str">
        <f>IF(NOT(ISBLANK(C61)), VLOOKUP(C61,'Dataset Descriptions'!$A$2:$B$10, 2, FALSE), "")</f>
        <v>Forecasts of municipal-level changes in population over coming years.</v>
      </c>
      <c r="E61" s="5" t="s">
        <v>25</v>
      </c>
      <c r="F61" s="5" t="s">
        <v>25</v>
      </c>
      <c r="G61" s="5" t="s">
        <v>25</v>
      </c>
      <c r="H61" s="5" t="s">
        <v>25</v>
      </c>
      <c r="I61" s="5" t="s">
        <v>25</v>
      </c>
      <c r="J61" s="5" t="s">
        <v>25</v>
      </c>
      <c r="K61" s="5" t="s">
        <v>25</v>
      </c>
      <c r="L61" s="5" t="s">
        <v>25</v>
      </c>
      <c r="M61" s="5" t="s">
        <v>25</v>
      </c>
      <c r="N61" s="5" t="s">
        <v>25</v>
      </c>
      <c r="O61" s="5" t="s">
        <v>25</v>
      </c>
      <c r="P61" s="5" t="s">
        <v>25</v>
      </c>
      <c r="Q61" s="9" t="s">
        <v>129</v>
      </c>
      <c r="R61" s="6"/>
      <c r="S61" s="6">
        <f>IF(NOT(ISBLANK(E61)), ROUND(((IF(E61="yes",1,0)*'Grading Scale'!E$2)+(IF(F61="yes",1,0)*'Grading Scale'!E$3)+(IF(G61="yes",1,0)*'Grading Scale'!E$4)+(IF(H61="yes",1,0)*'Grading Scale'!E$5)+(IF(I61="yes",1,0)*'Grading Scale'!E$6)+(IF(J61="yes",1,0)*'Grading Scale'!E$7)+(IF(K61="yes",1,0)*'Grading Scale'!E$8)+(IF(L61="yes",1,0)*'Grading Scale'!E$9)+(IF(M61="yes",1,0)*'Grading Scale'!E$10)+(IF(N61="yes",1,0)*'Grading Scale'!E$11)+(IF(O61="yes",1,0)*'Grading Scale'!E$12)+(IF(P61="yes",1,0)*'Grading Scale'!E$13))/'Grading Scale'!E$14*100,0), "")</f>
        <v>100</v>
      </c>
      <c r="T61" s="6" t="str">
        <f>IF(ISNUMBER(S61),VLOOKUP(S61,'Grading Scale'!$A$2:$B$14, 2), "")</f>
        <v>A+</v>
      </c>
      <c r="U61" s="7"/>
      <c r="V61" s="7"/>
      <c r="W61" s="7"/>
      <c r="X61" s="7"/>
      <c r="Y61" s="7"/>
      <c r="Z61" s="7"/>
      <c r="AA61" s="7"/>
      <c r="AB61" s="7"/>
      <c r="AC61" s="7"/>
      <c r="AD61" s="7"/>
      <c r="AE61" s="7"/>
      <c r="AF61" s="7"/>
      <c r="AG61" s="7"/>
      <c r="AH61" s="7"/>
      <c r="AI61" s="7"/>
      <c r="AJ61" s="7"/>
    </row>
    <row r="62">
      <c r="A62" s="10">
        <v>42355.0</v>
      </c>
      <c r="B62" s="5" t="s">
        <v>120</v>
      </c>
      <c r="C62" s="5" t="s">
        <v>40</v>
      </c>
      <c r="D62" s="6" t="str">
        <f>IF(NOT(ISBLANK(C62)), VLOOKUP(C62,'Dataset Descriptions'!$A$2:$B$10, 2, FALSE), "")</f>
        <v>State-owned land and buildings.</v>
      </c>
      <c r="E62" s="5" t="s">
        <v>25</v>
      </c>
      <c r="F62" s="5" t="s">
        <v>25</v>
      </c>
      <c r="G62" s="5" t="s">
        <v>25</v>
      </c>
      <c r="H62" s="5" t="s">
        <v>25</v>
      </c>
      <c r="I62" s="5" t="s">
        <v>25</v>
      </c>
      <c r="J62" s="5" t="s">
        <v>25</v>
      </c>
      <c r="K62" s="5" t="s">
        <v>25</v>
      </c>
      <c r="L62" s="5" t="s">
        <v>25</v>
      </c>
      <c r="M62" s="5" t="s">
        <v>25</v>
      </c>
      <c r="N62" s="5" t="s">
        <v>25</v>
      </c>
      <c r="O62" s="5" t="s">
        <v>25</v>
      </c>
      <c r="P62" s="5" t="s">
        <v>25</v>
      </c>
      <c r="Q62" s="9" t="s">
        <v>130</v>
      </c>
      <c r="R62" s="6" t="s">
        <v>131</v>
      </c>
      <c r="S62" s="6">
        <f>IF(NOT(ISBLANK(E62)), ROUND(((IF(E62="yes",1,0)*'Grading Scale'!E$2)+(IF(F62="yes",1,0)*'Grading Scale'!E$3)+(IF(G62="yes",1,0)*'Grading Scale'!E$4)+(IF(H62="yes",1,0)*'Grading Scale'!E$5)+(IF(I62="yes",1,0)*'Grading Scale'!E$6)+(IF(J62="yes",1,0)*'Grading Scale'!E$7)+(IF(K62="yes",1,0)*'Grading Scale'!E$8)+(IF(L62="yes",1,0)*'Grading Scale'!E$9)+(IF(M62="yes",1,0)*'Grading Scale'!E$10)+(IF(N62="yes",1,0)*'Grading Scale'!E$11)+(IF(O62="yes",1,0)*'Grading Scale'!E$12)+(IF(P62="yes",1,0)*'Grading Scale'!E$13))/'Grading Scale'!E$14*100,0), "")</f>
        <v>100</v>
      </c>
      <c r="T62" s="6" t="str">
        <f>IF(ISNUMBER(S62),VLOOKUP(S62,'Grading Scale'!$A$2:$B$14, 2), "")</f>
        <v>A+</v>
      </c>
      <c r="U62" s="7"/>
      <c r="V62" s="7"/>
      <c r="W62" s="7"/>
      <c r="X62" s="7"/>
      <c r="Y62" s="7"/>
      <c r="Z62" s="7"/>
      <c r="AA62" s="7"/>
      <c r="AB62" s="7"/>
      <c r="AC62" s="7"/>
      <c r="AD62" s="7"/>
      <c r="AE62" s="7"/>
      <c r="AF62" s="7"/>
      <c r="AG62" s="7"/>
      <c r="AH62" s="7"/>
      <c r="AI62" s="7"/>
      <c r="AJ62" s="7"/>
    </row>
    <row r="63">
      <c r="A63" s="10">
        <v>42387.0</v>
      </c>
      <c r="B63" s="5" t="s">
        <v>120</v>
      </c>
      <c r="C63" s="5" t="s">
        <v>43</v>
      </c>
      <c r="D63" s="6" t="str">
        <f>IF(NOT(ISBLANK(C63)), VLOOKUP(C63,'Dataset Descriptions'!$A$2:$B$10, 2, FALSE), "")</f>
        <v>Health inspections of establishments that serve food to the public.</v>
      </c>
      <c r="E63" s="5" t="s">
        <v>25</v>
      </c>
      <c r="F63" s="5" t="s">
        <v>25</v>
      </c>
      <c r="G63" s="5" t="s">
        <v>25</v>
      </c>
      <c r="H63" s="5" t="s">
        <v>25</v>
      </c>
      <c r="I63" s="5" t="s">
        <v>25</v>
      </c>
      <c r="J63" s="5" t="s">
        <v>23</v>
      </c>
      <c r="K63" s="5" t="s">
        <v>23</v>
      </c>
      <c r="L63" s="5" t="s">
        <v>25</v>
      </c>
      <c r="M63" s="5" t="s">
        <v>25</v>
      </c>
      <c r="N63" s="5" t="s">
        <v>25</v>
      </c>
      <c r="O63" s="5" t="s">
        <v>25</v>
      </c>
      <c r="P63" s="5" t="s">
        <v>23</v>
      </c>
      <c r="Q63" s="9" t="s">
        <v>132</v>
      </c>
      <c r="R63" s="6" t="s">
        <v>133</v>
      </c>
      <c r="S63" s="6">
        <f>IF(NOT(ISBLANK(E63)), ROUND(((IF(E63="yes",1,0)*'Grading Scale'!E$2)+(IF(F63="yes",1,0)*'Grading Scale'!E$3)+(IF(G63="yes",1,0)*'Grading Scale'!E$4)+(IF(H63="yes",1,0)*'Grading Scale'!E$5)+(IF(I63="yes",1,0)*'Grading Scale'!E$6)+(IF(J63="yes",1,0)*'Grading Scale'!E$7)+(IF(K63="yes",1,0)*'Grading Scale'!E$8)+(IF(L63="yes",1,0)*'Grading Scale'!E$9)+(IF(M63="yes",1,0)*'Grading Scale'!E$10)+(IF(N63="yes",1,0)*'Grading Scale'!E$11)+(IF(O63="yes",1,0)*'Grading Scale'!E$12)+(IF(P63="yes",1,0)*'Grading Scale'!E$13))/'Grading Scale'!E$14*100,0), "")</f>
        <v>50</v>
      </c>
      <c r="T63" s="6" t="str">
        <f>IF(ISNUMBER(S63),VLOOKUP(S63,'Grading Scale'!$A$2:$B$14, 2), "")</f>
        <v>F</v>
      </c>
      <c r="U63" s="7"/>
      <c r="V63" s="7"/>
      <c r="W63" s="7"/>
      <c r="X63" s="7"/>
      <c r="Y63" s="7"/>
      <c r="Z63" s="7"/>
      <c r="AA63" s="7"/>
      <c r="AB63" s="7"/>
      <c r="AC63" s="7"/>
      <c r="AD63" s="7"/>
      <c r="AE63" s="7"/>
      <c r="AF63" s="7"/>
      <c r="AG63" s="7"/>
      <c r="AH63" s="7"/>
      <c r="AI63" s="7"/>
      <c r="AJ63" s="7"/>
    </row>
    <row r="64">
      <c r="A64" s="10">
        <v>42338.0</v>
      </c>
      <c r="B64" s="5" t="s">
        <v>120</v>
      </c>
      <c r="C64" s="17" t="s">
        <v>46</v>
      </c>
      <c r="D64" s="6" t="str">
        <f>IF(NOT(ISBLANK(C64)), VLOOKUP(C64,'Dataset Descriptions'!$A$2:$B$10, 2, FALSE), "")</f>
        <v>Incident-level reportable motor vehicle crash records.</v>
      </c>
      <c r="E64" s="5" t="s">
        <v>25</v>
      </c>
      <c r="F64" s="5" t="s">
        <v>25</v>
      </c>
      <c r="G64" s="5" t="s">
        <v>25</v>
      </c>
      <c r="H64" s="5" t="s">
        <v>25</v>
      </c>
      <c r="I64" s="5" t="s">
        <v>25</v>
      </c>
      <c r="J64" s="5" t="s">
        <v>25</v>
      </c>
      <c r="K64" s="5" t="s">
        <v>23</v>
      </c>
      <c r="L64" s="5" t="s">
        <v>25</v>
      </c>
      <c r="M64" s="5" t="s">
        <v>23</v>
      </c>
      <c r="N64" s="5" t="s">
        <v>25</v>
      </c>
      <c r="O64" s="5" t="s">
        <v>23</v>
      </c>
      <c r="P64" s="5" t="s">
        <v>23</v>
      </c>
      <c r="Q64" s="9" t="s">
        <v>134</v>
      </c>
      <c r="R64" s="6" t="s">
        <v>135</v>
      </c>
      <c r="S64" s="6">
        <f>IF(NOT(ISBLANK(E64)), ROUND(((IF(E64="yes",1,0)*'Grading Scale'!E$2)+(IF(F64="yes",1,0)*'Grading Scale'!E$3)+(IF(G64="yes",1,0)*'Grading Scale'!E$4)+(IF(H64="yes",1,0)*'Grading Scale'!E$5)+(IF(I64="yes",1,0)*'Grading Scale'!E$6)+(IF(J64="yes",1,0)*'Grading Scale'!E$7)+(IF(K64="yes",1,0)*'Grading Scale'!E$8)+(IF(L64="yes",1,0)*'Grading Scale'!E$9)+(IF(M64="yes",1,0)*'Grading Scale'!E$10)+(IF(N64="yes",1,0)*'Grading Scale'!E$11)+(IF(O64="yes",1,0)*'Grading Scale'!E$12)+(IF(P64="yes",1,0)*'Grading Scale'!E$13))/'Grading Scale'!E$14*100,0), "")</f>
        <v>80</v>
      </c>
      <c r="T64" s="6" t="str">
        <f>IF(ISNUMBER(S64),VLOOKUP(S64,'Grading Scale'!$A$2:$B$14, 2), "")</f>
        <v>B−</v>
      </c>
      <c r="U64" s="7"/>
      <c r="V64" s="7"/>
      <c r="W64" s="7"/>
      <c r="X64" s="7"/>
      <c r="Y64" s="7"/>
      <c r="Z64" s="7"/>
      <c r="AA64" s="7"/>
      <c r="AB64" s="7"/>
      <c r="AC64" s="7"/>
      <c r="AD64" s="7"/>
      <c r="AE64" s="7"/>
      <c r="AF64" s="7"/>
      <c r="AG64" s="7"/>
      <c r="AH64" s="7"/>
      <c r="AI64" s="7"/>
      <c r="AJ64" s="7"/>
    </row>
    <row r="65">
      <c r="A65" s="4">
        <v>42405.0</v>
      </c>
      <c r="B65" s="5" t="s">
        <v>136</v>
      </c>
      <c r="C65" s="5" t="s">
        <v>21</v>
      </c>
      <c r="D65" s="6" t="str">
        <f>IF(NOT(ISBLANK(C65)), VLOOKUP(C65,'Dataset Descriptions'!$A$2:$B$10, 2, FALSE), "")</f>
        <v>The geographic coordinates for physical addresses.</v>
      </c>
      <c r="E65" s="5" t="s">
        <v>25</v>
      </c>
      <c r="F65" s="5" t="s">
        <v>25</v>
      </c>
      <c r="G65" s="5" t="s">
        <v>22</v>
      </c>
      <c r="H65" s="5" t="s">
        <v>22</v>
      </c>
      <c r="I65" s="5" t="s">
        <v>23</v>
      </c>
      <c r="J65" s="5" t="s">
        <v>25</v>
      </c>
      <c r="K65" s="5" t="s">
        <v>22</v>
      </c>
      <c r="L65" s="5" t="s">
        <v>22</v>
      </c>
      <c r="M65" s="5" t="s">
        <v>22</v>
      </c>
      <c r="N65" s="5" t="s">
        <v>23</v>
      </c>
      <c r="O65" s="5" t="s">
        <v>22</v>
      </c>
      <c r="P65" s="5" t="s">
        <v>25</v>
      </c>
      <c r="Q65" s="7"/>
      <c r="R65" s="6" t="s">
        <v>137</v>
      </c>
      <c r="S65" s="6">
        <f>IF(NOT(ISBLANK(E65)), ROUND(((IF(E65="yes",1,0)*'Grading Scale'!E$2)+(IF(F65="yes",1,0)*'Grading Scale'!E$3)+(IF(G65="yes",1,0)*'Grading Scale'!E$4)+(IF(H65="yes",1,0)*'Grading Scale'!E$5)+(IF(I65="yes",1,0)*'Grading Scale'!E$6)+(IF(J65="yes",1,0)*'Grading Scale'!E$7)+(IF(K65="yes",1,0)*'Grading Scale'!E$8)+(IF(L65="yes",1,0)*'Grading Scale'!E$9)+(IF(M65="yes",1,0)*'Grading Scale'!E$10)+(IF(N65="yes",1,0)*'Grading Scale'!E$11)+(IF(O65="yes",1,0)*'Grading Scale'!E$12)+(IF(P65="yes",1,0)*'Grading Scale'!E$13))/'Grading Scale'!E$14*100,0), "")</f>
        <v>50</v>
      </c>
      <c r="T65" s="6" t="str">
        <f>IF(ISNUMBER(S65),VLOOKUP(S65,'Grading Scale'!$A$2:$B$14, 2), "")</f>
        <v>F</v>
      </c>
      <c r="U65" s="7"/>
      <c r="V65" s="7"/>
      <c r="W65" s="7"/>
      <c r="X65" s="7"/>
      <c r="Y65" s="7"/>
      <c r="Z65" s="7"/>
      <c r="AA65" s="7"/>
      <c r="AB65" s="7"/>
      <c r="AC65" s="7"/>
      <c r="AD65" s="7"/>
      <c r="AE65" s="7"/>
      <c r="AF65" s="7"/>
      <c r="AG65" s="7"/>
      <c r="AH65" s="7"/>
      <c r="AI65" s="7"/>
      <c r="AJ65" s="7"/>
    </row>
    <row r="66">
      <c r="A66" s="4">
        <v>42759.0</v>
      </c>
      <c r="B66" s="5" t="s">
        <v>136</v>
      </c>
      <c r="C66" s="5" t="s">
        <v>24</v>
      </c>
      <c r="D66" s="6" t="str">
        <f>IF(NOT(ISBLANK(C66)), VLOOKUP(C66,'Dataset Descriptions'!$A$2:$B$10, 2, FALSE), "")</f>
        <v>Transaction-level, per-agency spending records.</v>
      </c>
      <c r="E66" s="5" t="s">
        <v>25</v>
      </c>
      <c r="F66" s="5" t="s">
        <v>25</v>
      </c>
      <c r="G66" s="5" t="s">
        <v>25</v>
      </c>
      <c r="H66" s="5" t="s">
        <v>25</v>
      </c>
      <c r="I66" s="5" t="s">
        <v>25</v>
      </c>
      <c r="J66" s="5" t="s">
        <v>25</v>
      </c>
      <c r="K66" s="5" t="s">
        <v>25</v>
      </c>
      <c r="L66" s="5" t="s">
        <v>25</v>
      </c>
      <c r="M66" s="5" t="s">
        <v>25</v>
      </c>
      <c r="N66" s="5" t="s">
        <v>25</v>
      </c>
      <c r="O66" s="5" t="s">
        <v>25</v>
      </c>
      <c r="P66" s="5" t="s">
        <v>23</v>
      </c>
      <c r="Q66" s="9" t="s">
        <v>138</v>
      </c>
      <c r="R66" s="6" t="s">
        <v>139</v>
      </c>
      <c r="S66" s="6">
        <f>IF(NOT(ISBLANK(E66)), ROUND(((IF(E66="yes",1,0)*'Grading Scale'!E$2)+(IF(F66="yes",1,0)*'Grading Scale'!E$3)+(IF(G66="yes",1,0)*'Grading Scale'!E$4)+(IF(H66="yes",1,0)*'Grading Scale'!E$5)+(IF(I66="yes",1,0)*'Grading Scale'!E$6)+(IF(J66="yes",1,0)*'Grading Scale'!E$7)+(IF(K66="yes",1,0)*'Grading Scale'!E$8)+(IF(L66="yes",1,0)*'Grading Scale'!E$9)+(IF(M66="yes",1,0)*'Grading Scale'!E$10)+(IF(N66="yes",1,0)*'Grading Scale'!E$11)+(IF(O66="yes",1,0)*'Grading Scale'!E$12)+(IF(P66="yes",1,0)*'Grading Scale'!E$13))/'Grading Scale'!E$14*100,0), "")</f>
        <v>95</v>
      </c>
      <c r="T66" s="6" t="str">
        <f>IF(ISNUMBER(S66),VLOOKUP(S66,'Grading Scale'!$A$2:$B$14, 2), "")</f>
        <v>A</v>
      </c>
      <c r="U66" s="7"/>
      <c r="V66" s="7"/>
      <c r="W66" s="7"/>
      <c r="X66" s="7"/>
      <c r="Y66" s="7"/>
      <c r="Z66" s="7"/>
      <c r="AA66" s="7"/>
      <c r="AB66" s="7"/>
      <c r="AC66" s="7"/>
      <c r="AD66" s="7"/>
      <c r="AE66" s="7"/>
      <c r="AF66" s="7"/>
      <c r="AG66" s="7"/>
      <c r="AH66" s="7"/>
      <c r="AI66" s="7"/>
      <c r="AJ66" s="7"/>
    </row>
    <row r="67">
      <c r="A67" s="4">
        <v>42405.0</v>
      </c>
      <c r="B67" s="5" t="s">
        <v>136</v>
      </c>
      <c r="C67" s="5" t="s">
        <v>28</v>
      </c>
      <c r="D67" s="6" t="str">
        <f>IF(NOT(ISBLANK(C67)), VLOOKUP(C67,'Dataset Descriptions'!$A$2:$B$10, 2, FALSE), "")</f>
        <v>The register of all corporations that exist in the state.</v>
      </c>
      <c r="E67" s="5" t="s">
        <v>25</v>
      </c>
      <c r="F67" s="5" t="s">
        <v>25</v>
      </c>
      <c r="G67" s="5" t="s">
        <v>25</v>
      </c>
      <c r="H67" s="5" t="s">
        <v>23</v>
      </c>
      <c r="I67" s="5" t="s">
        <v>25</v>
      </c>
      <c r="J67" s="5" t="s">
        <v>23</v>
      </c>
      <c r="K67" s="5" t="s">
        <v>23</v>
      </c>
      <c r="L67" s="5" t="s">
        <v>25</v>
      </c>
      <c r="M67" s="5" t="s">
        <v>25</v>
      </c>
      <c r="N67" s="5" t="s">
        <v>25</v>
      </c>
      <c r="O67" s="5" t="s">
        <v>25</v>
      </c>
      <c r="P67" s="5" t="s">
        <v>25</v>
      </c>
      <c r="Q67" s="9" t="s">
        <v>140</v>
      </c>
      <c r="R67" s="6" t="s">
        <v>141</v>
      </c>
      <c r="S67" s="6">
        <f>IF(NOT(ISBLANK(E67)), ROUND(((IF(E67="yes",1,0)*'Grading Scale'!E$2)+(IF(F67="yes",1,0)*'Grading Scale'!E$3)+(IF(G67="yes",1,0)*'Grading Scale'!E$4)+(IF(H67="yes",1,0)*'Grading Scale'!E$5)+(IF(I67="yes",1,0)*'Grading Scale'!E$6)+(IF(J67="yes",1,0)*'Grading Scale'!E$7)+(IF(K67="yes",1,0)*'Grading Scale'!E$8)+(IF(L67="yes",1,0)*'Grading Scale'!E$9)+(IF(M67="yes",1,0)*'Grading Scale'!E$10)+(IF(N67="yes",1,0)*'Grading Scale'!E$11)+(IF(O67="yes",1,0)*'Grading Scale'!E$12)+(IF(P67="yes",1,0)*'Grading Scale'!E$13))/'Grading Scale'!E$14*100,0), "")</f>
        <v>40</v>
      </c>
      <c r="T67" s="6" t="str">
        <f>IF(ISNUMBER(S67),VLOOKUP(S67,'Grading Scale'!$A$2:$B$14, 2), "")</f>
        <v>F</v>
      </c>
      <c r="U67" s="7"/>
      <c r="V67" s="7"/>
      <c r="W67" s="7"/>
      <c r="X67" s="7"/>
      <c r="Y67" s="7"/>
      <c r="Z67" s="7"/>
      <c r="AA67" s="7"/>
      <c r="AB67" s="7"/>
      <c r="AC67" s="7"/>
      <c r="AD67" s="7"/>
      <c r="AE67" s="7"/>
      <c r="AF67" s="7"/>
      <c r="AG67" s="7"/>
      <c r="AH67" s="7"/>
      <c r="AI67" s="7"/>
      <c r="AJ67" s="7"/>
    </row>
    <row r="68">
      <c r="A68" s="4">
        <v>42405.0</v>
      </c>
      <c r="B68" s="5" t="s">
        <v>136</v>
      </c>
      <c r="C68" s="5" t="s">
        <v>31</v>
      </c>
      <c r="D68" s="6" t="str">
        <f>IF(NOT(ISBLANK(C68)), VLOOKUP(C68,'Dataset Descriptions'!$A$2:$B$10, 2, FALSE), "")</f>
        <v>Per-facility inmate population records.</v>
      </c>
      <c r="E68" s="5" t="s">
        <v>22</v>
      </c>
      <c r="F68" s="5" t="s">
        <v>22</v>
      </c>
      <c r="G68" s="5" t="s">
        <v>22</v>
      </c>
      <c r="H68" s="5" t="s">
        <v>22</v>
      </c>
      <c r="I68" s="5" t="s">
        <v>23</v>
      </c>
      <c r="J68" s="5" t="s">
        <v>22</v>
      </c>
      <c r="K68" s="5" t="s">
        <v>22</v>
      </c>
      <c r="L68" s="5" t="s">
        <v>22</v>
      </c>
      <c r="M68" s="5" t="s">
        <v>22</v>
      </c>
      <c r="N68" s="5" t="s">
        <v>23</v>
      </c>
      <c r="O68" s="5" t="s">
        <v>22</v>
      </c>
      <c r="P68" s="5" t="s">
        <v>22</v>
      </c>
      <c r="Q68" s="7"/>
      <c r="R68" s="8"/>
      <c r="S68" s="6">
        <f>IF(NOT(ISBLANK(E68)), ROUND(((IF(E68="yes",1,0)*'Grading Scale'!E$2)+(IF(F68="yes",1,0)*'Grading Scale'!E$3)+(IF(G68="yes",1,0)*'Grading Scale'!E$4)+(IF(H68="yes",1,0)*'Grading Scale'!E$5)+(IF(I68="yes",1,0)*'Grading Scale'!E$6)+(IF(J68="yes",1,0)*'Grading Scale'!E$7)+(IF(K68="yes",1,0)*'Grading Scale'!E$8)+(IF(L68="yes",1,0)*'Grading Scale'!E$9)+(IF(M68="yes",1,0)*'Grading Scale'!E$10)+(IF(N68="yes",1,0)*'Grading Scale'!E$11)+(IF(O68="yes",1,0)*'Grading Scale'!E$12)+(IF(P68="yes",1,0)*'Grading Scale'!E$13))/'Grading Scale'!E$14*100,0), "")</f>
        <v>0</v>
      </c>
      <c r="T68" s="6" t="str">
        <f>IF(ISNUMBER(S68),VLOOKUP(S68,'Grading Scale'!$A$2:$B$14, 2), "")</f>
        <v>F</v>
      </c>
      <c r="U68" s="7"/>
      <c r="V68" s="7"/>
      <c r="W68" s="7"/>
      <c r="X68" s="7"/>
      <c r="Y68" s="7"/>
      <c r="Z68" s="7"/>
      <c r="AA68" s="7"/>
      <c r="AB68" s="7"/>
      <c r="AC68" s="7"/>
      <c r="AD68" s="7"/>
      <c r="AE68" s="7"/>
      <c r="AF68" s="7"/>
      <c r="AG68" s="7"/>
      <c r="AH68" s="7"/>
      <c r="AI68" s="7"/>
      <c r="AJ68" s="7"/>
    </row>
    <row r="69">
      <c r="A69" s="4">
        <v>42405.0</v>
      </c>
      <c r="B69" s="5" t="s">
        <v>136</v>
      </c>
      <c r="C69" s="5" t="s">
        <v>34</v>
      </c>
      <c r="D69" s="6" t="str">
        <f>IF(NOT(ISBLANK(C69)), VLOOKUP(C69,'Dataset Descriptions'!$A$2:$B$10, 2, FALSE), "")</f>
        <v>Bills before the legislature, and the legislators that comprise it.</v>
      </c>
      <c r="E69" s="5" t="s">
        <v>25</v>
      </c>
      <c r="F69" s="5" t="s">
        <v>25</v>
      </c>
      <c r="G69" s="5" t="s">
        <v>25</v>
      </c>
      <c r="H69" s="5" t="s">
        <v>25</v>
      </c>
      <c r="I69" s="5" t="s">
        <v>25</v>
      </c>
      <c r="J69" s="5" t="s">
        <v>23</v>
      </c>
      <c r="K69" s="5" t="s">
        <v>23</v>
      </c>
      <c r="L69" s="5" t="s">
        <v>25</v>
      </c>
      <c r="M69" s="5" t="s">
        <v>25</v>
      </c>
      <c r="N69" s="5" t="s">
        <v>23</v>
      </c>
      <c r="O69" s="5" t="s">
        <v>23</v>
      </c>
      <c r="P69" s="5" t="s">
        <v>25</v>
      </c>
      <c r="Q69" s="9" t="s">
        <v>142</v>
      </c>
      <c r="R69" s="8"/>
      <c r="S69" s="6">
        <f>IF(NOT(ISBLANK(E69)), ROUND(((IF(E69="yes",1,0)*'Grading Scale'!E$2)+(IF(F69="yes",1,0)*'Grading Scale'!E$3)+(IF(G69="yes",1,0)*'Grading Scale'!E$4)+(IF(H69="yes",1,0)*'Grading Scale'!E$5)+(IF(I69="yes",1,0)*'Grading Scale'!E$6)+(IF(J69="yes",1,0)*'Grading Scale'!E$7)+(IF(K69="yes",1,0)*'Grading Scale'!E$8)+(IF(L69="yes",1,0)*'Grading Scale'!E$9)+(IF(M69="yes",1,0)*'Grading Scale'!E$10)+(IF(N69="yes",1,0)*'Grading Scale'!E$11)+(IF(O69="yes",1,0)*'Grading Scale'!E$12)+(IF(P69="yes",1,0)*'Grading Scale'!E$13))/'Grading Scale'!E$14*100,0), "")</f>
        <v>45</v>
      </c>
      <c r="T69" s="6" t="str">
        <f>IF(ISNUMBER(S69),VLOOKUP(S69,'Grading Scale'!$A$2:$B$14, 2), "")</f>
        <v>F</v>
      </c>
      <c r="U69" s="7"/>
      <c r="V69" s="7"/>
      <c r="W69" s="7"/>
      <c r="X69" s="7"/>
      <c r="Y69" s="7"/>
      <c r="Z69" s="7"/>
      <c r="AA69" s="7"/>
      <c r="AB69" s="7"/>
      <c r="AC69" s="7"/>
      <c r="AD69" s="7"/>
      <c r="AE69" s="7"/>
      <c r="AF69" s="7"/>
      <c r="AG69" s="7"/>
      <c r="AH69" s="7"/>
      <c r="AI69" s="7"/>
      <c r="AJ69" s="7"/>
    </row>
    <row r="70">
      <c r="A70" s="4">
        <v>42405.0</v>
      </c>
      <c r="B70" s="5" t="s">
        <v>136</v>
      </c>
      <c r="C70" s="6" t="s">
        <v>37</v>
      </c>
      <c r="D70" s="6" t="str">
        <f>IF(NOT(ISBLANK(C70)), VLOOKUP(C70,'Dataset Descriptions'!$A$2:$B$10, 2, FALSE), "")</f>
        <v>Forecasts of municipal-level changes in population over coming years.</v>
      </c>
      <c r="E70" s="5" t="s">
        <v>25</v>
      </c>
      <c r="F70" s="5" t="s">
        <v>25</v>
      </c>
      <c r="G70" s="5" t="s">
        <v>25</v>
      </c>
      <c r="H70" s="5" t="s">
        <v>25</v>
      </c>
      <c r="I70" s="5" t="s">
        <v>25</v>
      </c>
      <c r="J70" s="5" t="s">
        <v>23</v>
      </c>
      <c r="K70" s="5" t="s">
        <v>25</v>
      </c>
      <c r="L70" s="5" t="s">
        <v>25</v>
      </c>
      <c r="M70" s="5" t="s">
        <v>25</v>
      </c>
      <c r="N70" s="5" t="s">
        <v>25</v>
      </c>
      <c r="O70" s="5" t="s">
        <v>23</v>
      </c>
      <c r="P70" s="5" t="s">
        <v>23</v>
      </c>
      <c r="Q70" s="9" t="s">
        <v>143</v>
      </c>
      <c r="R70" s="6" t="s">
        <v>144</v>
      </c>
      <c r="S70" s="6">
        <f>IF(NOT(ISBLANK(E70)), ROUND(((IF(E70="yes",1,0)*'Grading Scale'!E$2)+(IF(F70="yes",1,0)*'Grading Scale'!E$3)+(IF(G70="yes",1,0)*'Grading Scale'!E$4)+(IF(H70="yes",1,0)*'Grading Scale'!E$5)+(IF(I70="yes",1,0)*'Grading Scale'!E$6)+(IF(J70="yes",1,0)*'Grading Scale'!E$7)+(IF(K70="yes",1,0)*'Grading Scale'!E$8)+(IF(L70="yes",1,0)*'Grading Scale'!E$9)+(IF(M70="yes",1,0)*'Grading Scale'!E$10)+(IF(N70="yes",1,0)*'Grading Scale'!E$11)+(IF(O70="yes",1,0)*'Grading Scale'!E$12)+(IF(P70="yes",1,0)*'Grading Scale'!E$13))/'Grading Scale'!E$14*100,0), "")</f>
        <v>50</v>
      </c>
      <c r="T70" s="6" t="str">
        <f>IF(ISNUMBER(S70),VLOOKUP(S70,'Grading Scale'!$A$2:$B$14, 2), "")</f>
        <v>F</v>
      </c>
      <c r="U70" s="7"/>
      <c r="V70" s="7"/>
      <c r="W70" s="7"/>
      <c r="X70" s="7"/>
      <c r="Y70" s="7"/>
      <c r="Z70" s="7"/>
      <c r="AA70" s="7"/>
      <c r="AB70" s="7"/>
      <c r="AC70" s="7"/>
      <c r="AD70" s="7"/>
      <c r="AE70" s="7"/>
      <c r="AF70" s="7"/>
      <c r="AG70" s="7"/>
      <c r="AH70" s="7"/>
      <c r="AI70" s="7"/>
      <c r="AJ70" s="7"/>
    </row>
    <row r="71">
      <c r="A71" s="4">
        <v>42405.0</v>
      </c>
      <c r="B71" s="5" t="s">
        <v>136</v>
      </c>
      <c r="C71" s="5" t="s">
        <v>40</v>
      </c>
      <c r="D71" s="6" t="str">
        <f>IF(NOT(ISBLANK(C71)), VLOOKUP(C71,'Dataset Descriptions'!$A$2:$B$10, 2, FALSE), "")</f>
        <v>State-owned land and buildings.</v>
      </c>
      <c r="E71" s="5" t="s">
        <v>22</v>
      </c>
      <c r="F71" s="5" t="s">
        <v>22</v>
      </c>
      <c r="G71" s="5" t="s">
        <v>22</v>
      </c>
      <c r="H71" s="5" t="s">
        <v>22</v>
      </c>
      <c r="I71" s="5" t="s">
        <v>23</v>
      </c>
      <c r="J71" s="5" t="s">
        <v>22</v>
      </c>
      <c r="K71" s="5" t="s">
        <v>22</v>
      </c>
      <c r="L71" s="5" t="s">
        <v>22</v>
      </c>
      <c r="M71" s="5" t="s">
        <v>22</v>
      </c>
      <c r="N71" s="5" t="s">
        <v>23</v>
      </c>
      <c r="O71" s="5" t="s">
        <v>22</v>
      </c>
      <c r="P71" s="5" t="s">
        <v>22</v>
      </c>
      <c r="Q71" s="7"/>
      <c r="R71" s="8"/>
      <c r="S71" s="6">
        <f>IF(NOT(ISBLANK(E71)), ROUND(((IF(E71="yes",1,0)*'Grading Scale'!E$2)+(IF(F71="yes",1,0)*'Grading Scale'!E$3)+(IF(G71="yes",1,0)*'Grading Scale'!E$4)+(IF(H71="yes",1,0)*'Grading Scale'!E$5)+(IF(I71="yes",1,0)*'Grading Scale'!E$6)+(IF(J71="yes",1,0)*'Grading Scale'!E$7)+(IF(K71="yes",1,0)*'Grading Scale'!E$8)+(IF(L71="yes",1,0)*'Grading Scale'!E$9)+(IF(M71="yes",1,0)*'Grading Scale'!E$10)+(IF(N71="yes",1,0)*'Grading Scale'!E$11)+(IF(O71="yes",1,0)*'Grading Scale'!E$12)+(IF(P71="yes",1,0)*'Grading Scale'!E$13))/'Grading Scale'!E$14*100,0), "")</f>
        <v>0</v>
      </c>
      <c r="T71" s="6" t="str">
        <f>IF(ISNUMBER(S71),VLOOKUP(S71,'Grading Scale'!$A$2:$B$14, 2), "")</f>
        <v>F</v>
      </c>
      <c r="U71" s="7"/>
      <c r="V71" s="7"/>
      <c r="W71" s="7"/>
      <c r="X71" s="7"/>
      <c r="Y71" s="7"/>
      <c r="Z71" s="7"/>
      <c r="AA71" s="7"/>
      <c r="AB71" s="7"/>
      <c r="AC71" s="7"/>
      <c r="AD71" s="7"/>
      <c r="AE71" s="7"/>
      <c r="AF71" s="7"/>
      <c r="AG71" s="7"/>
      <c r="AH71" s="7"/>
      <c r="AI71" s="7"/>
      <c r="AJ71" s="7"/>
    </row>
    <row r="72">
      <c r="A72" s="4">
        <v>42759.0</v>
      </c>
      <c r="B72" s="5" t="s">
        <v>136</v>
      </c>
      <c r="C72" s="5" t="s">
        <v>43</v>
      </c>
      <c r="D72" s="6" t="str">
        <f>IF(NOT(ISBLANK(C72)), VLOOKUP(C72,'Dataset Descriptions'!$A$2:$B$10, 2, FALSE), "")</f>
        <v>Health inspections of establishments that serve food to the public.</v>
      </c>
      <c r="E72" s="5" t="s">
        <v>25</v>
      </c>
      <c r="F72" s="5" t="s">
        <v>25</v>
      </c>
      <c r="G72" s="5" t="s">
        <v>25</v>
      </c>
      <c r="H72" s="5" t="s">
        <v>25</v>
      </c>
      <c r="I72" s="5" t="s">
        <v>25</v>
      </c>
      <c r="J72" s="5" t="s">
        <v>25</v>
      </c>
      <c r="K72" s="5" t="s">
        <v>25</v>
      </c>
      <c r="L72" s="5" t="s">
        <v>25</v>
      </c>
      <c r="M72" s="5" t="s">
        <v>25</v>
      </c>
      <c r="N72" s="5" t="s">
        <v>25</v>
      </c>
      <c r="O72" s="5" t="s">
        <v>25</v>
      </c>
      <c r="P72" s="5" t="s">
        <v>23</v>
      </c>
      <c r="Q72" s="9" t="s">
        <v>145</v>
      </c>
      <c r="R72" s="6" t="s">
        <v>146</v>
      </c>
      <c r="S72" s="6">
        <f>IF(NOT(ISBLANK(E72)), ROUND(((IF(E72="yes",1,0)*'Grading Scale'!E$2)+(IF(F72="yes",1,0)*'Grading Scale'!E$3)+(IF(G72="yes",1,0)*'Grading Scale'!E$4)+(IF(H72="yes",1,0)*'Grading Scale'!E$5)+(IF(I72="yes",1,0)*'Grading Scale'!E$6)+(IF(J72="yes",1,0)*'Grading Scale'!E$7)+(IF(K72="yes",1,0)*'Grading Scale'!E$8)+(IF(L72="yes",1,0)*'Grading Scale'!E$9)+(IF(M72="yes",1,0)*'Grading Scale'!E$10)+(IF(N72="yes",1,0)*'Grading Scale'!E$11)+(IF(O72="yes",1,0)*'Grading Scale'!E$12)+(IF(P72="yes",1,0)*'Grading Scale'!E$13))/'Grading Scale'!E$14*100,0), "")</f>
        <v>95</v>
      </c>
      <c r="T72" s="6" t="str">
        <f>IF(ISNUMBER(S72),VLOOKUP(S72,'Grading Scale'!$A$2:$B$14, 2), "")</f>
        <v>A</v>
      </c>
      <c r="U72" s="7"/>
      <c r="V72" s="7"/>
      <c r="W72" s="7"/>
      <c r="X72" s="7"/>
      <c r="Y72" s="7"/>
      <c r="Z72" s="7"/>
      <c r="AA72" s="7"/>
      <c r="AB72" s="7"/>
      <c r="AC72" s="7"/>
      <c r="AD72" s="7"/>
      <c r="AE72" s="7"/>
      <c r="AF72" s="7"/>
      <c r="AG72" s="7"/>
      <c r="AH72" s="7"/>
      <c r="AI72" s="7"/>
      <c r="AJ72" s="7"/>
    </row>
    <row r="73">
      <c r="A73" s="4">
        <v>42405.0</v>
      </c>
      <c r="B73" s="5" t="s">
        <v>136</v>
      </c>
      <c r="C73" s="5" t="s">
        <v>46</v>
      </c>
      <c r="D73" s="6" t="str">
        <f>IF(NOT(ISBLANK(C73)), VLOOKUP(C73,'Dataset Descriptions'!$A$2:$B$10, 2, FALSE), "")</f>
        <v>Incident-level reportable motor vehicle crash records.</v>
      </c>
      <c r="E73" s="5" t="s">
        <v>25</v>
      </c>
      <c r="F73" s="5" t="s">
        <v>25</v>
      </c>
      <c r="G73" s="5" t="s">
        <v>22</v>
      </c>
      <c r="H73" s="5" t="s">
        <v>22</v>
      </c>
      <c r="I73" s="5" t="s">
        <v>23</v>
      </c>
      <c r="J73" s="5" t="s">
        <v>25</v>
      </c>
      <c r="K73" s="5" t="s">
        <v>22</v>
      </c>
      <c r="L73" s="5" t="s">
        <v>22</v>
      </c>
      <c r="M73" s="5" t="s">
        <v>25</v>
      </c>
      <c r="N73" s="5" t="s">
        <v>23</v>
      </c>
      <c r="O73" s="5" t="s">
        <v>22</v>
      </c>
      <c r="P73" s="5" t="s">
        <v>25</v>
      </c>
      <c r="Q73" s="7"/>
      <c r="R73" s="6" t="s">
        <v>147</v>
      </c>
      <c r="S73" s="6">
        <f>IF(NOT(ISBLANK(E73)), ROUND(((IF(E73="yes",1,0)*'Grading Scale'!E$2)+(IF(F73="yes",1,0)*'Grading Scale'!E$3)+(IF(G73="yes",1,0)*'Grading Scale'!E$4)+(IF(H73="yes",1,0)*'Grading Scale'!E$5)+(IF(I73="yes",1,0)*'Grading Scale'!E$6)+(IF(J73="yes",1,0)*'Grading Scale'!E$7)+(IF(K73="yes",1,0)*'Grading Scale'!E$8)+(IF(L73="yes",1,0)*'Grading Scale'!E$9)+(IF(M73="yes",1,0)*'Grading Scale'!E$10)+(IF(N73="yes",1,0)*'Grading Scale'!E$11)+(IF(O73="yes",1,0)*'Grading Scale'!E$12)+(IF(P73="yes",1,0)*'Grading Scale'!E$13))/'Grading Scale'!E$14*100,0), "")</f>
        <v>55</v>
      </c>
      <c r="T73" s="6" t="str">
        <f>IF(ISNUMBER(S73),VLOOKUP(S73,'Grading Scale'!$A$2:$B$14, 2), "")</f>
        <v>F</v>
      </c>
      <c r="U73" s="7"/>
      <c r="V73" s="7"/>
      <c r="W73" s="7"/>
      <c r="X73" s="7"/>
      <c r="Y73" s="7"/>
      <c r="Z73" s="7"/>
      <c r="AA73" s="7"/>
      <c r="AB73" s="7"/>
      <c r="AC73" s="7"/>
      <c r="AD73" s="7"/>
      <c r="AE73" s="7"/>
      <c r="AF73" s="7"/>
      <c r="AG73" s="7"/>
      <c r="AH73" s="7"/>
      <c r="AI73" s="7"/>
      <c r="AJ73" s="7"/>
    </row>
    <row r="74">
      <c r="A74" s="10">
        <v>42434.0</v>
      </c>
      <c r="B74" s="6" t="s">
        <v>148</v>
      </c>
      <c r="C74" s="6" t="s">
        <v>21</v>
      </c>
      <c r="D74" s="6" t="str">
        <f>IF(NOT(ISBLANK(C74)), VLOOKUP(C74,'Dataset Descriptions'!$A$2:$B$10, 2, FALSE), "")</f>
        <v>The geographic coordinates for physical addresses.</v>
      </c>
      <c r="E74" s="6" t="s">
        <v>23</v>
      </c>
      <c r="F74" s="6" t="s">
        <v>23</v>
      </c>
      <c r="G74" s="6" t="s">
        <v>23</v>
      </c>
      <c r="H74" s="6" t="s">
        <v>23</v>
      </c>
      <c r="I74" s="6" t="s">
        <v>23</v>
      </c>
      <c r="J74" s="6" t="s">
        <v>23</v>
      </c>
      <c r="K74" s="6" t="s">
        <v>23</v>
      </c>
      <c r="L74" s="6" t="s">
        <v>23</v>
      </c>
      <c r="M74" s="6" t="s">
        <v>23</v>
      </c>
      <c r="N74" s="6" t="s">
        <v>23</v>
      </c>
      <c r="O74" s="6" t="s">
        <v>23</v>
      </c>
      <c r="P74" s="6" t="s">
        <v>23</v>
      </c>
      <c r="Q74" s="6"/>
      <c r="R74" s="13"/>
      <c r="S74" s="6">
        <f>IF(NOT(ISBLANK(E74)), ROUND(((IF(E74="yes",1,0)*'Grading Scale'!E$2)+(IF(F74="yes",1,0)*'Grading Scale'!E$3)+(IF(G74="yes",1,0)*'Grading Scale'!E$4)+(IF(H74="yes",1,0)*'Grading Scale'!E$5)+(IF(I74="yes",1,0)*'Grading Scale'!E$6)+(IF(J74="yes",1,0)*'Grading Scale'!E$7)+(IF(K74="yes",1,0)*'Grading Scale'!E$8)+(IF(L74="yes",1,0)*'Grading Scale'!E$9)+(IF(M74="yes",1,0)*'Grading Scale'!E$10)+(IF(N74="yes",1,0)*'Grading Scale'!E$11)+(IF(O74="yes",1,0)*'Grading Scale'!E$12)+(IF(P74="yes",1,0)*'Grading Scale'!E$13))/'Grading Scale'!E$14*100,0), "")</f>
        <v>0</v>
      </c>
      <c r="T74" s="6" t="str">
        <f>IF(ISNUMBER(S74),VLOOKUP(S74,'Grading Scale'!$A$2:$B$14, 2), "")</f>
        <v>F</v>
      </c>
      <c r="U74" s="7"/>
      <c r="V74" s="7"/>
      <c r="W74" s="7"/>
      <c r="X74" s="7"/>
      <c r="Y74" s="7"/>
      <c r="Z74" s="7"/>
      <c r="AA74" s="7"/>
      <c r="AB74" s="7"/>
      <c r="AC74" s="7"/>
      <c r="AD74" s="7"/>
      <c r="AE74" s="7"/>
      <c r="AF74" s="7"/>
      <c r="AG74" s="7"/>
      <c r="AH74" s="7"/>
      <c r="AI74" s="7"/>
      <c r="AJ74" s="7"/>
    </row>
    <row r="75">
      <c r="A75" s="10">
        <v>42360.0</v>
      </c>
      <c r="B75" s="6" t="s">
        <v>148</v>
      </c>
      <c r="C75" s="6" t="s">
        <v>24</v>
      </c>
      <c r="D75" s="6" t="str">
        <f>IF(NOT(ISBLANK(C75)), VLOOKUP(C75,'Dataset Descriptions'!$A$2:$B$10, 2, FALSE), "")</f>
        <v>Transaction-level, per-agency spending records.</v>
      </c>
      <c r="E75" s="6" t="s">
        <v>25</v>
      </c>
      <c r="F75" s="6" t="s">
        <v>25</v>
      </c>
      <c r="G75" s="6" t="s">
        <v>25</v>
      </c>
      <c r="H75" s="6" t="s">
        <v>25</v>
      </c>
      <c r="I75" s="6" t="s">
        <v>25</v>
      </c>
      <c r="J75" s="6" t="s">
        <v>25</v>
      </c>
      <c r="K75" s="6" t="s">
        <v>25</v>
      </c>
      <c r="L75" s="6" t="s">
        <v>23</v>
      </c>
      <c r="M75" s="6" t="s">
        <v>25</v>
      </c>
      <c r="N75" s="6" t="s">
        <v>23</v>
      </c>
      <c r="O75" s="6" t="s">
        <v>23</v>
      </c>
      <c r="P75" s="6" t="s">
        <v>23</v>
      </c>
      <c r="Q75" s="15" t="s">
        <v>149</v>
      </c>
      <c r="R75" s="13" t="s">
        <v>150</v>
      </c>
      <c r="S75" s="6">
        <f>IF(NOT(ISBLANK(E75)), ROUND(((IF(E75="yes",1,0)*'Grading Scale'!E$2)+(IF(F75="yes",1,0)*'Grading Scale'!E$3)+(IF(G75="yes",1,0)*'Grading Scale'!E$4)+(IF(H75="yes",1,0)*'Grading Scale'!E$5)+(IF(I75="yes",1,0)*'Grading Scale'!E$6)+(IF(J75="yes",1,0)*'Grading Scale'!E$7)+(IF(K75="yes",1,0)*'Grading Scale'!E$8)+(IF(L75="yes",1,0)*'Grading Scale'!E$9)+(IF(M75="yes",1,0)*'Grading Scale'!E$10)+(IF(N75="yes",1,0)*'Grading Scale'!E$11)+(IF(O75="yes",1,0)*'Grading Scale'!E$12)+(IF(P75="yes",1,0)*'Grading Scale'!E$13))/'Grading Scale'!E$14*100,0), "")</f>
        <v>80</v>
      </c>
      <c r="T75" s="6" t="str">
        <f>IF(ISNUMBER(S75),VLOOKUP(S75,'Grading Scale'!$A$2:$B$14, 2), "")</f>
        <v>B−</v>
      </c>
      <c r="U75" s="7"/>
      <c r="V75" s="7"/>
      <c r="W75" s="7"/>
      <c r="X75" s="7"/>
      <c r="Y75" s="7"/>
      <c r="Z75" s="7"/>
      <c r="AA75" s="7"/>
      <c r="AB75" s="7"/>
      <c r="AC75" s="7"/>
      <c r="AD75" s="7"/>
      <c r="AE75" s="7"/>
      <c r="AF75" s="7"/>
      <c r="AG75" s="7"/>
      <c r="AH75" s="7"/>
      <c r="AI75" s="7"/>
      <c r="AJ75" s="7"/>
    </row>
    <row r="76">
      <c r="A76" s="10">
        <v>42396.0</v>
      </c>
      <c r="B76" s="6" t="s">
        <v>148</v>
      </c>
      <c r="C76" s="6" t="s">
        <v>28</v>
      </c>
      <c r="D76" s="6" t="str">
        <f>IF(NOT(ISBLANK(C76)), VLOOKUP(C76,'Dataset Descriptions'!$A$2:$B$10, 2, FALSE), "")</f>
        <v>The register of all corporations that exist in the state.</v>
      </c>
      <c r="E76" s="6" t="s">
        <v>25</v>
      </c>
      <c r="F76" s="6" t="s">
        <v>25</v>
      </c>
      <c r="G76" s="6" t="s">
        <v>25</v>
      </c>
      <c r="H76" s="6" t="s">
        <v>25</v>
      </c>
      <c r="I76" s="6" t="s">
        <v>25</v>
      </c>
      <c r="J76" s="6" t="s">
        <v>25</v>
      </c>
      <c r="K76" s="6" t="s">
        <v>25</v>
      </c>
      <c r="L76" s="6" t="s">
        <v>23</v>
      </c>
      <c r="M76" s="6" t="s">
        <v>25</v>
      </c>
      <c r="N76" s="6" t="s">
        <v>23</v>
      </c>
      <c r="O76" s="6" t="s">
        <v>23</v>
      </c>
      <c r="P76" s="6" t="s">
        <v>25</v>
      </c>
      <c r="Q76" s="15" t="s">
        <v>151</v>
      </c>
      <c r="R76" s="13" t="s">
        <v>152</v>
      </c>
      <c r="S76" s="6">
        <f>IF(NOT(ISBLANK(E76)), ROUND(((IF(E76="yes",1,0)*'Grading Scale'!E$2)+(IF(F76="yes",1,0)*'Grading Scale'!E$3)+(IF(G76="yes",1,0)*'Grading Scale'!E$4)+(IF(H76="yes",1,0)*'Grading Scale'!E$5)+(IF(I76="yes",1,0)*'Grading Scale'!E$6)+(IF(J76="yes",1,0)*'Grading Scale'!E$7)+(IF(K76="yes",1,0)*'Grading Scale'!E$8)+(IF(L76="yes",1,0)*'Grading Scale'!E$9)+(IF(M76="yes",1,0)*'Grading Scale'!E$10)+(IF(N76="yes",1,0)*'Grading Scale'!E$11)+(IF(O76="yes",1,0)*'Grading Scale'!E$12)+(IF(P76="yes",1,0)*'Grading Scale'!E$13))/'Grading Scale'!E$14*100,0), "")</f>
        <v>85</v>
      </c>
      <c r="T76" s="6" t="str">
        <f>IF(ISNUMBER(S76),VLOOKUP(S76,'Grading Scale'!$A$2:$B$14, 2), "")</f>
        <v>B</v>
      </c>
      <c r="U76" s="7"/>
      <c r="V76" s="7"/>
      <c r="W76" s="7"/>
      <c r="X76" s="7"/>
      <c r="Y76" s="7"/>
      <c r="Z76" s="7"/>
      <c r="AA76" s="7"/>
      <c r="AB76" s="7"/>
      <c r="AC76" s="7"/>
      <c r="AD76" s="7"/>
      <c r="AE76" s="7"/>
      <c r="AF76" s="7"/>
      <c r="AG76" s="7"/>
      <c r="AH76" s="7"/>
      <c r="AI76" s="7"/>
      <c r="AJ76" s="7"/>
    </row>
    <row r="77">
      <c r="A77" s="10">
        <v>42396.0</v>
      </c>
      <c r="B77" s="6" t="s">
        <v>148</v>
      </c>
      <c r="C77" s="6" t="s">
        <v>31</v>
      </c>
      <c r="D77" s="6" t="str">
        <f>IF(NOT(ISBLANK(C77)), VLOOKUP(C77,'Dataset Descriptions'!$A$2:$B$10, 2, FALSE), "")</f>
        <v>Per-facility inmate population records.</v>
      </c>
      <c r="E77" s="6" t="s">
        <v>25</v>
      </c>
      <c r="F77" s="6" t="s">
        <v>25</v>
      </c>
      <c r="G77" s="6" t="s">
        <v>25</v>
      </c>
      <c r="H77" s="6" t="s">
        <v>25</v>
      </c>
      <c r="I77" s="6" t="s">
        <v>25</v>
      </c>
      <c r="J77" s="6" t="s">
        <v>23</v>
      </c>
      <c r="K77" s="6" t="s">
        <v>23</v>
      </c>
      <c r="L77" s="6" t="s">
        <v>25</v>
      </c>
      <c r="M77" s="6" t="s">
        <v>25</v>
      </c>
      <c r="N77" s="6" t="s">
        <v>23</v>
      </c>
      <c r="O77" s="6" t="s">
        <v>23</v>
      </c>
      <c r="P77" s="6" t="s">
        <v>23</v>
      </c>
      <c r="Q77" s="15" t="s">
        <v>153</v>
      </c>
      <c r="R77" s="13" t="s">
        <v>154</v>
      </c>
      <c r="S77" s="6">
        <f>IF(NOT(ISBLANK(E77)), ROUND(((IF(E77="yes",1,0)*'Grading Scale'!E$2)+(IF(F77="yes",1,0)*'Grading Scale'!E$3)+(IF(G77="yes",1,0)*'Grading Scale'!E$4)+(IF(H77="yes",1,0)*'Grading Scale'!E$5)+(IF(I77="yes",1,0)*'Grading Scale'!E$6)+(IF(J77="yes",1,0)*'Grading Scale'!E$7)+(IF(K77="yes",1,0)*'Grading Scale'!E$8)+(IF(L77="yes",1,0)*'Grading Scale'!E$9)+(IF(M77="yes",1,0)*'Grading Scale'!E$10)+(IF(N77="yes",1,0)*'Grading Scale'!E$11)+(IF(O77="yes",1,0)*'Grading Scale'!E$12)+(IF(P77="yes",1,0)*'Grading Scale'!E$13))/'Grading Scale'!E$14*100,0), "")</f>
        <v>40</v>
      </c>
      <c r="T77" s="6" t="str">
        <f>IF(ISNUMBER(S77),VLOOKUP(S77,'Grading Scale'!$A$2:$B$14, 2), "")</f>
        <v>F</v>
      </c>
      <c r="U77" s="7"/>
      <c r="V77" s="7"/>
      <c r="W77" s="7"/>
      <c r="X77" s="7"/>
      <c r="Y77" s="7"/>
      <c r="Z77" s="7"/>
      <c r="AA77" s="7"/>
      <c r="AB77" s="7"/>
      <c r="AC77" s="7"/>
      <c r="AD77" s="7"/>
      <c r="AE77" s="7"/>
      <c r="AF77" s="7"/>
      <c r="AG77" s="7"/>
      <c r="AH77" s="7"/>
      <c r="AI77" s="7"/>
      <c r="AJ77" s="7"/>
    </row>
    <row r="78">
      <c r="A78" s="10">
        <v>42360.0</v>
      </c>
      <c r="B78" s="6" t="s">
        <v>148</v>
      </c>
      <c r="C78" s="6" t="s">
        <v>34</v>
      </c>
      <c r="D78" s="6" t="str">
        <f>IF(NOT(ISBLANK(C78)), VLOOKUP(C78,'Dataset Descriptions'!$A$2:$B$10, 2, FALSE), "")</f>
        <v>Bills before the legislature, and the legislators that comprise it.</v>
      </c>
      <c r="E78" s="6" t="s">
        <v>25</v>
      </c>
      <c r="F78" s="6" t="s">
        <v>25</v>
      </c>
      <c r="G78" s="6" t="s">
        <v>25</v>
      </c>
      <c r="H78" s="6" t="s">
        <v>25</v>
      </c>
      <c r="I78" s="6" t="s">
        <v>25</v>
      </c>
      <c r="J78" s="6" t="s">
        <v>23</v>
      </c>
      <c r="K78" s="6" t="s">
        <v>23</v>
      </c>
      <c r="L78" s="6" t="s">
        <v>23</v>
      </c>
      <c r="M78" s="6" t="s">
        <v>25</v>
      </c>
      <c r="N78" s="6" t="s">
        <v>23</v>
      </c>
      <c r="O78" s="6" t="s">
        <v>23</v>
      </c>
      <c r="P78" s="6" t="s">
        <v>25</v>
      </c>
      <c r="Q78" s="15" t="s">
        <v>155</v>
      </c>
      <c r="R78" s="11"/>
      <c r="S78" s="6">
        <f>IF(NOT(ISBLANK(E78)), ROUND(((IF(E78="yes",1,0)*'Grading Scale'!E$2)+(IF(F78="yes",1,0)*'Grading Scale'!E$3)+(IF(G78="yes",1,0)*'Grading Scale'!E$4)+(IF(H78="yes",1,0)*'Grading Scale'!E$5)+(IF(I78="yes",1,0)*'Grading Scale'!E$6)+(IF(J78="yes",1,0)*'Grading Scale'!E$7)+(IF(K78="yes",1,0)*'Grading Scale'!E$8)+(IF(L78="yes",1,0)*'Grading Scale'!E$9)+(IF(M78="yes",1,0)*'Grading Scale'!E$10)+(IF(N78="yes",1,0)*'Grading Scale'!E$11)+(IF(O78="yes",1,0)*'Grading Scale'!E$12)+(IF(P78="yes",1,0)*'Grading Scale'!E$13))/'Grading Scale'!E$14*100,0), "")</f>
        <v>40</v>
      </c>
      <c r="T78" s="6" t="str">
        <f>IF(ISNUMBER(S78),VLOOKUP(S78,'Grading Scale'!$A$2:$B$14, 2), "")</f>
        <v>F</v>
      </c>
      <c r="U78" s="7"/>
      <c r="V78" s="7"/>
      <c r="W78" s="7"/>
      <c r="X78" s="7"/>
      <c r="Y78" s="7"/>
      <c r="Z78" s="7"/>
      <c r="AA78" s="7"/>
      <c r="AB78" s="7"/>
      <c r="AC78" s="7"/>
      <c r="AD78" s="7"/>
      <c r="AE78" s="7"/>
      <c r="AF78" s="7"/>
      <c r="AG78" s="7"/>
      <c r="AH78" s="7"/>
      <c r="AI78" s="7"/>
      <c r="AJ78" s="7"/>
    </row>
    <row r="79">
      <c r="A79" s="10">
        <v>42338.0</v>
      </c>
      <c r="B79" s="6" t="s">
        <v>148</v>
      </c>
      <c r="C79" s="6" t="s">
        <v>37</v>
      </c>
      <c r="D79" s="6" t="str">
        <f>IF(NOT(ISBLANK(C79)), VLOOKUP(C79,'Dataset Descriptions'!$A$2:$B$10, 2, FALSE), "")</f>
        <v>Forecasts of municipal-level changes in population over coming years.</v>
      </c>
      <c r="E79" s="6" t="s">
        <v>25</v>
      </c>
      <c r="F79" s="6" t="s">
        <v>25</v>
      </c>
      <c r="G79" s="6" t="s">
        <v>25</v>
      </c>
      <c r="H79" s="6" t="s">
        <v>25</v>
      </c>
      <c r="I79" s="6" t="s">
        <v>25</v>
      </c>
      <c r="J79" s="6" t="s">
        <v>23</v>
      </c>
      <c r="K79" s="6" t="s">
        <v>23</v>
      </c>
      <c r="L79" s="6" t="s">
        <v>23</v>
      </c>
      <c r="M79" s="6" t="s">
        <v>25</v>
      </c>
      <c r="N79" s="6" t="s">
        <v>23</v>
      </c>
      <c r="O79" s="6" t="s">
        <v>23</v>
      </c>
      <c r="P79" s="6" t="s">
        <v>23</v>
      </c>
      <c r="Q79" s="15" t="s">
        <v>156</v>
      </c>
      <c r="R79" s="11"/>
      <c r="S79" s="6">
        <f>IF(NOT(ISBLANK(E79)), ROUND(((IF(E79="yes",1,0)*'Grading Scale'!E$2)+(IF(F79="yes",1,0)*'Grading Scale'!E$3)+(IF(G79="yes",1,0)*'Grading Scale'!E$4)+(IF(H79="yes",1,0)*'Grading Scale'!E$5)+(IF(I79="yes",1,0)*'Grading Scale'!E$6)+(IF(J79="yes",1,0)*'Grading Scale'!E$7)+(IF(K79="yes",1,0)*'Grading Scale'!E$8)+(IF(L79="yes",1,0)*'Grading Scale'!E$9)+(IF(M79="yes",1,0)*'Grading Scale'!E$10)+(IF(N79="yes",1,0)*'Grading Scale'!E$11)+(IF(O79="yes",1,0)*'Grading Scale'!E$12)+(IF(P79="yes",1,0)*'Grading Scale'!E$13))/'Grading Scale'!E$14*100,0), "")</f>
        <v>35</v>
      </c>
      <c r="T79" s="6" t="str">
        <f>IF(ISNUMBER(S79),VLOOKUP(S79,'Grading Scale'!$A$2:$B$14, 2), "")</f>
        <v>F</v>
      </c>
      <c r="U79" s="7"/>
      <c r="V79" s="7"/>
      <c r="W79" s="7"/>
      <c r="X79" s="7"/>
      <c r="Y79" s="7"/>
      <c r="Z79" s="7"/>
      <c r="AA79" s="7"/>
      <c r="AB79" s="7"/>
      <c r="AC79" s="7"/>
      <c r="AD79" s="7"/>
      <c r="AE79" s="7"/>
      <c r="AF79" s="7"/>
      <c r="AG79" s="7"/>
      <c r="AH79" s="7"/>
      <c r="AI79" s="7"/>
      <c r="AJ79" s="7"/>
    </row>
    <row r="80">
      <c r="A80" s="10">
        <v>42338.0</v>
      </c>
      <c r="B80" s="6" t="s">
        <v>148</v>
      </c>
      <c r="C80" s="6" t="s">
        <v>40</v>
      </c>
      <c r="D80" s="6" t="str">
        <f>IF(NOT(ISBLANK(C80)), VLOOKUP(C80,'Dataset Descriptions'!$A$2:$B$10, 2, FALSE), "")</f>
        <v>State-owned land and buildings.</v>
      </c>
      <c r="E80" s="6" t="s">
        <v>25</v>
      </c>
      <c r="F80" s="6" t="s">
        <v>25</v>
      </c>
      <c r="G80" s="6" t="s">
        <v>25</v>
      </c>
      <c r="H80" s="6" t="s">
        <v>25</v>
      </c>
      <c r="I80" s="6" t="s">
        <v>25</v>
      </c>
      <c r="J80" s="6" t="s">
        <v>23</v>
      </c>
      <c r="K80" s="6" t="s">
        <v>23</v>
      </c>
      <c r="L80" s="6" t="s">
        <v>23</v>
      </c>
      <c r="M80" s="6" t="s">
        <v>23</v>
      </c>
      <c r="N80" s="6" t="s">
        <v>23</v>
      </c>
      <c r="O80" s="6" t="s">
        <v>23</v>
      </c>
      <c r="P80" s="6" t="s">
        <v>25</v>
      </c>
      <c r="Q80" s="15" t="s">
        <v>157</v>
      </c>
      <c r="R80" s="14" t="s">
        <v>158</v>
      </c>
      <c r="S80" s="6">
        <f>IF(NOT(ISBLANK(E80)), ROUND(((IF(E80="yes",1,0)*'Grading Scale'!E$2)+(IF(F80="yes",1,0)*'Grading Scale'!E$3)+(IF(G80="yes",1,0)*'Grading Scale'!E$4)+(IF(H80="yes",1,0)*'Grading Scale'!E$5)+(IF(I80="yes",1,0)*'Grading Scale'!E$6)+(IF(J80="yes",1,0)*'Grading Scale'!E$7)+(IF(K80="yes",1,0)*'Grading Scale'!E$8)+(IF(L80="yes",1,0)*'Grading Scale'!E$9)+(IF(M80="yes",1,0)*'Grading Scale'!E$10)+(IF(N80="yes",1,0)*'Grading Scale'!E$11)+(IF(O80="yes",1,0)*'Grading Scale'!E$12)+(IF(P80="yes",1,0)*'Grading Scale'!E$13))/'Grading Scale'!E$14*100,0), "")</f>
        <v>35</v>
      </c>
      <c r="T80" s="6" t="str">
        <f>IF(ISNUMBER(S80),VLOOKUP(S80,'Grading Scale'!$A$2:$B$14, 2), "")</f>
        <v>F</v>
      </c>
      <c r="U80" s="7"/>
      <c r="V80" s="7"/>
      <c r="W80" s="7"/>
      <c r="X80" s="7"/>
      <c r="Y80" s="7"/>
      <c r="Z80" s="7"/>
      <c r="AA80" s="7"/>
      <c r="AB80" s="7"/>
      <c r="AC80" s="7"/>
      <c r="AD80" s="7"/>
      <c r="AE80" s="7"/>
      <c r="AF80" s="7"/>
      <c r="AG80" s="7"/>
      <c r="AH80" s="7"/>
      <c r="AI80" s="7"/>
      <c r="AJ80" s="7"/>
    </row>
    <row r="81">
      <c r="A81" s="10">
        <v>42338.0</v>
      </c>
      <c r="B81" s="6" t="s">
        <v>148</v>
      </c>
      <c r="C81" s="6" t="s">
        <v>43</v>
      </c>
      <c r="D81" s="6" t="str">
        <f>IF(NOT(ISBLANK(C81)), VLOOKUP(C81,'Dataset Descriptions'!$A$2:$B$10, 2, FALSE), "")</f>
        <v>Health inspections of establishments that serve food to the public.</v>
      </c>
      <c r="E81" s="6" t="s">
        <v>25</v>
      </c>
      <c r="F81" s="6" t="s">
        <v>25</v>
      </c>
      <c r="G81" s="6" t="s">
        <v>25</v>
      </c>
      <c r="H81" s="6" t="s">
        <v>25</v>
      </c>
      <c r="I81" s="6" t="s">
        <v>25</v>
      </c>
      <c r="J81" s="6" t="s">
        <v>23</v>
      </c>
      <c r="K81" s="6" t="s">
        <v>23</v>
      </c>
      <c r="L81" s="6" t="s">
        <v>23</v>
      </c>
      <c r="M81" s="6" t="s">
        <v>25</v>
      </c>
      <c r="N81" s="6" t="s">
        <v>23</v>
      </c>
      <c r="O81" s="6" t="s">
        <v>23</v>
      </c>
      <c r="P81" s="6" t="s">
        <v>25</v>
      </c>
      <c r="Q81" s="15" t="s">
        <v>159</v>
      </c>
      <c r="R81" s="11"/>
      <c r="S81" s="6">
        <f>IF(NOT(ISBLANK(E81)), ROUND(((IF(E81="yes",1,0)*'Grading Scale'!E$2)+(IF(F81="yes",1,0)*'Grading Scale'!E$3)+(IF(G81="yes",1,0)*'Grading Scale'!E$4)+(IF(H81="yes",1,0)*'Grading Scale'!E$5)+(IF(I81="yes",1,0)*'Grading Scale'!E$6)+(IF(J81="yes",1,0)*'Grading Scale'!E$7)+(IF(K81="yes",1,0)*'Grading Scale'!E$8)+(IF(L81="yes",1,0)*'Grading Scale'!E$9)+(IF(M81="yes",1,0)*'Grading Scale'!E$10)+(IF(N81="yes",1,0)*'Grading Scale'!E$11)+(IF(O81="yes",1,0)*'Grading Scale'!E$12)+(IF(P81="yes",1,0)*'Grading Scale'!E$13))/'Grading Scale'!E$14*100,0), "")</f>
        <v>40</v>
      </c>
      <c r="T81" s="6" t="str">
        <f>IF(ISNUMBER(S81),VLOOKUP(S81,'Grading Scale'!$A$2:$B$14, 2), "")</f>
        <v>F</v>
      </c>
      <c r="U81" s="7"/>
      <c r="V81" s="7"/>
      <c r="W81" s="7"/>
      <c r="X81" s="7"/>
      <c r="Y81" s="7"/>
      <c r="Z81" s="7"/>
      <c r="AA81" s="7"/>
      <c r="AB81" s="7"/>
      <c r="AC81" s="7"/>
      <c r="AD81" s="7"/>
      <c r="AE81" s="7"/>
      <c r="AF81" s="7"/>
      <c r="AG81" s="7"/>
      <c r="AH81" s="7"/>
      <c r="AI81" s="7"/>
      <c r="AJ81" s="7"/>
    </row>
    <row r="82">
      <c r="A82" s="10">
        <v>42338.0</v>
      </c>
      <c r="B82" s="6" t="s">
        <v>148</v>
      </c>
      <c r="C82" s="6" t="s">
        <v>46</v>
      </c>
      <c r="D82" s="6" t="str">
        <f>IF(NOT(ISBLANK(C82)), VLOOKUP(C82,'Dataset Descriptions'!$A$2:$B$10, 2, FALSE), "")</f>
        <v>Incident-level reportable motor vehicle crash records.</v>
      </c>
      <c r="E82" s="6" t="s">
        <v>25</v>
      </c>
      <c r="F82" s="6" t="s">
        <v>25</v>
      </c>
      <c r="G82" s="6" t="s">
        <v>25</v>
      </c>
      <c r="H82" s="6" t="s">
        <v>25</v>
      </c>
      <c r="I82" s="6" t="s">
        <v>25</v>
      </c>
      <c r="J82" s="6" t="s">
        <v>23</v>
      </c>
      <c r="K82" s="6" t="s">
        <v>23</v>
      </c>
      <c r="L82" s="6" t="s">
        <v>23</v>
      </c>
      <c r="M82" s="6" t="s">
        <v>23</v>
      </c>
      <c r="N82" s="6" t="s">
        <v>23</v>
      </c>
      <c r="O82" s="6" t="s">
        <v>23</v>
      </c>
      <c r="P82" s="6" t="s">
        <v>23</v>
      </c>
      <c r="Q82" s="15" t="s">
        <v>160</v>
      </c>
      <c r="R82" s="14" t="s">
        <v>161</v>
      </c>
      <c r="S82" s="6">
        <f>IF(NOT(ISBLANK(E82)), ROUND(((IF(E82="yes",1,0)*'Grading Scale'!E$2)+(IF(F82="yes",1,0)*'Grading Scale'!E$3)+(IF(G82="yes",1,0)*'Grading Scale'!E$4)+(IF(H82="yes",1,0)*'Grading Scale'!E$5)+(IF(I82="yes",1,0)*'Grading Scale'!E$6)+(IF(J82="yes",1,0)*'Grading Scale'!E$7)+(IF(K82="yes",1,0)*'Grading Scale'!E$8)+(IF(L82="yes",1,0)*'Grading Scale'!E$9)+(IF(M82="yes",1,0)*'Grading Scale'!E$10)+(IF(N82="yes",1,0)*'Grading Scale'!E$11)+(IF(O82="yes",1,0)*'Grading Scale'!E$12)+(IF(P82="yes",1,0)*'Grading Scale'!E$13))/'Grading Scale'!E$14*100,0), "")</f>
        <v>30</v>
      </c>
      <c r="T82" s="6" t="str">
        <f>IF(ISNUMBER(S82),VLOOKUP(S82,'Grading Scale'!$A$2:$B$14, 2), "")</f>
        <v>F</v>
      </c>
      <c r="U82" s="7"/>
      <c r="V82" s="7"/>
      <c r="W82" s="7"/>
      <c r="X82" s="7"/>
      <c r="Y82" s="7"/>
      <c r="Z82" s="7"/>
      <c r="AA82" s="7"/>
      <c r="AB82" s="7"/>
      <c r="AC82" s="7"/>
      <c r="AD82" s="7"/>
      <c r="AE82" s="7"/>
      <c r="AF82" s="7"/>
      <c r="AG82" s="7"/>
      <c r="AH82" s="7"/>
      <c r="AI82" s="7"/>
      <c r="AJ82" s="7"/>
    </row>
    <row r="83">
      <c r="A83" s="10">
        <v>42338.0</v>
      </c>
      <c r="B83" s="6" t="s">
        <v>162</v>
      </c>
      <c r="C83" s="6" t="s">
        <v>21</v>
      </c>
      <c r="D83" s="6" t="str">
        <f>IF(NOT(ISBLANK(C83)), VLOOKUP(C83,'Dataset Descriptions'!$A$2:$B$10, 2, FALSE), "")</f>
        <v>The geographic coordinates for physical addresses.</v>
      </c>
      <c r="E83" s="6" t="s">
        <v>23</v>
      </c>
      <c r="F83" s="6" t="s">
        <v>23</v>
      </c>
      <c r="G83" s="6" t="s">
        <v>23</v>
      </c>
      <c r="H83" s="6" t="s">
        <v>23</v>
      </c>
      <c r="I83" s="6" t="s">
        <v>23</v>
      </c>
      <c r="J83" s="6" t="s">
        <v>23</v>
      </c>
      <c r="K83" s="6" t="s">
        <v>23</v>
      </c>
      <c r="L83" s="6" t="s">
        <v>23</v>
      </c>
      <c r="M83" s="6" t="s">
        <v>23</v>
      </c>
      <c r="N83" s="6" t="s">
        <v>23</v>
      </c>
      <c r="O83" s="6" t="s">
        <v>23</v>
      </c>
      <c r="P83" s="6" t="s">
        <v>23</v>
      </c>
      <c r="Q83" s="8"/>
      <c r="R83" s="11"/>
      <c r="S83" s="6">
        <f>IF(NOT(ISBLANK(E83)), ROUND(((IF(E83="yes",1,0)*'Grading Scale'!E$2)+(IF(F83="yes",1,0)*'Grading Scale'!E$3)+(IF(G83="yes",1,0)*'Grading Scale'!E$4)+(IF(H83="yes",1,0)*'Grading Scale'!E$5)+(IF(I83="yes",1,0)*'Grading Scale'!E$6)+(IF(J83="yes",1,0)*'Grading Scale'!E$7)+(IF(K83="yes",1,0)*'Grading Scale'!E$8)+(IF(L83="yes",1,0)*'Grading Scale'!E$9)+(IF(M83="yes",1,0)*'Grading Scale'!E$10)+(IF(N83="yes",1,0)*'Grading Scale'!E$11)+(IF(O83="yes",1,0)*'Grading Scale'!E$12)+(IF(P83="yes",1,0)*'Grading Scale'!E$13))/'Grading Scale'!E$14*100,0), "")</f>
        <v>0</v>
      </c>
      <c r="T83" s="6" t="str">
        <f>IF(ISNUMBER(S83),VLOOKUP(S83,'Grading Scale'!$A$2:$B$14, 2), "")</f>
        <v>F</v>
      </c>
      <c r="U83" s="7"/>
      <c r="V83" s="7"/>
      <c r="W83" s="7"/>
      <c r="X83" s="7"/>
      <c r="Y83" s="7"/>
      <c r="Z83" s="7"/>
      <c r="AA83" s="7"/>
      <c r="AB83" s="7"/>
      <c r="AC83" s="7"/>
      <c r="AD83" s="7"/>
      <c r="AE83" s="7"/>
      <c r="AF83" s="7"/>
      <c r="AG83" s="7"/>
      <c r="AH83" s="7"/>
      <c r="AI83" s="7"/>
      <c r="AJ83" s="7"/>
    </row>
    <row r="84">
      <c r="A84" s="10">
        <v>42338.0</v>
      </c>
      <c r="B84" s="6" t="s">
        <v>162</v>
      </c>
      <c r="C84" s="6" t="s">
        <v>24</v>
      </c>
      <c r="D84" s="6" t="str">
        <f>IF(NOT(ISBLANK(C84)), VLOOKUP(C84,'Dataset Descriptions'!$A$2:$B$10, 2, FALSE), "")</f>
        <v>Transaction-level, per-agency spending records.</v>
      </c>
      <c r="E84" s="6" t="s">
        <v>25</v>
      </c>
      <c r="F84" s="6" t="s">
        <v>25</v>
      </c>
      <c r="G84" s="6" t="s">
        <v>25</v>
      </c>
      <c r="H84" s="6" t="s">
        <v>25</v>
      </c>
      <c r="I84" s="6" t="s">
        <v>25</v>
      </c>
      <c r="J84" s="6" t="s">
        <v>25</v>
      </c>
      <c r="K84" s="6" t="s">
        <v>23</v>
      </c>
      <c r="L84" s="6" t="s">
        <v>23</v>
      </c>
      <c r="M84" s="6" t="s">
        <v>23</v>
      </c>
      <c r="N84" s="6" t="s">
        <v>23</v>
      </c>
      <c r="O84" s="6" t="s">
        <v>23</v>
      </c>
      <c r="P84" s="6" t="s">
        <v>23</v>
      </c>
      <c r="Q84" s="15" t="s">
        <v>163</v>
      </c>
      <c r="R84" s="14" t="s">
        <v>164</v>
      </c>
      <c r="S84" s="6">
        <f>IF(NOT(ISBLANK(E84)), ROUND(((IF(E84="yes",1,0)*'Grading Scale'!E$2)+(IF(F84="yes",1,0)*'Grading Scale'!E$3)+(IF(G84="yes",1,0)*'Grading Scale'!E$4)+(IF(H84="yes",1,0)*'Grading Scale'!E$5)+(IF(I84="yes",1,0)*'Grading Scale'!E$6)+(IF(J84="yes",1,0)*'Grading Scale'!E$7)+(IF(K84="yes",1,0)*'Grading Scale'!E$8)+(IF(L84="yes",1,0)*'Grading Scale'!E$9)+(IF(M84="yes",1,0)*'Grading Scale'!E$10)+(IF(N84="yes",1,0)*'Grading Scale'!E$11)+(IF(O84="yes",1,0)*'Grading Scale'!E$12)+(IF(P84="yes",1,0)*'Grading Scale'!E$13))/'Grading Scale'!E$14*100,0), "")</f>
        <v>70</v>
      </c>
      <c r="T84" s="6" t="str">
        <f>IF(ISNUMBER(S84),VLOOKUP(S84,'Grading Scale'!$A$2:$B$14, 2), "")</f>
        <v>C−</v>
      </c>
      <c r="U84" s="7"/>
      <c r="V84" s="7"/>
      <c r="W84" s="7"/>
      <c r="X84" s="7"/>
      <c r="Y84" s="7"/>
      <c r="Z84" s="7"/>
      <c r="AA84" s="7"/>
      <c r="AB84" s="7"/>
      <c r="AC84" s="7"/>
      <c r="AD84" s="7"/>
      <c r="AE84" s="7"/>
      <c r="AF84" s="7"/>
      <c r="AG84" s="7"/>
      <c r="AH84" s="7"/>
      <c r="AI84" s="7"/>
      <c r="AJ84" s="7"/>
    </row>
    <row r="85">
      <c r="A85" s="10">
        <v>42338.0</v>
      </c>
      <c r="B85" s="6" t="s">
        <v>162</v>
      </c>
      <c r="C85" s="6" t="s">
        <v>28</v>
      </c>
      <c r="D85" s="6" t="str">
        <f>IF(NOT(ISBLANK(C85)), VLOOKUP(C85,'Dataset Descriptions'!$A$2:$B$10, 2, FALSE), "")</f>
        <v>The register of all corporations that exist in the state.</v>
      </c>
      <c r="E85" s="6" t="s">
        <v>25</v>
      </c>
      <c r="F85" s="6" t="s">
        <v>25</v>
      </c>
      <c r="G85" s="6" t="s">
        <v>25</v>
      </c>
      <c r="H85" s="6" t="s">
        <v>23</v>
      </c>
      <c r="I85" s="6" t="s">
        <v>25</v>
      </c>
      <c r="J85" s="6" t="s">
        <v>25</v>
      </c>
      <c r="K85" s="6" t="s">
        <v>25</v>
      </c>
      <c r="L85" s="6" t="s">
        <v>25</v>
      </c>
      <c r="M85" s="6" t="s">
        <v>25</v>
      </c>
      <c r="N85" s="6" t="s">
        <v>23</v>
      </c>
      <c r="O85" s="6" t="s">
        <v>25</v>
      </c>
      <c r="P85" s="6" t="s">
        <v>25</v>
      </c>
      <c r="Q85" s="15" t="s">
        <v>165</v>
      </c>
      <c r="R85" s="14" t="s">
        <v>166</v>
      </c>
      <c r="S85" s="6">
        <f>IF(NOT(ISBLANK(E85)), ROUND(((IF(E85="yes",1,0)*'Grading Scale'!E$2)+(IF(F85="yes",1,0)*'Grading Scale'!E$3)+(IF(G85="yes",1,0)*'Grading Scale'!E$4)+(IF(H85="yes",1,0)*'Grading Scale'!E$5)+(IF(I85="yes",1,0)*'Grading Scale'!E$6)+(IF(J85="yes",1,0)*'Grading Scale'!E$7)+(IF(K85="yes",1,0)*'Grading Scale'!E$8)+(IF(L85="yes",1,0)*'Grading Scale'!E$9)+(IF(M85="yes",1,0)*'Grading Scale'!E$10)+(IF(N85="yes",1,0)*'Grading Scale'!E$11)+(IF(O85="yes",1,0)*'Grading Scale'!E$12)+(IF(P85="yes",1,0)*'Grading Scale'!E$13))/'Grading Scale'!E$14*100,0), "")</f>
        <v>80</v>
      </c>
      <c r="T85" s="6" t="str">
        <f>IF(ISNUMBER(S85),VLOOKUP(S85,'Grading Scale'!$A$2:$B$14, 2), "")</f>
        <v>B−</v>
      </c>
      <c r="U85" s="7"/>
      <c r="V85" s="7"/>
      <c r="W85" s="7"/>
      <c r="X85" s="7"/>
      <c r="Y85" s="7"/>
      <c r="Z85" s="7"/>
      <c r="AA85" s="7"/>
      <c r="AB85" s="7"/>
      <c r="AC85" s="7"/>
      <c r="AD85" s="7"/>
      <c r="AE85" s="7"/>
      <c r="AF85" s="7"/>
      <c r="AG85" s="7"/>
      <c r="AH85" s="7"/>
      <c r="AI85" s="7"/>
      <c r="AJ85" s="7"/>
    </row>
    <row r="86">
      <c r="A86" s="10">
        <v>42338.0</v>
      </c>
      <c r="B86" s="6" t="s">
        <v>162</v>
      </c>
      <c r="C86" s="6" t="s">
        <v>31</v>
      </c>
      <c r="D86" s="6" t="str">
        <f>IF(NOT(ISBLANK(C86)), VLOOKUP(C86,'Dataset Descriptions'!$A$2:$B$10, 2, FALSE), "")</f>
        <v>Per-facility inmate population records.</v>
      </c>
      <c r="E86" s="6" t="s">
        <v>23</v>
      </c>
      <c r="F86" s="6" t="s">
        <v>23</v>
      </c>
      <c r="G86" s="6" t="s">
        <v>23</v>
      </c>
      <c r="H86" s="6" t="s">
        <v>23</v>
      </c>
      <c r="I86" s="6" t="s">
        <v>23</v>
      </c>
      <c r="J86" s="6" t="s">
        <v>23</v>
      </c>
      <c r="K86" s="6" t="s">
        <v>23</v>
      </c>
      <c r="L86" s="6" t="s">
        <v>23</v>
      </c>
      <c r="M86" s="6" t="s">
        <v>23</v>
      </c>
      <c r="N86" s="6" t="s">
        <v>23</v>
      </c>
      <c r="O86" s="8"/>
      <c r="P86" s="8"/>
      <c r="Q86" s="8"/>
      <c r="R86" s="11"/>
      <c r="S86" s="6">
        <f>IF(NOT(ISBLANK(E86)), ROUND(((IF(E86="yes",1,0)*'Grading Scale'!E$2)+(IF(F86="yes",1,0)*'Grading Scale'!E$3)+(IF(G86="yes",1,0)*'Grading Scale'!E$4)+(IF(H86="yes",1,0)*'Grading Scale'!E$5)+(IF(I86="yes",1,0)*'Grading Scale'!E$6)+(IF(J86="yes",1,0)*'Grading Scale'!E$7)+(IF(K86="yes",1,0)*'Grading Scale'!E$8)+(IF(L86="yes",1,0)*'Grading Scale'!E$9)+(IF(M86="yes",1,0)*'Grading Scale'!E$10)+(IF(N86="yes",1,0)*'Grading Scale'!E$11)+(IF(O86="yes",1,0)*'Grading Scale'!E$12)+(IF(P86="yes",1,0)*'Grading Scale'!E$13))/'Grading Scale'!E$14*100,0), "")</f>
        <v>0</v>
      </c>
      <c r="T86" s="6" t="str">
        <f>IF(ISNUMBER(S86),VLOOKUP(S86,'Grading Scale'!$A$2:$B$14, 2), "")</f>
        <v>F</v>
      </c>
      <c r="U86" s="7"/>
      <c r="V86" s="7"/>
      <c r="W86" s="7"/>
      <c r="X86" s="7"/>
      <c r="Y86" s="7"/>
      <c r="Z86" s="7"/>
      <c r="AA86" s="7"/>
      <c r="AB86" s="7"/>
      <c r="AC86" s="7"/>
      <c r="AD86" s="7"/>
      <c r="AE86" s="7"/>
      <c r="AF86" s="7"/>
      <c r="AG86" s="7"/>
      <c r="AH86" s="7"/>
      <c r="AI86" s="7"/>
      <c r="AJ86" s="7"/>
    </row>
    <row r="87">
      <c r="A87" s="10">
        <v>42338.0</v>
      </c>
      <c r="B87" s="6" t="s">
        <v>162</v>
      </c>
      <c r="C87" s="6" t="s">
        <v>34</v>
      </c>
      <c r="D87" s="6" t="str">
        <f>IF(NOT(ISBLANK(C87)), VLOOKUP(C87,'Dataset Descriptions'!$A$2:$B$10, 2, FALSE), "")</f>
        <v>Bills before the legislature, and the legislators that comprise it.</v>
      </c>
      <c r="E87" s="6" t="s">
        <v>25</v>
      </c>
      <c r="F87" s="6" t="s">
        <v>25</v>
      </c>
      <c r="G87" s="6" t="s">
        <v>25</v>
      </c>
      <c r="H87" s="6" t="s">
        <v>25</v>
      </c>
      <c r="I87" s="6" t="s">
        <v>25</v>
      </c>
      <c r="J87" s="6" t="s">
        <v>23</v>
      </c>
      <c r="K87" s="6" t="s">
        <v>23</v>
      </c>
      <c r="L87" s="6" t="s">
        <v>25</v>
      </c>
      <c r="M87" s="6" t="s">
        <v>25</v>
      </c>
      <c r="N87" s="6" t="s">
        <v>23</v>
      </c>
      <c r="O87" s="6" t="s">
        <v>23</v>
      </c>
      <c r="P87" s="6" t="s">
        <v>25</v>
      </c>
      <c r="Q87" s="15" t="s">
        <v>167</v>
      </c>
      <c r="R87" s="11"/>
      <c r="S87" s="6">
        <f>IF(NOT(ISBLANK(E87)), ROUND(((IF(E87="yes",1,0)*'Grading Scale'!E$2)+(IF(F87="yes",1,0)*'Grading Scale'!E$3)+(IF(G87="yes",1,0)*'Grading Scale'!E$4)+(IF(H87="yes",1,0)*'Grading Scale'!E$5)+(IF(I87="yes",1,0)*'Grading Scale'!E$6)+(IF(J87="yes",1,0)*'Grading Scale'!E$7)+(IF(K87="yes",1,0)*'Grading Scale'!E$8)+(IF(L87="yes",1,0)*'Grading Scale'!E$9)+(IF(M87="yes",1,0)*'Grading Scale'!E$10)+(IF(N87="yes",1,0)*'Grading Scale'!E$11)+(IF(O87="yes",1,0)*'Grading Scale'!E$12)+(IF(P87="yes",1,0)*'Grading Scale'!E$13))/'Grading Scale'!E$14*100,0), "")</f>
        <v>45</v>
      </c>
      <c r="T87" s="6" t="str">
        <f>IF(ISNUMBER(S87),VLOOKUP(S87,'Grading Scale'!$A$2:$B$14, 2), "")</f>
        <v>F</v>
      </c>
      <c r="U87" s="7"/>
      <c r="V87" s="7"/>
      <c r="W87" s="7"/>
      <c r="X87" s="7"/>
      <c r="Y87" s="7"/>
      <c r="Z87" s="7"/>
      <c r="AA87" s="7"/>
      <c r="AB87" s="7"/>
      <c r="AC87" s="7"/>
      <c r="AD87" s="7"/>
      <c r="AE87" s="7"/>
      <c r="AF87" s="7"/>
      <c r="AG87" s="7"/>
      <c r="AH87" s="7"/>
      <c r="AI87" s="7"/>
      <c r="AJ87" s="7"/>
    </row>
    <row r="88">
      <c r="A88" s="10">
        <v>42354.0</v>
      </c>
      <c r="B88" s="6" t="s">
        <v>162</v>
      </c>
      <c r="C88" s="6" t="s">
        <v>37</v>
      </c>
      <c r="D88" s="6" t="str">
        <f>IF(NOT(ISBLANK(C88)), VLOOKUP(C88,'Dataset Descriptions'!$A$2:$B$10, 2, FALSE), "")</f>
        <v>Forecasts of municipal-level changes in population over coming years.</v>
      </c>
      <c r="E88" s="6" t="s">
        <v>25</v>
      </c>
      <c r="F88" s="6" t="s">
        <v>25</v>
      </c>
      <c r="G88" s="6" t="s">
        <v>25</v>
      </c>
      <c r="H88" s="6" t="s">
        <v>25</v>
      </c>
      <c r="I88" s="6" t="s">
        <v>23</v>
      </c>
      <c r="J88" s="6" t="s">
        <v>22</v>
      </c>
      <c r="K88" s="6" t="s">
        <v>23</v>
      </c>
      <c r="L88" s="6" t="s">
        <v>25</v>
      </c>
      <c r="M88" s="6" t="s">
        <v>25</v>
      </c>
      <c r="N88" s="6" t="s">
        <v>23</v>
      </c>
      <c r="O88" s="6" t="s">
        <v>23</v>
      </c>
      <c r="P88" s="8"/>
      <c r="Q88" s="15" t="s">
        <v>168</v>
      </c>
      <c r="R88" s="13" t="s">
        <v>169</v>
      </c>
      <c r="S88" s="6">
        <f>IF(NOT(ISBLANK(E88)), ROUND(((IF(E88="yes",1,0)*'Grading Scale'!E$2)+(IF(F88="yes",1,0)*'Grading Scale'!E$3)+(IF(G88="yes",1,0)*'Grading Scale'!E$4)+(IF(H88="yes",1,0)*'Grading Scale'!E$5)+(IF(I88="yes",1,0)*'Grading Scale'!E$6)+(IF(J88="yes",1,0)*'Grading Scale'!E$7)+(IF(K88="yes",1,0)*'Grading Scale'!E$8)+(IF(L88="yes",1,0)*'Grading Scale'!E$9)+(IF(M88="yes",1,0)*'Grading Scale'!E$10)+(IF(N88="yes",1,0)*'Grading Scale'!E$11)+(IF(O88="yes",1,0)*'Grading Scale'!E$12)+(IF(P88="yes",1,0)*'Grading Scale'!E$13))/'Grading Scale'!E$14*100,0), "")</f>
        <v>35</v>
      </c>
      <c r="T88" s="6" t="str">
        <f>IF(ISNUMBER(S88),VLOOKUP(S88,'Grading Scale'!$A$2:$B$14, 2), "")</f>
        <v>F</v>
      </c>
      <c r="U88" s="7"/>
      <c r="V88" s="7"/>
      <c r="W88" s="7"/>
      <c r="X88" s="7"/>
      <c r="Y88" s="7"/>
      <c r="Z88" s="7"/>
      <c r="AA88" s="7"/>
      <c r="AB88" s="7"/>
      <c r="AC88" s="7"/>
      <c r="AD88" s="7"/>
      <c r="AE88" s="7"/>
      <c r="AF88" s="7"/>
      <c r="AG88" s="7"/>
      <c r="AH88" s="7"/>
      <c r="AI88" s="7"/>
      <c r="AJ88" s="7"/>
    </row>
    <row r="89">
      <c r="A89" s="10">
        <v>42338.0</v>
      </c>
      <c r="B89" s="6" t="s">
        <v>162</v>
      </c>
      <c r="C89" s="6" t="s">
        <v>40</v>
      </c>
      <c r="D89" s="6" t="str">
        <f>IF(NOT(ISBLANK(C89)), VLOOKUP(C89,'Dataset Descriptions'!$A$2:$B$10, 2, FALSE), "")</f>
        <v>State-owned land and buildings.</v>
      </c>
      <c r="E89" s="6" t="s">
        <v>25</v>
      </c>
      <c r="F89" s="6" t="s">
        <v>25</v>
      </c>
      <c r="G89" s="6" t="s">
        <v>25</v>
      </c>
      <c r="H89" s="6" t="s">
        <v>25</v>
      </c>
      <c r="I89" s="6" t="s">
        <v>25</v>
      </c>
      <c r="J89" s="6" t="s">
        <v>23</v>
      </c>
      <c r="K89" s="6" t="s">
        <v>23</v>
      </c>
      <c r="L89" s="6" t="s">
        <v>25</v>
      </c>
      <c r="M89" s="6" t="s">
        <v>25</v>
      </c>
      <c r="N89" s="6" t="s">
        <v>23</v>
      </c>
      <c r="O89" s="6" t="s">
        <v>25</v>
      </c>
      <c r="P89" s="6" t="s">
        <v>23</v>
      </c>
      <c r="Q89" s="15" t="s">
        <v>170</v>
      </c>
      <c r="R89" s="14" t="s">
        <v>171</v>
      </c>
      <c r="S89" s="6">
        <f>IF(NOT(ISBLANK(E89)), ROUND(((IF(E89="yes",1,0)*'Grading Scale'!E$2)+(IF(F89="yes",1,0)*'Grading Scale'!E$3)+(IF(G89="yes",1,0)*'Grading Scale'!E$4)+(IF(H89="yes",1,0)*'Grading Scale'!E$5)+(IF(I89="yes",1,0)*'Grading Scale'!E$6)+(IF(J89="yes",1,0)*'Grading Scale'!E$7)+(IF(K89="yes",1,0)*'Grading Scale'!E$8)+(IF(L89="yes",1,0)*'Grading Scale'!E$9)+(IF(M89="yes",1,0)*'Grading Scale'!E$10)+(IF(N89="yes",1,0)*'Grading Scale'!E$11)+(IF(O89="yes",1,0)*'Grading Scale'!E$12)+(IF(P89="yes",1,0)*'Grading Scale'!E$13))/'Grading Scale'!E$14*100,0), "")</f>
        <v>45</v>
      </c>
      <c r="T89" s="6" t="str">
        <f>IF(ISNUMBER(S89),VLOOKUP(S89,'Grading Scale'!$A$2:$B$14, 2), "")</f>
        <v>F</v>
      </c>
      <c r="U89" s="7"/>
      <c r="V89" s="7"/>
      <c r="W89" s="7"/>
      <c r="X89" s="7"/>
      <c r="Y89" s="7"/>
      <c r="Z89" s="7"/>
      <c r="AA89" s="7"/>
      <c r="AB89" s="7"/>
      <c r="AC89" s="7"/>
      <c r="AD89" s="7"/>
      <c r="AE89" s="7"/>
      <c r="AF89" s="7"/>
      <c r="AG89" s="7"/>
      <c r="AH89" s="7"/>
      <c r="AI89" s="7"/>
      <c r="AJ89" s="7"/>
    </row>
    <row r="90">
      <c r="A90" s="10">
        <v>42338.0</v>
      </c>
      <c r="B90" s="6" t="s">
        <v>162</v>
      </c>
      <c r="C90" s="6" t="s">
        <v>43</v>
      </c>
      <c r="D90" s="6" t="str">
        <f>IF(NOT(ISBLANK(C90)), VLOOKUP(C90,'Dataset Descriptions'!$A$2:$B$10, 2, FALSE), "")</f>
        <v>Health inspections of establishments that serve food to the public.</v>
      </c>
      <c r="E90" s="6" t="s">
        <v>25</v>
      </c>
      <c r="F90" s="6" t="s">
        <v>25</v>
      </c>
      <c r="G90" s="6" t="s">
        <v>25</v>
      </c>
      <c r="H90" s="6" t="s">
        <v>25</v>
      </c>
      <c r="I90" s="6" t="s">
        <v>25</v>
      </c>
      <c r="J90" s="6" t="s">
        <v>23</v>
      </c>
      <c r="K90" s="6" t="s">
        <v>23</v>
      </c>
      <c r="L90" s="6" t="s">
        <v>25</v>
      </c>
      <c r="M90" s="6" t="s">
        <v>25</v>
      </c>
      <c r="N90" s="6" t="s">
        <v>23</v>
      </c>
      <c r="O90" s="6" t="s">
        <v>23</v>
      </c>
      <c r="P90" s="6" t="s">
        <v>23</v>
      </c>
      <c r="Q90" s="15" t="s">
        <v>172</v>
      </c>
      <c r="R90" s="14" t="s">
        <v>173</v>
      </c>
      <c r="S90" s="6">
        <f>IF(NOT(ISBLANK(E90)), ROUND(((IF(E90="yes",1,0)*'Grading Scale'!E$2)+(IF(F90="yes",1,0)*'Grading Scale'!E$3)+(IF(G90="yes",1,0)*'Grading Scale'!E$4)+(IF(H90="yes",1,0)*'Grading Scale'!E$5)+(IF(I90="yes",1,0)*'Grading Scale'!E$6)+(IF(J90="yes",1,0)*'Grading Scale'!E$7)+(IF(K90="yes",1,0)*'Grading Scale'!E$8)+(IF(L90="yes",1,0)*'Grading Scale'!E$9)+(IF(M90="yes",1,0)*'Grading Scale'!E$10)+(IF(N90="yes",1,0)*'Grading Scale'!E$11)+(IF(O90="yes",1,0)*'Grading Scale'!E$12)+(IF(P90="yes",1,0)*'Grading Scale'!E$13))/'Grading Scale'!E$14*100,0), "")</f>
        <v>40</v>
      </c>
      <c r="T90" s="6" t="str">
        <f>IF(ISNUMBER(S90),VLOOKUP(S90,'Grading Scale'!$A$2:$B$14, 2), "")</f>
        <v>F</v>
      </c>
      <c r="U90" s="7"/>
      <c r="V90" s="7"/>
      <c r="W90" s="7"/>
      <c r="X90" s="7"/>
      <c r="Y90" s="7"/>
      <c r="Z90" s="7"/>
      <c r="AA90" s="7"/>
      <c r="AB90" s="7"/>
      <c r="AC90" s="7"/>
      <c r="AD90" s="7"/>
      <c r="AE90" s="7"/>
      <c r="AF90" s="7"/>
      <c r="AG90" s="7"/>
      <c r="AH90" s="7"/>
      <c r="AI90" s="7"/>
      <c r="AJ90" s="7"/>
    </row>
    <row r="91">
      <c r="A91" s="10">
        <v>42338.0</v>
      </c>
      <c r="B91" s="6" t="s">
        <v>162</v>
      </c>
      <c r="C91" s="6" t="s">
        <v>46</v>
      </c>
      <c r="D91" s="6" t="str">
        <f>IF(NOT(ISBLANK(C91)), VLOOKUP(C91,'Dataset Descriptions'!$A$2:$B$10, 2, FALSE), "")</f>
        <v>Incident-level reportable motor vehicle crash records.</v>
      </c>
      <c r="E91" s="6" t="s">
        <v>25</v>
      </c>
      <c r="F91" s="6" t="s">
        <v>25</v>
      </c>
      <c r="G91" s="6" t="s">
        <v>25</v>
      </c>
      <c r="H91" s="6" t="s">
        <v>25</v>
      </c>
      <c r="I91" s="6" t="s">
        <v>25</v>
      </c>
      <c r="J91" s="6" t="s">
        <v>23</v>
      </c>
      <c r="K91" s="6" t="s">
        <v>23</v>
      </c>
      <c r="L91" s="6" t="s">
        <v>23</v>
      </c>
      <c r="M91" s="6" t="s">
        <v>25</v>
      </c>
      <c r="N91" s="6" t="s">
        <v>23</v>
      </c>
      <c r="O91" s="6" t="s">
        <v>23</v>
      </c>
      <c r="P91" s="6" t="s">
        <v>23</v>
      </c>
      <c r="Q91" s="15" t="s">
        <v>174</v>
      </c>
      <c r="R91" s="14" t="s">
        <v>175</v>
      </c>
      <c r="S91" s="6">
        <f>IF(NOT(ISBLANK(E91)), ROUND(((IF(E91="yes",1,0)*'Grading Scale'!E$2)+(IF(F91="yes",1,0)*'Grading Scale'!E$3)+(IF(G91="yes",1,0)*'Grading Scale'!E$4)+(IF(H91="yes",1,0)*'Grading Scale'!E$5)+(IF(I91="yes",1,0)*'Grading Scale'!E$6)+(IF(J91="yes",1,0)*'Grading Scale'!E$7)+(IF(K91="yes",1,0)*'Grading Scale'!E$8)+(IF(L91="yes",1,0)*'Grading Scale'!E$9)+(IF(M91="yes",1,0)*'Grading Scale'!E$10)+(IF(N91="yes",1,0)*'Grading Scale'!E$11)+(IF(O91="yes",1,0)*'Grading Scale'!E$12)+(IF(P91="yes",1,0)*'Grading Scale'!E$13))/'Grading Scale'!E$14*100,0), "")</f>
        <v>35</v>
      </c>
      <c r="T91" s="6" t="str">
        <f>IF(ISNUMBER(S91),VLOOKUP(S91,'Grading Scale'!$A$2:$B$14, 2), "")</f>
        <v>F</v>
      </c>
      <c r="U91" s="7"/>
      <c r="V91" s="7"/>
      <c r="W91" s="7"/>
      <c r="X91" s="7"/>
      <c r="Y91" s="7"/>
      <c r="Z91" s="7"/>
      <c r="AA91" s="7"/>
      <c r="AB91" s="7"/>
      <c r="AC91" s="7"/>
      <c r="AD91" s="7"/>
      <c r="AE91" s="7"/>
      <c r="AF91" s="7"/>
      <c r="AG91" s="7"/>
      <c r="AH91" s="7"/>
      <c r="AI91" s="7"/>
      <c r="AJ91" s="7"/>
    </row>
    <row r="92">
      <c r="A92" s="4">
        <v>42396.0</v>
      </c>
      <c r="B92" s="5" t="s">
        <v>176</v>
      </c>
      <c r="C92" s="5" t="s">
        <v>21</v>
      </c>
      <c r="D92" s="6" t="str">
        <f>IF(NOT(ISBLANK(C92)), VLOOKUP(C92,'Dataset Descriptions'!$A$2:$B$10, 2, FALSE), "")</f>
        <v>The geographic coordinates for physical addresses.</v>
      </c>
      <c r="E92" s="5" t="s">
        <v>22</v>
      </c>
      <c r="F92" s="5" t="s">
        <v>22</v>
      </c>
      <c r="G92" s="5" t="s">
        <v>22</v>
      </c>
      <c r="H92" s="5" t="s">
        <v>22</v>
      </c>
      <c r="I92" s="5" t="s">
        <v>23</v>
      </c>
      <c r="J92" s="5" t="s">
        <v>22</v>
      </c>
      <c r="K92" s="5" t="s">
        <v>22</v>
      </c>
      <c r="L92" s="5" t="s">
        <v>22</v>
      </c>
      <c r="M92" s="5" t="s">
        <v>22</v>
      </c>
      <c r="N92" s="5" t="s">
        <v>23</v>
      </c>
      <c r="O92" s="5" t="s">
        <v>22</v>
      </c>
      <c r="P92" s="5" t="s">
        <v>22</v>
      </c>
      <c r="Q92" s="7"/>
      <c r="R92" s="6" t="s">
        <v>177</v>
      </c>
      <c r="S92" s="6">
        <f>IF(NOT(ISBLANK(E92)), ROUND(((IF(E92="yes",1,0)*'Grading Scale'!E$2)+(IF(F92="yes",1,0)*'Grading Scale'!E$3)+(IF(G92="yes",1,0)*'Grading Scale'!E$4)+(IF(H92="yes",1,0)*'Grading Scale'!E$5)+(IF(I92="yes",1,0)*'Grading Scale'!E$6)+(IF(J92="yes",1,0)*'Grading Scale'!E$7)+(IF(K92="yes",1,0)*'Grading Scale'!E$8)+(IF(L92="yes",1,0)*'Grading Scale'!E$9)+(IF(M92="yes",1,0)*'Grading Scale'!E$10)+(IF(N92="yes",1,0)*'Grading Scale'!E$11)+(IF(O92="yes",1,0)*'Grading Scale'!E$12)+(IF(P92="yes",1,0)*'Grading Scale'!E$13))/'Grading Scale'!E$14*100,0), "")</f>
        <v>0</v>
      </c>
      <c r="T92" s="6" t="str">
        <f>IF(ISNUMBER(S92),VLOOKUP(S92,'Grading Scale'!$A$2:$B$14, 2), "")</f>
        <v>F</v>
      </c>
      <c r="U92" s="7"/>
      <c r="V92" s="7"/>
      <c r="W92" s="7"/>
      <c r="X92" s="7"/>
      <c r="Y92" s="7"/>
      <c r="Z92" s="7"/>
      <c r="AA92" s="7"/>
      <c r="AB92" s="7"/>
      <c r="AC92" s="7"/>
      <c r="AD92" s="7"/>
      <c r="AE92" s="7"/>
      <c r="AF92" s="7"/>
      <c r="AG92" s="7"/>
      <c r="AH92" s="7"/>
      <c r="AI92" s="7"/>
      <c r="AJ92" s="7"/>
    </row>
    <row r="93">
      <c r="A93" s="4">
        <v>42396.0</v>
      </c>
      <c r="B93" s="5" t="s">
        <v>176</v>
      </c>
      <c r="C93" s="5" t="s">
        <v>24</v>
      </c>
      <c r="D93" s="6" t="str">
        <f>IF(NOT(ISBLANK(C93)), VLOOKUP(C93,'Dataset Descriptions'!$A$2:$B$10, 2, FALSE), "")</f>
        <v>Transaction-level, per-agency spending records.</v>
      </c>
      <c r="E93" s="5" t="s">
        <v>25</v>
      </c>
      <c r="F93" s="5" t="s">
        <v>25</v>
      </c>
      <c r="G93" s="5" t="s">
        <v>25</v>
      </c>
      <c r="H93" s="5" t="s">
        <v>25</v>
      </c>
      <c r="I93" s="5" t="s">
        <v>25</v>
      </c>
      <c r="J93" s="5" t="s">
        <v>25</v>
      </c>
      <c r="K93" s="5" t="s">
        <v>25</v>
      </c>
      <c r="L93" s="5" t="s">
        <v>23</v>
      </c>
      <c r="M93" s="5" t="s">
        <v>23</v>
      </c>
      <c r="N93" s="5" t="s">
        <v>25</v>
      </c>
      <c r="O93" s="5" t="s">
        <v>25</v>
      </c>
      <c r="P93" s="5" t="s">
        <v>23</v>
      </c>
      <c r="Q93" s="15" t="s">
        <v>178</v>
      </c>
      <c r="R93" s="18" t="s">
        <v>179</v>
      </c>
      <c r="S93" s="6">
        <f>IF(NOT(ISBLANK(E93)), ROUND(((IF(E93="yes",1,0)*'Grading Scale'!E$2)+(IF(F93="yes",1,0)*'Grading Scale'!E$3)+(IF(G93="yes",1,0)*'Grading Scale'!E$4)+(IF(H93="yes",1,0)*'Grading Scale'!E$5)+(IF(I93="yes",1,0)*'Grading Scale'!E$6)+(IF(J93="yes",1,0)*'Grading Scale'!E$7)+(IF(K93="yes",1,0)*'Grading Scale'!E$8)+(IF(L93="yes",1,0)*'Grading Scale'!E$9)+(IF(M93="yes",1,0)*'Grading Scale'!E$10)+(IF(N93="yes",1,0)*'Grading Scale'!E$11)+(IF(O93="yes",1,0)*'Grading Scale'!E$12)+(IF(P93="yes",1,0)*'Grading Scale'!E$13))/'Grading Scale'!E$14*100,0), "")</f>
        <v>85</v>
      </c>
      <c r="T93" s="6" t="str">
        <f>IF(ISNUMBER(S93),VLOOKUP(S93,'Grading Scale'!$A$2:$B$14, 2), "")</f>
        <v>B</v>
      </c>
      <c r="U93" s="7"/>
      <c r="V93" s="7"/>
      <c r="W93" s="7"/>
      <c r="X93" s="7"/>
      <c r="Y93" s="7"/>
      <c r="Z93" s="7"/>
      <c r="AA93" s="7"/>
      <c r="AB93" s="7"/>
      <c r="AC93" s="7"/>
      <c r="AD93" s="7"/>
      <c r="AE93" s="7"/>
      <c r="AF93" s="7"/>
      <c r="AG93" s="7"/>
      <c r="AH93" s="7"/>
      <c r="AI93" s="7"/>
      <c r="AJ93" s="7"/>
    </row>
    <row r="94">
      <c r="A94" s="4">
        <v>42396.0</v>
      </c>
      <c r="B94" s="5" t="s">
        <v>176</v>
      </c>
      <c r="C94" s="5" t="s">
        <v>28</v>
      </c>
      <c r="D94" s="6" t="str">
        <f>IF(NOT(ISBLANK(C94)), VLOOKUP(C94,'Dataset Descriptions'!$A$2:$B$10, 2, FALSE), "")</f>
        <v>The register of all corporations that exist in the state.</v>
      </c>
      <c r="E94" s="5" t="s">
        <v>25</v>
      </c>
      <c r="F94" s="5" t="s">
        <v>25</v>
      </c>
      <c r="G94" s="5" t="s">
        <v>25</v>
      </c>
      <c r="H94" s="5" t="s">
        <v>23</v>
      </c>
      <c r="I94" s="5" t="s">
        <v>25</v>
      </c>
      <c r="J94" s="5" t="s">
        <v>25</v>
      </c>
      <c r="K94" s="5" t="s">
        <v>22</v>
      </c>
      <c r="L94" s="5" t="s">
        <v>23</v>
      </c>
      <c r="M94" s="5" t="s">
        <v>25</v>
      </c>
      <c r="N94" s="5" t="s">
        <v>23</v>
      </c>
      <c r="O94" s="5" t="s">
        <v>22</v>
      </c>
      <c r="P94" s="5" t="s">
        <v>22</v>
      </c>
      <c r="Q94" s="9" t="s">
        <v>180</v>
      </c>
      <c r="R94" s="6" t="s">
        <v>181</v>
      </c>
      <c r="S94" s="6">
        <f>IF(NOT(ISBLANK(E94)), ROUND(((IF(E94="yes",1,0)*'Grading Scale'!E$2)+(IF(F94="yes",1,0)*'Grading Scale'!E$3)+(IF(G94="yes",1,0)*'Grading Scale'!E$4)+(IF(H94="yes",1,0)*'Grading Scale'!E$5)+(IF(I94="yes",1,0)*'Grading Scale'!E$6)+(IF(J94="yes",1,0)*'Grading Scale'!E$7)+(IF(K94="yes",1,0)*'Grading Scale'!E$8)+(IF(L94="yes",1,0)*'Grading Scale'!E$9)+(IF(M94="yes",1,0)*'Grading Scale'!E$10)+(IF(N94="yes",1,0)*'Grading Scale'!E$11)+(IF(O94="yes",1,0)*'Grading Scale'!E$12)+(IF(P94="yes",1,0)*'Grading Scale'!E$13))/'Grading Scale'!E$14*100,0), "")</f>
        <v>60</v>
      </c>
      <c r="T94" s="6" t="str">
        <f>IF(ISNUMBER(S94),VLOOKUP(S94,'Grading Scale'!$A$2:$B$14, 2), "")</f>
        <v>D−</v>
      </c>
      <c r="U94" s="7"/>
      <c r="V94" s="7"/>
      <c r="W94" s="7"/>
      <c r="X94" s="7"/>
      <c r="Y94" s="7"/>
      <c r="Z94" s="7"/>
      <c r="AA94" s="7"/>
      <c r="AB94" s="7"/>
      <c r="AC94" s="7"/>
      <c r="AD94" s="7"/>
      <c r="AE94" s="7"/>
      <c r="AF94" s="7"/>
      <c r="AG94" s="7"/>
      <c r="AH94" s="7"/>
      <c r="AI94" s="7"/>
      <c r="AJ94" s="7"/>
    </row>
    <row r="95">
      <c r="A95" s="4">
        <v>42397.0</v>
      </c>
      <c r="B95" s="5" t="s">
        <v>176</v>
      </c>
      <c r="C95" s="5" t="s">
        <v>31</v>
      </c>
      <c r="D95" s="6" t="str">
        <f>IF(NOT(ISBLANK(C95)), VLOOKUP(C95,'Dataset Descriptions'!$A$2:$B$10, 2, FALSE), "")</f>
        <v>Per-facility inmate population records.</v>
      </c>
      <c r="E95" s="5" t="s">
        <v>25</v>
      </c>
      <c r="F95" s="5" t="s">
        <v>25</v>
      </c>
      <c r="G95" s="5" t="s">
        <v>25</v>
      </c>
      <c r="H95" s="5" t="s">
        <v>25</v>
      </c>
      <c r="I95" s="5" t="s">
        <v>25</v>
      </c>
      <c r="J95" s="5" t="s">
        <v>23</v>
      </c>
      <c r="K95" s="5" t="s">
        <v>23</v>
      </c>
      <c r="L95" s="5" t="s">
        <v>23</v>
      </c>
      <c r="M95" s="5" t="s">
        <v>23</v>
      </c>
      <c r="N95" s="5" t="s">
        <v>23</v>
      </c>
      <c r="O95" s="5" t="s">
        <v>23</v>
      </c>
      <c r="P95" s="5" t="s">
        <v>23</v>
      </c>
      <c r="Q95" s="9" t="s">
        <v>182</v>
      </c>
      <c r="R95" s="6" t="s">
        <v>183</v>
      </c>
      <c r="S95" s="6">
        <f>IF(NOT(ISBLANK(E95)), ROUND(((IF(E95="yes",1,0)*'Grading Scale'!E$2)+(IF(F95="yes",1,0)*'Grading Scale'!E$3)+(IF(G95="yes",1,0)*'Grading Scale'!E$4)+(IF(H95="yes",1,0)*'Grading Scale'!E$5)+(IF(I95="yes",1,0)*'Grading Scale'!E$6)+(IF(J95="yes",1,0)*'Grading Scale'!E$7)+(IF(K95="yes",1,0)*'Grading Scale'!E$8)+(IF(L95="yes",1,0)*'Grading Scale'!E$9)+(IF(M95="yes",1,0)*'Grading Scale'!E$10)+(IF(N95="yes",1,0)*'Grading Scale'!E$11)+(IF(O95="yes",1,0)*'Grading Scale'!E$12)+(IF(P95="yes",1,0)*'Grading Scale'!E$13))/'Grading Scale'!E$14*100,0), "")</f>
        <v>30</v>
      </c>
      <c r="T95" s="6" t="str">
        <f>IF(ISNUMBER(S95),VLOOKUP(S95,'Grading Scale'!$A$2:$B$14, 2), "")</f>
        <v>F</v>
      </c>
      <c r="U95" s="7"/>
      <c r="V95" s="7"/>
      <c r="W95" s="7"/>
      <c r="X95" s="7"/>
      <c r="Y95" s="7"/>
      <c r="Z95" s="7"/>
      <c r="AA95" s="7"/>
      <c r="AB95" s="7"/>
      <c r="AC95" s="7"/>
      <c r="AD95" s="7"/>
      <c r="AE95" s="7"/>
      <c r="AF95" s="7"/>
      <c r="AG95" s="7"/>
      <c r="AH95" s="7"/>
      <c r="AI95" s="7"/>
      <c r="AJ95" s="7"/>
    </row>
    <row r="96">
      <c r="A96" s="4">
        <v>42396.0</v>
      </c>
      <c r="B96" s="5" t="s">
        <v>176</v>
      </c>
      <c r="C96" s="5" t="s">
        <v>34</v>
      </c>
      <c r="D96" s="6" t="str">
        <f>IF(NOT(ISBLANK(C96)), VLOOKUP(C96,'Dataset Descriptions'!$A$2:$B$10, 2, FALSE), "")</f>
        <v>Bills before the legislature, and the legislators that comprise it.</v>
      </c>
      <c r="E96" s="5" t="s">
        <v>25</v>
      </c>
      <c r="F96" s="5" t="s">
        <v>25</v>
      </c>
      <c r="G96" s="5" t="s">
        <v>25</v>
      </c>
      <c r="H96" s="5" t="s">
        <v>25</v>
      </c>
      <c r="I96" s="5" t="s">
        <v>25</v>
      </c>
      <c r="J96" s="5" t="s">
        <v>23</v>
      </c>
      <c r="K96" s="5" t="s">
        <v>25</v>
      </c>
      <c r="L96" s="5" t="s">
        <v>25</v>
      </c>
      <c r="M96" s="5" t="s">
        <v>25</v>
      </c>
      <c r="N96" s="5" t="s">
        <v>23</v>
      </c>
      <c r="O96" s="5" t="s">
        <v>23</v>
      </c>
      <c r="P96" s="5" t="s">
        <v>25</v>
      </c>
      <c r="Q96" s="9" t="s">
        <v>184</v>
      </c>
      <c r="R96" s="6" t="s">
        <v>185</v>
      </c>
      <c r="S96" s="6">
        <f>IF(NOT(ISBLANK(E96)), ROUND(((IF(E96="yes",1,0)*'Grading Scale'!E$2)+(IF(F96="yes",1,0)*'Grading Scale'!E$3)+(IF(G96="yes",1,0)*'Grading Scale'!E$4)+(IF(H96="yes",1,0)*'Grading Scale'!E$5)+(IF(I96="yes",1,0)*'Grading Scale'!E$6)+(IF(J96="yes",1,0)*'Grading Scale'!E$7)+(IF(K96="yes",1,0)*'Grading Scale'!E$8)+(IF(L96="yes",1,0)*'Grading Scale'!E$9)+(IF(M96="yes",1,0)*'Grading Scale'!E$10)+(IF(N96="yes",1,0)*'Grading Scale'!E$11)+(IF(O96="yes",1,0)*'Grading Scale'!E$12)+(IF(P96="yes",1,0)*'Grading Scale'!E$13))/'Grading Scale'!E$14*100,0), "")</f>
        <v>50</v>
      </c>
      <c r="T96" s="6" t="str">
        <f>IF(ISNUMBER(S96),VLOOKUP(S96,'Grading Scale'!$A$2:$B$14, 2), "")</f>
        <v>F</v>
      </c>
      <c r="U96" s="7"/>
      <c r="V96" s="7"/>
      <c r="W96" s="7"/>
      <c r="X96" s="7"/>
      <c r="Y96" s="7"/>
      <c r="Z96" s="7"/>
      <c r="AA96" s="7"/>
      <c r="AB96" s="7"/>
      <c r="AC96" s="7"/>
      <c r="AD96" s="7"/>
      <c r="AE96" s="7"/>
      <c r="AF96" s="7"/>
      <c r="AG96" s="7"/>
      <c r="AH96" s="7"/>
      <c r="AI96" s="7"/>
      <c r="AJ96" s="7"/>
    </row>
    <row r="97">
      <c r="A97" s="4">
        <v>42397.0</v>
      </c>
      <c r="B97" s="5" t="s">
        <v>176</v>
      </c>
      <c r="C97" s="6" t="s">
        <v>37</v>
      </c>
      <c r="D97" s="6" t="str">
        <f>IF(NOT(ISBLANK(C97)), VLOOKUP(C97,'Dataset Descriptions'!$A$2:$B$10, 2, FALSE), "")</f>
        <v>Forecasts of municipal-level changes in population over coming years.</v>
      </c>
      <c r="E97" s="5" t="s">
        <v>25</v>
      </c>
      <c r="F97" s="5" t="s">
        <v>25</v>
      </c>
      <c r="G97" s="5" t="s">
        <v>25</v>
      </c>
      <c r="H97" s="5" t="s">
        <v>25</v>
      </c>
      <c r="I97" s="5" t="s">
        <v>25</v>
      </c>
      <c r="J97" s="5" t="s">
        <v>25</v>
      </c>
      <c r="K97" s="5" t="s">
        <v>25</v>
      </c>
      <c r="L97" s="5" t="s">
        <v>23</v>
      </c>
      <c r="M97" s="5" t="s">
        <v>25</v>
      </c>
      <c r="N97" s="5" t="s">
        <v>25</v>
      </c>
      <c r="O97" s="5" t="s">
        <v>23</v>
      </c>
      <c r="P97" s="5" t="s">
        <v>23</v>
      </c>
      <c r="Q97" s="9" t="s">
        <v>186</v>
      </c>
      <c r="R97" s="6" t="s">
        <v>187</v>
      </c>
      <c r="S97" s="6">
        <f>IF(NOT(ISBLANK(E97)), ROUND(((IF(E97="yes",1,0)*'Grading Scale'!E$2)+(IF(F97="yes",1,0)*'Grading Scale'!E$3)+(IF(G97="yes",1,0)*'Grading Scale'!E$4)+(IF(H97="yes",1,0)*'Grading Scale'!E$5)+(IF(I97="yes",1,0)*'Grading Scale'!E$6)+(IF(J97="yes",1,0)*'Grading Scale'!E$7)+(IF(K97="yes",1,0)*'Grading Scale'!E$8)+(IF(L97="yes",1,0)*'Grading Scale'!E$9)+(IF(M97="yes",1,0)*'Grading Scale'!E$10)+(IF(N97="yes",1,0)*'Grading Scale'!E$11)+(IF(O97="yes",1,0)*'Grading Scale'!E$12)+(IF(P97="yes",1,0)*'Grading Scale'!E$13))/'Grading Scale'!E$14*100,0), "")</f>
        <v>85</v>
      </c>
      <c r="T97" s="6" t="str">
        <f>IF(ISNUMBER(S97),VLOOKUP(S97,'Grading Scale'!$A$2:$B$14, 2), "")</f>
        <v>B</v>
      </c>
      <c r="U97" s="7"/>
      <c r="V97" s="7"/>
      <c r="W97" s="7"/>
      <c r="X97" s="7"/>
      <c r="Y97" s="7"/>
      <c r="Z97" s="7"/>
      <c r="AA97" s="7"/>
      <c r="AB97" s="7"/>
      <c r="AC97" s="7"/>
      <c r="AD97" s="7"/>
      <c r="AE97" s="7"/>
      <c r="AF97" s="7"/>
      <c r="AG97" s="7"/>
      <c r="AH97" s="7"/>
      <c r="AI97" s="7"/>
      <c r="AJ97" s="7"/>
    </row>
    <row r="98">
      <c r="A98" s="4">
        <v>42395.0</v>
      </c>
      <c r="B98" s="5" t="s">
        <v>176</v>
      </c>
      <c r="C98" s="5" t="s">
        <v>40</v>
      </c>
      <c r="D98" s="6" t="str">
        <f>IF(NOT(ISBLANK(C98)), VLOOKUP(C98,'Dataset Descriptions'!$A$2:$B$10, 2, FALSE), "")</f>
        <v>State-owned land and buildings.</v>
      </c>
      <c r="E98" s="5" t="s">
        <v>22</v>
      </c>
      <c r="F98" s="7"/>
      <c r="G98" s="7"/>
      <c r="H98" s="7"/>
      <c r="I98" s="7"/>
      <c r="J98" s="7"/>
      <c r="K98" s="7"/>
      <c r="L98" s="7"/>
      <c r="M98" s="7"/>
      <c r="N98" s="7"/>
      <c r="O98" s="7"/>
      <c r="P98" s="7"/>
      <c r="Q98" s="7"/>
      <c r="R98" s="6" t="s">
        <v>188</v>
      </c>
      <c r="S98" s="6">
        <f>IF(NOT(ISBLANK(E98)), ROUND(((IF(E98="yes",1,0)*'Grading Scale'!E$2)+(IF(F98="yes",1,0)*'Grading Scale'!E$3)+(IF(G98="yes",1,0)*'Grading Scale'!E$4)+(IF(H98="yes",1,0)*'Grading Scale'!E$5)+(IF(I98="yes",1,0)*'Grading Scale'!E$6)+(IF(J98="yes",1,0)*'Grading Scale'!E$7)+(IF(K98="yes",1,0)*'Grading Scale'!E$8)+(IF(L98="yes",1,0)*'Grading Scale'!E$9)+(IF(M98="yes",1,0)*'Grading Scale'!E$10)+(IF(N98="yes",1,0)*'Grading Scale'!E$11)+(IF(O98="yes",1,0)*'Grading Scale'!E$12)+(IF(P98="yes",1,0)*'Grading Scale'!E$13))/'Grading Scale'!E$14*100,0), "")</f>
        <v>0</v>
      </c>
      <c r="T98" s="6" t="str">
        <f>IF(ISNUMBER(S98),VLOOKUP(S98,'Grading Scale'!$A$2:$B$14, 2), "")</f>
        <v>F</v>
      </c>
      <c r="U98" s="7"/>
      <c r="V98" s="7"/>
      <c r="W98" s="7"/>
      <c r="X98" s="7"/>
      <c r="Y98" s="7"/>
      <c r="Z98" s="7"/>
      <c r="AA98" s="7"/>
      <c r="AB98" s="7"/>
      <c r="AC98" s="7"/>
      <c r="AD98" s="7"/>
      <c r="AE98" s="7"/>
      <c r="AF98" s="7"/>
      <c r="AG98" s="7"/>
      <c r="AH98" s="7"/>
      <c r="AI98" s="7"/>
      <c r="AJ98" s="7"/>
    </row>
    <row r="99">
      <c r="A99" s="4">
        <v>42396.0</v>
      </c>
      <c r="B99" s="5" t="s">
        <v>176</v>
      </c>
      <c r="C99" s="5" t="s">
        <v>43</v>
      </c>
      <c r="D99" s="6" t="str">
        <f>IF(NOT(ISBLANK(C99)), VLOOKUP(C99,'Dataset Descriptions'!$A$2:$B$10, 2, FALSE), "")</f>
        <v>Health inspections of establishments that serve food to the public.</v>
      </c>
      <c r="E99" s="5" t="s">
        <v>22</v>
      </c>
      <c r="F99" s="5" t="s">
        <v>22</v>
      </c>
      <c r="G99" s="5" t="s">
        <v>22</v>
      </c>
      <c r="H99" s="5" t="s">
        <v>22</v>
      </c>
      <c r="I99" s="5" t="s">
        <v>23</v>
      </c>
      <c r="J99" s="5" t="s">
        <v>22</v>
      </c>
      <c r="K99" s="5" t="s">
        <v>22</v>
      </c>
      <c r="L99" s="5" t="s">
        <v>22</v>
      </c>
      <c r="M99" s="5" t="s">
        <v>22</v>
      </c>
      <c r="N99" s="5" t="s">
        <v>23</v>
      </c>
      <c r="O99" s="5" t="s">
        <v>22</v>
      </c>
      <c r="P99" s="5" t="s">
        <v>22</v>
      </c>
      <c r="Q99" s="7"/>
      <c r="R99" s="6" t="s">
        <v>189</v>
      </c>
      <c r="S99" s="6">
        <f>IF(NOT(ISBLANK(E99)), ROUND(((IF(E99="yes",1,0)*'Grading Scale'!E$2)+(IF(F99="yes",1,0)*'Grading Scale'!E$3)+(IF(G99="yes",1,0)*'Grading Scale'!E$4)+(IF(H99="yes",1,0)*'Grading Scale'!E$5)+(IF(I99="yes",1,0)*'Grading Scale'!E$6)+(IF(J99="yes",1,0)*'Grading Scale'!E$7)+(IF(K99="yes",1,0)*'Grading Scale'!E$8)+(IF(L99="yes",1,0)*'Grading Scale'!E$9)+(IF(M99="yes",1,0)*'Grading Scale'!E$10)+(IF(N99="yes",1,0)*'Grading Scale'!E$11)+(IF(O99="yes",1,0)*'Grading Scale'!E$12)+(IF(P99="yes",1,0)*'Grading Scale'!E$13))/'Grading Scale'!E$14*100,0), "")</f>
        <v>0</v>
      </c>
      <c r="T99" s="6" t="str">
        <f>IF(ISNUMBER(S99),VLOOKUP(S99,'Grading Scale'!$A$2:$B$14, 2), "")</f>
        <v>F</v>
      </c>
      <c r="U99" s="7"/>
      <c r="V99" s="7"/>
      <c r="W99" s="7"/>
      <c r="X99" s="7"/>
      <c r="Y99" s="7"/>
      <c r="Z99" s="7"/>
      <c r="AA99" s="7"/>
      <c r="AB99" s="7"/>
      <c r="AC99" s="7"/>
      <c r="AD99" s="7"/>
      <c r="AE99" s="7"/>
      <c r="AF99" s="7"/>
      <c r="AG99" s="7"/>
      <c r="AH99" s="7"/>
      <c r="AI99" s="7"/>
      <c r="AJ99" s="7"/>
    </row>
    <row r="100">
      <c r="A100" s="4">
        <v>42397.0</v>
      </c>
      <c r="B100" s="5" t="s">
        <v>176</v>
      </c>
      <c r="C100" s="5" t="s">
        <v>46</v>
      </c>
      <c r="D100" s="6" t="str">
        <f>IF(NOT(ISBLANK(C100)), VLOOKUP(C100,'Dataset Descriptions'!$A$2:$B$10, 2, FALSE), "")</f>
        <v>Incident-level reportable motor vehicle crash records.</v>
      </c>
      <c r="E100" s="5" t="s">
        <v>25</v>
      </c>
      <c r="F100" s="5" t="s">
        <v>22</v>
      </c>
      <c r="G100" s="5" t="s">
        <v>22</v>
      </c>
      <c r="H100" s="5" t="s">
        <v>22</v>
      </c>
      <c r="I100" s="5" t="s">
        <v>22</v>
      </c>
      <c r="J100" s="5" t="s">
        <v>22</v>
      </c>
      <c r="K100" s="5" t="s">
        <v>22</v>
      </c>
      <c r="L100" s="5" t="s">
        <v>22</v>
      </c>
      <c r="M100" s="5" t="s">
        <v>22</v>
      </c>
      <c r="N100" s="5" t="s">
        <v>23</v>
      </c>
      <c r="O100" s="5" t="s">
        <v>22</v>
      </c>
      <c r="P100" s="5" t="s">
        <v>22</v>
      </c>
      <c r="Q100" s="7"/>
      <c r="R100" s="6" t="s">
        <v>190</v>
      </c>
      <c r="S100" s="6">
        <f>IF(NOT(ISBLANK(E100)), ROUND(((IF(E100="yes",1,0)*'Grading Scale'!E$2)+(IF(F100="yes",1,0)*'Grading Scale'!E$3)+(IF(G100="yes",1,0)*'Grading Scale'!E$4)+(IF(H100="yes",1,0)*'Grading Scale'!E$5)+(IF(I100="yes",1,0)*'Grading Scale'!E$6)+(IF(J100="yes",1,0)*'Grading Scale'!E$7)+(IF(K100="yes",1,0)*'Grading Scale'!E$8)+(IF(L100="yes",1,0)*'Grading Scale'!E$9)+(IF(M100="yes",1,0)*'Grading Scale'!E$10)+(IF(N100="yes",1,0)*'Grading Scale'!E$11)+(IF(O100="yes",1,0)*'Grading Scale'!E$12)+(IF(P100="yes",1,0)*'Grading Scale'!E$13))/'Grading Scale'!E$14*100,0), "")</f>
        <v>0</v>
      </c>
      <c r="T100" s="6" t="str">
        <f>IF(ISNUMBER(S100),VLOOKUP(S100,'Grading Scale'!$A$2:$B$14, 2), "")</f>
        <v>F</v>
      </c>
      <c r="U100" s="7"/>
      <c r="V100" s="7"/>
      <c r="W100" s="7"/>
      <c r="X100" s="7"/>
      <c r="Y100" s="7"/>
      <c r="Z100" s="7"/>
      <c r="AA100" s="7"/>
      <c r="AB100" s="7"/>
      <c r="AC100" s="7"/>
      <c r="AD100" s="7"/>
      <c r="AE100" s="7"/>
      <c r="AF100" s="7"/>
      <c r="AG100" s="7"/>
      <c r="AH100" s="7"/>
      <c r="AI100" s="7"/>
      <c r="AJ100" s="7"/>
    </row>
    <row r="101">
      <c r="A101" s="4">
        <v>42394.0</v>
      </c>
      <c r="B101" s="5" t="s">
        <v>191</v>
      </c>
      <c r="C101" s="5" t="s">
        <v>21</v>
      </c>
      <c r="D101" s="6" t="str">
        <f>IF(NOT(ISBLANK(C101)), VLOOKUP(C101,'Dataset Descriptions'!$A$2:$B$10, 2, FALSE), "")</f>
        <v>The geographic coordinates for physical addresses.</v>
      </c>
      <c r="E101" s="5" t="s">
        <v>22</v>
      </c>
      <c r="F101" s="5" t="s">
        <v>22</v>
      </c>
      <c r="G101" s="5" t="s">
        <v>22</v>
      </c>
      <c r="H101" s="5" t="s">
        <v>22</v>
      </c>
      <c r="I101" s="5" t="s">
        <v>23</v>
      </c>
      <c r="J101" s="5" t="s">
        <v>22</v>
      </c>
      <c r="K101" s="5" t="s">
        <v>22</v>
      </c>
      <c r="L101" s="5" t="s">
        <v>22</v>
      </c>
      <c r="M101" s="5" t="s">
        <v>22</v>
      </c>
      <c r="N101" s="5" t="s">
        <v>23</v>
      </c>
      <c r="O101" s="5" t="s">
        <v>22</v>
      </c>
      <c r="P101" s="5" t="s">
        <v>22</v>
      </c>
      <c r="Q101" s="7"/>
      <c r="R101" s="8"/>
      <c r="S101" s="6">
        <f>IF(NOT(ISBLANK(E101)), ROUND(((IF(E101="yes",1,0)*'Grading Scale'!E$2)+(IF(F101="yes",1,0)*'Grading Scale'!E$3)+(IF(G101="yes",1,0)*'Grading Scale'!E$4)+(IF(H101="yes",1,0)*'Grading Scale'!E$5)+(IF(I101="yes",1,0)*'Grading Scale'!E$6)+(IF(J101="yes",1,0)*'Grading Scale'!E$7)+(IF(K101="yes",1,0)*'Grading Scale'!E$8)+(IF(L101="yes",1,0)*'Grading Scale'!E$9)+(IF(M101="yes",1,0)*'Grading Scale'!E$10)+(IF(N101="yes",1,0)*'Grading Scale'!E$11)+(IF(O101="yes",1,0)*'Grading Scale'!E$12)+(IF(P101="yes",1,0)*'Grading Scale'!E$13))/'Grading Scale'!E$14*100,0), "")</f>
        <v>0</v>
      </c>
      <c r="T101" s="6" t="str">
        <f>IF(ISNUMBER(S101),VLOOKUP(S101,'Grading Scale'!$A$2:$B$14, 2), "")</f>
        <v>F</v>
      </c>
      <c r="U101" s="7"/>
      <c r="V101" s="7"/>
      <c r="W101" s="7"/>
      <c r="X101" s="7"/>
      <c r="Y101" s="7"/>
      <c r="Z101" s="7"/>
      <c r="AA101" s="7"/>
      <c r="AB101" s="7"/>
      <c r="AC101" s="7"/>
      <c r="AD101" s="7"/>
      <c r="AE101" s="7"/>
      <c r="AF101" s="7"/>
      <c r="AG101" s="7"/>
      <c r="AH101" s="7"/>
      <c r="AI101" s="7"/>
      <c r="AJ101" s="7"/>
    </row>
    <row r="102">
      <c r="A102" s="4">
        <v>42394.0</v>
      </c>
      <c r="B102" s="5" t="s">
        <v>191</v>
      </c>
      <c r="C102" s="5" t="s">
        <v>24</v>
      </c>
      <c r="D102" s="6" t="str">
        <f>IF(NOT(ISBLANK(C102)), VLOOKUP(C102,'Dataset Descriptions'!$A$2:$B$10, 2, FALSE), "")</f>
        <v>Transaction-level, per-agency spending records.</v>
      </c>
      <c r="E102" s="5" t="s">
        <v>25</v>
      </c>
      <c r="F102" s="5" t="s">
        <v>25</v>
      </c>
      <c r="G102" s="5" t="s">
        <v>25</v>
      </c>
      <c r="H102" s="5" t="s">
        <v>25</v>
      </c>
      <c r="I102" s="5" t="s">
        <v>25</v>
      </c>
      <c r="J102" s="5" t="s">
        <v>23</v>
      </c>
      <c r="K102" s="5" t="s">
        <v>23</v>
      </c>
      <c r="L102" s="5" t="s">
        <v>23</v>
      </c>
      <c r="M102" s="5" t="s">
        <v>23</v>
      </c>
      <c r="N102" s="5" t="s">
        <v>23</v>
      </c>
      <c r="O102" s="5" t="s">
        <v>23</v>
      </c>
      <c r="P102" s="5" t="s">
        <v>23</v>
      </c>
      <c r="Q102" s="9" t="s">
        <v>192</v>
      </c>
      <c r="R102" s="6" t="s">
        <v>193</v>
      </c>
      <c r="S102" s="6">
        <f>IF(NOT(ISBLANK(E102)), ROUND(((IF(E102="yes",1,0)*'Grading Scale'!E$2)+(IF(F102="yes",1,0)*'Grading Scale'!E$3)+(IF(G102="yes",1,0)*'Grading Scale'!E$4)+(IF(H102="yes",1,0)*'Grading Scale'!E$5)+(IF(I102="yes",1,0)*'Grading Scale'!E$6)+(IF(J102="yes",1,0)*'Grading Scale'!E$7)+(IF(K102="yes",1,0)*'Grading Scale'!E$8)+(IF(L102="yes",1,0)*'Grading Scale'!E$9)+(IF(M102="yes",1,0)*'Grading Scale'!E$10)+(IF(N102="yes",1,0)*'Grading Scale'!E$11)+(IF(O102="yes",1,0)*'Grading Scale'!E$12)+(IF(P102="yes",1,0)*'Grading Scale'!E$13))/'Grading Scale'!E$14*100,0), "")</f>
        <v>30</v>
      </c>
      <c r="T102" s="6" t="str">
        <f>IF(ISNUMBER(S102),VLOOKUP(S102,'Grading Scale'!$A$2:$B$14, 2), "")</f>
        <v>F</v>
      </c>
      <c r="U102" s="7"/>
      <c r="V102" s="7"/>
      <c r="W102" s="7"/>
      <c r="X102" s="7"/>
      <c r="Y102" s="7"/>
      <c r="Z102" s="7"/>
      <c r="AA102" s="7"/>
      <c r="AB102" s="7"/>
      <c r="AC102" s="7"/>
      <c r="AD102" s="7"/>
      <c r="AE102" s="7"/>
      <c r="AF102" s="7"/>
      <c r="AG102" s="7"/>
      <c r="AH102" s="7"/>
      <c r="AI102" s="7"/>
      <c r="AJ102" s="7"/>
    </row>
    <row r="103">
      <c r="A103" s="4">
        <v>42394.0</v>
      </c>
      <c r="B103" s="5" t="s">
        <v>191</v>
      </c>
      <c r="C103" s="5" t="s">
        <v>28</v>
      </c>
      <c r="D103" s="6" t="str">
        <f>IF(NOT(ISBLANK(C103)), VLOOKUP(C103,'Dataset Descriptions'!$A$2:$B$10, 2, FALSE), "")</f>
        <v>The register of all corporations that exist in the state.</v>
      </c>
      <c r="E103" s="5" t="s">
        <v>25</v>
      </c>
      <c r="F103" s="5" t="s">
        <v>25</v>
      </c>
      <c r="G103" s="5" t="s">
        <v>25</v>
      </c>
      <c r="H103" s="5" t="s">
        <v>25</v>
      </c>
      <c r="I103" s="5" t="s">
        <v>25</v>
      </c>
      <c r="J103" s="5" t="s">
        <v>23</v>
      </c>
      <c r="K103" s="5" t="s">
        <v>23</v>
      </c>
      <c r="L103" s="5" t="s">
        <v>25</v>
      </c>
      <c r="M103" s="5" t="s">
        <v>25</v>
      </c>
      <c r="N103" s="5" t="s">
        <v>23</v>
      </c>
      <c r="O103" s="5" t="s">
        <v>25</v>
      </c>
      <c r="P103" s="5" t="s">
        <v>25</v>
      </c>
      <c r="Q103" s="9" t="s">
        <v>194</v>
      </c>
      <c r="R103" s="8"/>
      <c r="S103" s="6">
        <f>IF(NOT(ISBLANK(E103)), ROUND(((IF(E103="yes",1,0)*'Grading Scale'!E$2)+(IF(F103="yes",1,0)*'Grading Scale'!E$3)+(IF(G103="yes",1,0)*'Grading Scale'!E$4)+(IF(H103="yes",1,0)*'Grading Scale'!E$5)+(IF(I103="yes",1,0)*'Grading Scale'!E$6)+(IF(J103="yes",1,0)*'Grading Scale'!E$7)+(IF(K103="yes",1,0)*'Grading Scale'!E$8)+(IF(L103="yes",1,0)*'Grading Scale'!E$9)+(IF(M103="yes",1,0)*'Grading Scale'!E$10)+(IF(N103="yes",1,0)*'Grading Scale'!E$11)+(IF(O103="yes",1,0)*'Grading Scale'!E$12)+(IF(P103="yes",1,0)*'Grading Scale'!E$13))/'Grading Scale'!E$14*100,0), "")</f>
        <v>50</v>
      </c>
      <c r="T103" s="6" t="str">
        <f>IF(ISNUMBER(S103),VLOOKUP(S103,'Grading Scale'!$A$2:$B$14, 2), "")</f>
        <v>F</v>
      </c>
      <c r="U103" s="7"/>
      <c r="V103" s="7"/>
      <c r="W103" s="7"/>
      <c r="X103" s="7"/>
      <c r="Y103" s="7"/>
      <c r="Z103" s="7"/>
      <c r="AA103" s="7"/>
      <c r="AB103" s="7"/>
      <c r="AC103" s="7"/>
      <c r="AD103" s="7"/>
      <c r="AE103" s="7"/>
      <c r="AF103" s="7"/>
      <c r="AG103" s="7"/>
      <c r="AH103" s="7"/>
      <c r="AI103" s="7"/>
      <c r="AJ103" s="7"/>
    </row>
    <row r="104">
      <c r="A104" s="4">
        <v>42394.0</v>
      </c>
      <c r="B104" s="5" t="s">
        <v>191</v>
      </c>
      <c r="C104" s="5" t="s">
        <v>31</v>
      </c>
      <c r="D104" s="6" t="str">
        <f>IF(NOT(ISBLANK(C104)), VLOOKUP(C104,'Dataset Descriptions'!$A$2:$B$10, 2, FALSE), "")</f>
        <v>Per-facility inmate population records.</v>
      </c>
      <c r="E104" s="5" t="s">
        <v>25</v>
      </c>
      <c r="F104" s="5" t="s">
        <v>25</v>
      </c>
      <c r="G104" s="5" t="s">
        <v>25</v>
      </c>
      <c r="H104" s="5" t="s">
        <v>25</v>
      </c>
      <c r="I104" s="5" t="s">
        <v>25</v>
      </c>
      <c r="J104" s="5" t="s">
        <v>23</v>
      </c>
      <c r="K104" s="5" t="s">
        <v>23</v>
      </c>
      <c r="L104" s="5" t="s">
        <v>25</v>
      </c>
      <c r="M104" s="5" t="s">
        <v>23</v>
      </c>
      <c r="N104" s="5" t="s">
        <v>23</v>
      </c>
      <c r="O104" s="5" t="s">
        <v>25</v>
      </c>
      <c r="P104" s="5" t="s">
        <v>23</v>
      </c>
      <c r="Q104" s="7"/>
      <c r="R104" s="6" t="s">
        <v>195</v>
      </c>
      <c r="S104" s="6">
        <f>IF(NOT(ISBLANK(E104)), ROUND(((IF(E104="yes",1,0)*'Grading Scale'!E$2)+(IF(F104="yes",1,0)*'Grading Scale'!E$3)+(IF(G104="yes",1,0)*'Grading Scale'!E$4)+(IF(H104="yes",1,0)*'Grading Scale'!E$5)+(IF(I104="yes",1,0)*'Grading Scale'!E$6)+(IF(J104="yes",1,0)*'Grading Scale'!E$7)+(IF(K104="yes",1,0)*'Grading Scale'!E$8)+(IF(L104="yes",1,0)*'Grading Scale'!E$9)+(IF(M104="yes",1,0)*'Grading Scale'!E$10)+(IF(N104="yes",1,0)*'Grading Scale'!E$11)+(IF(O104="yes",1,0)*'Grading Scale'!E$12)+(IF(P104="yes",1,0)*'Grading Scale'!E$13))/'Grading Scale'!E$14*100,0), "")</f>
        <v>40</v>
      </c>
      <c r="T104" s="6" t="str">
        <f>IF(ISNUMBER(S104),VLOOKUP(S104,'Grading Scale'!$A$2:$B$14, 2), "")</f>
        <v>F</v>
      </c>
      <c r="U104" s="7"/>
      <c r="V104" s="7"/>
      <c r="W104" s="7"/>
      <c r="X104" s="7"/>
      <c r="Y104" s="7"/>
      <c r="Z104" s="7"/>
      <c r="AA104" s="7"/>
      <c r="AB104" s="7"/>
      <c r="AC104" s="7"/>
      <c r="AD104" s="7"/>
      <c r="AE104" s="7"/>
      <c r="AF104" s="7"/>
      <c r="AG104" s="7"/>
      <c r="AH104" s="7"/>
      <c r="AI104" s="7"/>
      <c r="AJ104" s="7"/>
    </row>
    <row r="105">
      <c r="A105" s="4">
        <v>42394.0</v>
      </c>
      <c r="B105" s="5" t="s">
        <v>191</v>
      </c>
      <c r="C105" s="5" t="s">
        <v>34</v>
      </c>
      <c r="D105" s="6" t="str">
        <f>IF(NOT(ISBLANK(C105)), VLOOKUP(C105,'Dataset Descriptions'!$A$2:$B$10, 2, FALSE), "")</f>
        <v>Bills before the legislature, and the legislators that comprise it.</v>
      </c>
      <c r="E105" s="5" t="s">
        <v>25</v>
      </c>
      <c r="F105" s="5" t="s">
        <v>25</v>
      </c>
      <c r="G105" s="5" t="s">
        <v>25</v>
      </c>
      <c r="H105" s="5" t="s">
        <v>25</v>
      </c>
      <c r="I105" s="5" t="s">
        <v>25</v>
      </c>
      <c r="J105" s="5" t="s">
        <v>23</v>
      </c>
      <c r="K105" s="5" t="s">
        <v>23</v>
      </c>
      <c r="L105" s="5" t="s">
        <v>23</v>
      </c>
      <c r="M105" s="5" t="s">
        <v>25</v>
      </c>
      <c r="N105" s="5" t="s">
        <v>23</v>
      </c>
      <c r="O105" s="5" t="s">
        <v>25</v>
      </c>
      <c r="P105" s="5" t="s">
        <v>23</v>
      </c>
      <c r="Q105" s="9" t="s">
        <v>196</v>
      </c>
      <c r="R105" s="6" t="s">
        <v>197</v>
      </c>
      <c r="S105" s="6">
        <f>IF(NOT(ISBLANK(E105)), ROUND(((IF(E105="yes",1,0)*'Grading Scale'!E$2)+(IF(F105="yes",1,0)*'Grading Scale'!E$3)+(IF(G105="yes",1,0)*'Grading Scale'!E$4)+(IF(H105="yes",1,0)*'Grading Scale'!E$5)+(IF(I105="yes",1,0)*'Grading Scale'!E$6)+(IF(J105="yes",1,0)*'Grading Scale'!E$7)+(IF(K105="yes",1,0)*'Grading Scale'!E$8)+(IF(L105="yes",1,0)*'Grading Scale'!E$9)+(IF(M105="yes",1,0)*'Grading Scale'!E$10)+(IF(N105="yes",1,0)*'Grading Scale'!E$11)+(IF(O105="yes",1,0)*'Grading Scale'!E$12)+(IF(P105="yes",1,0)*'Grading Scale'!E$13))/'Grading Scale'!E$14*100,0), "")</f>
        <v>40</v>
      </c>
      <c r="T105" s="6" t="str">
        <f>IF(ISNUMBER(S105),VLOOKUP(S105,'Grading Scale'!$A$2:$B$14, 2), "")</f>
        <v>F</v>
      </c>
      <c r="U105" s="7"/>
      <c r="V105" s="7"/>
      <c r="W105" s="7"/>
      <c r="X105" s="7"/>
      <c r="Y105" s="7"/>
      <c r="Z105" s="7"/>
      <c r="AA105" s="7"/>
      <c r="AB105" s="7"/>
      <c r="AC105" s="7"/>
      <c r="AD105" s="7"/>
      <c r="AE105" s="7"/>
      <c r="AF105" s="7"/>
      <c r="AG105" s="7"/>
      <c r="AH105" s="7"/>
      <c r="AI105" s="7"/>
      <c r="AJ105" s="7"/>
    </row>
    <row r="106">
      <c r="A106" s="4">
        <v>42394.0</v>
      </c>
      <c r="B106" s="5" t="s">
        <v>191</v>
      </c>
      <c r="C106" s="6" t="s">
        <v>37</v>
      </c>
      <c r="D106" s="6" t="str">
        <f>IF(NOT(ISBLANK(C106)), VLOOKUP(C106,'Dataset Descriptions'!$A$2:$B$10, 2, FALSE), "")</f>
        <v>Forecasts of municipal-level changes in population over coming years.</v>
      </c>
      <c r="E106" s="5" t="s">
        <v>22</v>
      </c>
      <c r="F106" s="5" t="s">
        <v>22</v>
      </c>
      <c r="G106" s="5" t="s">
        <v>22</v>
      </c>
      <c r="H106" s="5" t="s">
        <v>22</v>
      </c>
      <c r="I106" s="5" t="s">
        <v>23</v>
      </c>
      <c r="J106" s="5" t="s">
        <v>22</v>
      </c>
      <c r="K106" s="5" t="s">
        <v>22</v>
      </c>
      <c r="L106" s="5" t="s">
        <v>22</v>
      </c>
      <c r="M106" s="5" t="s">
        <v>22</v>
      </c>
      <c r="N106" s="5" t="s">
        <v>23</v>
      </c>
      <c r="O106" s="5" t="s">
        <v>22</v>
      </c>
      <c r="P106" s="5" t="s">
        <v>22</v>
      </c>
      <c r="Q106" s="7"/>
      <c r="R106" s="6" t="s">
        <v>198</v>
      </c>
      <c r="S106" s="6">
        <f>IF(NOT(ISBLANK(E106)), ROUND(((IF(E106="yes",1,0)*'Grading Scale'!E$2)+(IF(F106="yes",1,0)*'Grading Scale'!E$3)+(IF(G106="yes",1,0)*'Grading Scale'!E$4)+(IF(H106="yes",1,0)*'Grading Scale'!E$5)+(IF(I106="yes",1,0)*'Grading Scale'!E$6)+(IF(J106="yes",1,0)*'Grading Scale'!E$7)+(IF(K106="yes",1,0)*'Grading Scale'!E$8)+(IF(L106="yes",1,0)*'Grading Scale'!E$9)+(IF(M106="yes",1,0)*'Grading Scale'!E$10)+(IF(N106="yes",1,0)*'Grading Scale'!E$11)+(IF(O106="yes",1,0)*'Grading Scale'!E$12)+(IF(P106="yes",1,0)*'Grading Scale'!E$13))/'Grading Scale'!E$14*100,0), "")</f>
        <v>0</v>
      </c>
      <c r="T106" s="6" t="str">
        <f>IF(ISNUMBER(S106),VLOOKUP(S106,'Grading Scale'!$A$2:$B$14, 2), "")</f>
        <v>F</v>
      </c>
      <c r="U106" s="7"/>
      <c r="V106" s="7"/>
      <c r="W106" s="7"/>
      <c r="X106" s="7"/>
      <c r="Y106" s="7"/>
      <c r="Z106" s="7"/>
      <c r="AA106" s="7"/>
      <c r="AB106" s="7"/>
      <c r="AC106" s="7"/>
      <c r="AD106" s="7"/>
      <c r="AE106" s="7"/>
      <c r="AF106" s="7"/>
      <c r="AG106" s="7"/>
      <c r="AH106" s="7"/>
      <c r="AI106" s="7"/>
      <c r="AJ106" s="7"/>
    </row>
    <row r="107">
      <c r="A107" s="4">
        <v>42394.0</v>
      </c>
      <c r="B107" s="5" t="s">
        <v>191</v>
      </c>
      <c r="C107" s="5" t="s">
        <v>40</v>
      </c>
      <c r="D107" s="6" t="str">
        <f>IF(NOT(ISBLANK(C107)), VLOOKUP(C107,'Dataset Descriptions'!$A$2:$B$10, 2, FALSE), "")</f>
        <v>State-owned land and buildings.</v>
      </c>
      <c r="E107" s="5" t="s">
        <v>22</v>
      </c>
      <c r="F107" s="5" t="s">
        <v>22</v>
      </c>
      <c r="G107" s="5" t="s">
        <v>22</v>
      </c>
      <c r="H107" s="5" t="s">
        <v>22</v>
      </c>
      <c r="I107" s="5" t="s">
        <v>23</v>
      </c>
      <c r="J107" s="5" t="s">
        <v>22</v>
      </c>
      <c r="K107" s="5" t="s">
        <v>22</v>
      </c>
      <c r="L107" s="5" t="s">
        <v>22</v>
      </c>
      <c r="M107" s="5" t="s">
        <v>22</v>
      </c>
      <c r="N107" s="5" t="s">
        <v>23</v>
      </c>
      <c r="O107" s="5" t="s">
        <v>22</v>
      </c>
      <c r="P107" s="5" t="s">
        <v>22</v>
      </c>
      <c r="Q107" s="7"/>
      <c r="R107" s="8"/>
      <c r="S107" s="6">
        <f>IF(NOT(ISBLANK(E107)), ROUND(((IF(E107="yes",1,0)*'Grading Scale'!E$2)+(IF(F107="yes",1,0)*'Grading Scale'!E$3)+(IF(G107="yes",1,0)*'Grading Scale'!E$4)+(IF(H107="yes",1,0)*'Grading Scale'!E$5)+(IF(I107="yes",1,0)*'Grading Scale'!E$6)+(IF(J107="yes",1,0)*'Grading Scale'!E$7)+(IF(K107="yes",1,0)*'Grading Scale'!E$8)+(IF(L107="yes",1,0)*'Grading Scale'!E$9)+(IF(M107="yes",1,0)*'Grading Scale'!E$10)+(IF(N107="yes",1,0)*'Grading Scale'!E$11)+(IF(O107="yes",1,0)*'Grading Scale'!E$12)+(IF(P107="yes",1,0)*'Grading Scale'!E$13))/'Grading Scale'!E$14*100,0), "")</f>
        <v>0</v>
      </c>
      <c r="T107" s="6" t="str">
        <f>IF(ISNUMBER(S107),VLOOKUP(S107,'Grading Scale'!$A$2:$B$14, 2), "")</f>
        <v>F</v>
      </c>
      <c r="U107" s="7"/>
      <c r="V107" s="7"/>
      <c r="W107" s="7"/>
      <c r="X107" s="7"/>
      <c r="Y107" s="7"/>
      <c r="Z107" s="7"/>
      <c r="AA107" s="7"/>
      <c r="AB107" s="7"/>
      <c r="AC107" s="7"/>
      <c r="AD107" s="7"/>
      <c r="AE107" s="7"/>
      <c r="AF107" s="7"/>
      <c r="AG107" s="7"/>
      <c r="AH107" s="7"/>
      <c r="AI107" s="7"/>
      <c r="AJ107" s="7"/>
    </row>
    <row r="108">
      <c r="A108" s="4">
        <v>42394.0</v>
      </c>
      <c r="B108" s="5" t="s">
        <v>191</v>
      </c>
      <c r="C108" s="5" t="s">
        <v>43</v>
      </c>
      <c r="D108" s="6" t="str">
        <f>IF(NOT(ISBLANK(C108)), VLOOKUP(C108,'Dataset Descriptions'!$A$2:$B$10, 2, FALSE), "")</f>
        <v>Health inspections of establishments that serve food to the public.</v>
      </c>
      <c r="E108" s="5" t="s">
        <v>22</v>
      </c>
      <c r="F108" s="5" t="s">
        <v>22</v>
      </c>
      <c r="G108" s="5" t="s">
        <v>22</v>
      </c>
      <c r="H108" s="5" t="s">
        <v>22</v>
      </c>
      <c r="I108" s="5" t="s">
        <v>23</v>
      </c>
      <c r="J108" s="5" t="s">
        <v>22</v>
      </c>
      <c r="K108" s="5" t="s">
        <v>22</v>
      </c>
      <c r="L108" s="5" t="s">
        <v>22</v>
      </c>
      <c r="M108" s="5" t="s">
        <v>22</v>
      </c>
      <c r="N108" s="5" t="s">
        <v>23</v>
      </c>
      <c r="O108" s="5" t="s">
        <v>22</v>
      </c>
      <c r="P108" s="5" t="s">
        <v>22</v>
      </c>
      <c r="Q108" s="7"/>
      <c r="R108" s="6" t="s">
        <v>199</v>
      </c>
      <c r="S108" s="6">
        <f>IF(NOT(ISBLANK(E108)), ROUND(((IF(E108="yes",1,0)*'Grading Scale'!E$2)+(IF(F108="yes",1,0)*'Grading Scale'!E$3)+(IF(G108="yes",1,0)*'Grading Scale'!E$4)+(IF(H108="yes",1,0)*'Grading Scale'!E$5)+(IF(I108="yes",1,0)*'Grading Scale'!E$6)+(IF(J108="yes",1,0)*'Grading Scale'!E$7)+(IF(K108="yes",1,0)*'Grading Scale'!E$8)+(IF(L108="yes",1,0)*'Grading Scale'!E$9)+(IF(M108="yes",1,0)*'Grading Scale'!E$10)+(IF(N108="yes",1,0)*'Grading Scale'!E$11)+(IF(O108="yes",1,0)*'Grading Scale'!E$12)+(IF(P108="yes",1,0)*'Grading Scale'!E$13))/'Grading Scale'!E$14*100,0), "")</f>
        <v>0</v>
      </c>
      <c r="T108" s="6" t="str">
        <f>IF(ISNUMBER(S108),VLOOKUP(S108,'Grading Scale'!$A$2:$B$14, 2), "")</f>
        <v>F</v>
      </c>
      <c r="U108" s="7"/>
      <c r="V108" s="7"/>
      <c r="W108" s="7"/>
      <c r="X108" s="7"/>
      <c r="Y108" s="7"/>
      <c r="Z108" s="7"/>
      <c r="AA108" s="7"/>
      <c r="AB108" s="7"/>
      <c r="AC108" s="7"/>
      <c r="AD108" s="7"/>
      <c r="AE108" s="7"/>
      <c r="AF108" s="7"/>
      <c r="AG108" s="7"/>
      <c r="AH108" s="7"/>
      <c r="AI108" s="7"/>
      <c r="AJ108" s="7"/>
    </row>
    <row r="109">
      <c r="A109" s="4">
        <v>42394.0</v>
      </c>
      <c r="B109" s="5" t="s">
        <v>191</v>
      </c>
      <c r="C109" s="5" t="s">
        <v>46</v>
      </c>
      <c r="D109" s="6" t="str">
        <f>IF(NOT(ISBLANK(C109)), VLOOKUP(C109,'Dataset Descriptions'!$A$2:$B$10, 2, FALSE), "")</f>
        <v>Incident-level reportable motor vehicle crash records.</v>
      </c>
      <c r="E109" s="5" t="s">
        <v>25</v>
      </c>
      <c r="F109" s="5" t="s">
        <v>25</v>
      </c>
      <c r="G109" s="5" t="s">
        <v>23</v>
      </c>
      <c r="H109" s="5" t="s">
        <v>25</v>
      </c>
      <c r="I109" s="5" t="s">
        <v>25</v>
      </c>
      <c r="J109" s="5" t="s">
        <v>22</v>
      </c>
      <c r="K109" s="5" t="s">
        <v>22</v>
      </c>
      <c r="L109" s="5" t="s">
        <v>23</v>
      </c>
      <c r="M109" s="5" t="s">
        <v>22</v>
      </c>
      <c r="N109" s="5" t="s">
        <v>23</v>
      </c>
      <c r="O109" s="5" t="s">
        <v>22</v>
      </c>
      <c r="P109" s="5" t="s">
        <v>22</v>
      </c>
      <c r="Q109" s="7"/>
      <c r="R109" s="6" t="s">
        <v>200</v>
      </c>
      <c r="S109" s="6">
        <f>IF(NOT(ISBLANK(E109)), ROUND(((IF(E109="yes",1,0)*'Grading Scale'!E$2)+(IF(F109="yes",1,0)*'Grading Scale'!E$3)+(IF(G109="yes",1,0)*'Grading Scale'!E$4)+(IF(H109="yes",1,0)*'Grading Scale'!E$5)+(IF(I109="yes",1,0)*'Grading Scale'!E$6)+(IF(J109="yes",1,0)*'Grading Scale'!E$7)+(IF(K109="yes",1,0)*'Grading Scale'!E$8)+(IF(L109="yes",1,0)*'Grading Scale'!E$9)+(IF(M109="yes",1,0)*'Grading Scale'!E$10)+(IF(N109="yes",1,0)*'Grading Scale'!E$11)+(IF(O109="yes",1,0)*'Grading Scale'!E$12)+(IF(P109="yes",1,0)*'Grading Scale'!E$13))/'Grading Scale'!E$14*100,0), "")</f>
        <v>25</v>
      </c>
      <c r="T109" s="6" t="str">
        <f>IF(ISNUMBER(S109),VLOOKUP(S109,'Grading Scale'!$A$2:$B$14, 2), "")</f>
        <v>F</v>
      </c>
      <c r="U109" s="7"/>
      <c r="V109" s="7"/>
      <c r="W109" s="7"/>
      <c r="X109" s="7"/>
      <c r="Y109" s="7"/>
      <c r="Z109" s="7"/>
      <c r="AA109" s="7"/>
      <c r="AB109" s="7"/>
      <c r="AC109" s="7"/>
      <c r="AD109" s="7"/>
      <c r="AE109" s="7"/>
      <c r="AF109" s="7"/>
      <c r="AG109" s="7"/>
      <c r="AH109" s="7"/>
      <c r="AI109" s="7"/>
      <c r="AJ109" s="7"/>
    </row>
    <row r="110">
      <c r="A110" s="10">
        <v>42338.0</v>
      </c>
      <c r="B110" s="6" t="s">
        <v>201</v>
      </c>
      <c r="C110" s="6" t="s">
        <v>21</v>
      </c>
      <c r="D110" s="6" t="str">
        <f>IF(NOT(ISBLANK(C110)), VLOOKUP(C110,'Dataset Descriptions'!$A$2:$B$10, 2, FALSE), "")</f>
        <v>The geographic coordinates for physical addresses.</v>
      </c>
      <c r="E110" s="6" t="s">
        <v>23</v>
      </c>
      <c r="F110" s="6" t="s">
        <v>23</v>
      </c>
      <c r="G110" s="6" t="s">
        <v>23</v>
      </c>
      <c r="H110" s="6" t="s">
        <v>23</v>
      </c>
      <c r="I110" s="6" t="s">
        <v>23</v>
      </c>
      <c r="J110" s="6" t="s">
        <v>23</v>
      </c>
      <c r="K110" s="6" t="s">
        <v>23</v>
      </c>
      <c r="L110" s="6" t="s">
        <v>23</v>
      </c>
      <c r="M110" s="6" t="s">
        <v>23</v>
      </c>
      <c r="N110" s="6" t="s">
        <v>23</v>
      </c>
      <c r="O110" s="6" t="s">
        <v>23</v>
      </c>
      <c r="P110" s="6" t="s">
        <v>23</v>
      </c>
      <c r="Q110" s="8"/>
      <c r="R110" s="11"/>
      <c r="S110" s="6">
        <f>IF(NOT(ISBLANK(E110)), ROUND(((IF(E110="yes",1,0)*'Grading Scale'!E$2)+(IF(F110="yes",1,0)*'Grading Scale'!E$3)+(IF(G110="yes",1,0)*'Grading Scale'!E$4)+(IF(H110="yes",1,0)*'Grading Scale'!E$5)+(IF(I110="yes",1,0)*'Grading Scale'!E$6)+(IF(J110="yes",1,0)*'Grading Scale'!E$7)+(IF(K110="yes",1,0)*'Grading Scale'!E$8)+(IF(L110="yes",1,0)*'Grading Scale'!E$9)+(IF(M110="yes",1,0)*'Grading Scale'!E$10)+(IF(N110="yes",1,0)*'Grading Scale'!E$11)+(IF(O110="yes",1,0)*'Grading Scale'!E$12)+(IF(P110="yes",1,0)*'Grading Scale'!E$13))/'Grading Scale'!E$14*100,0), "")</f>
        <v>0</v>
      </c>
      <c r="T110" s="6" t="str">
        <f>IF(ISNUMBER(S110),VLOOKUP(S110,'Grading Scale'!$A$2:$B$14, 2), "")</f>
        <v>F</v>
      </c>
      <c r="U110" s="7"/>
      <c r="V110" s="7"/>
      <c r="W110" s="7"/>
      <c r="X110" s="7"/>
      <c r="Y110" s="7"/>
      <c r="Z110" s="7"/>
      <c r="AA110" s="7"/>
      <c r="AB110" s="7"/>
      <c r="AC110" s="7"/>
      <c r="AD110" s="7"/>
      <c r="AE110" s="7"/>
      <c r="AF110" s="7"/>
      <c r="AG110" s="7"/>
      <c r="AH110" s="7"/>
      <c r="AI110" s="7"/>
      <c r="AJ110" s="7"/>
    </row>
    <row r="111">
      <c r="A111" s="10">
        <v>42338.0</v>
      </c>
      <c r="B111" s="6" t="s">
        <v>201</v>
      </c>
      <c r="C111" s="6" t="s">
        <v>24</v>
      </c>
      <c r="D111" s="6" t="str">
        <f>IF(NOT(ISBLANK(C111)), VLOOKUP(C111,'Dataset Descriptions'!$A$2:$B$10, 2, FALSE), "")</f>
        <v>Transaction-level, per-agency spending records.</v>
      </c>
      <c r="E111" s="6" t="s">
        <v>25</v>
      </c>
      <c r="F111" s="6" t="s">
        <v>25</v>
      </c>
      <c r="G111" s="6" t="s">
        <v>25</v>
      </c>
      <c r="H111" s="6" t="s">
        <v>25</v>
      </c>
      <c r="I111" s="6" t="s">
        <v>23</v>
      </c>
      <c r="J111" s="6" t="s">
        <v>23</v>
      </c>
      <c r="K111" s="6" t="s">
        <v>23</v>
      </c>
      <c r="L111" s="6" t="s">
        <v>23</v>
      </c>
      <c r="M111" s="8"/>
      <c r="N111" s="6" t="s">
        <v>23</v>
      </c>
      <c r="O111" s="6" t="s">
        <v>23</v>
      </c>
      <c r="P111" s="6" t="s">
        <v>23</v>
      </c>
      <c r="Q111" s="15" t="s">
        <v>202</v>
      </c>
      <c r="R111" s="14" t="s">
        <v>203</v>
      </c>
      <c r="S111" s="6">
        <f>IF(NOT(ISBLANK(E111)), ROUND(((IF(E111="yes",1,0)*'Grading Scale'!E$2)+(IF(F111="yes",1,0)*'Grading Scale'!E$3)+(IF(G111="yes",1,0)*'Grading Scale'!E$4)+(IF(H111="yes",1,0)*'Grading Scale'!E$5)+(IF(I111="yes",1,0)*'Grading Scale'!E$6)+(IF(J111="yes",1,0)*'Grading Scale'!E$7)+(IF(K111="yes",1,0)*'Grading Scale'!E$8)+(IF(L111="yes",1,0)*'Grading Scale'!E$9)+(IF(M111="yes",1,0)*'Grading Scale'!E$10)+(IF(N111="yes",1,0)*'Grading Scale'!E$11)+(IF(O111="yes",1,0)*'Grading Scale'!E$12)+(IF(P111="yes",1,0)*'Grading Scale'!E$13))/'Grading Scale'!E$14*100,0), "")</f>
        <v>25</v>
      </c>
      <c r="T111" s="6" t="str">
        <f>IF(ISNUMBER(S111),VLOOKUP(S111,'Grading Scale'!$A$2:$B$14, 2), "")</f>
        <v>F</v>
      </c>
      <c r="U111" s="7"/>
      <c r="V111" s="7"/>
      <c r="W111" s="7"/>
      <c r="X111" s="7"/>
      <c r="Y111" s="7"/>
      <c r="Z111" s="7"/>
      <c r="AA111" s="7"/>
      <c r="AB111" s="7"/>
      <c r="AC111" s="7"/>
      <c r="AD111" s="7"/>
      <c r="AE111" s="7"/>
      <c r="AF111" s="7"/>
      <c r="AG111" s="7"/>
      <c r="AH111" s="7"/>
      <c r="AI111" s="7"/>
      <c r="AJ111" s="7"/>
    </row>
    <row r="112">
      <c r="A112" s="10">
        <v>42338.0</v>
      </c>
      <c r="B112" s="6" t="s">
        <v>201</v>
      </c>
      <c r="C112" s="6" t="s">
        <v>28</v>
      </c>
      <c r="D112" s="6" t="str">
        <f>IF(NOT(ISBLANK(C112)), VLOOKUP(C112,'Dataset Descriptions'!$A$2:$B$10, 2, FALSE), "")</f>
        <v>The register of all corporations that exist in the state.</v>
      </c>
      <c r="E112" s="6" t="s">
        <v>25</v>
      </c>
      <c r="F112" s="6" t="s">
        <v>25</v>
      </c>
      <c r="G112" s="6" t="s">
        <v>25</v>
      </c>
      <c r="H112" s="6" t="s">
        <v>25</v>
      </c>
      <c r="I112" s="6" t="s">
        <v>25</v>
      </c>
      <c r="J112" s="6" t="s">
        <v>23</v>
      </c>
      <c r="K112" s="6" t="s">
        <v>23</v>
      </c>
      <c r="L112" s="6" t="s">
        <v>23</v>
      </c>
      <c r="M112" s="6" t="s">
        <v>25</v>
      </c>
      <c r="N112" s="6" t="s">
        <v>23</v>
      </c>
      <c r="O112" s="6" t="s">
        <v>23</v>
      </c>
      <c r="P112" s="6" t="s">
        <v>25</v>
      </c>
      <c r="Q112" s="15" t="s">
        <v>204</v>
      </c>
      <c r="R112" s="14" t="s">
        <v>205</v>
      </c>
      <c r="S112" s="6">
        <f>IF(NOT(ISBLANK(E112)), ROUND(((IF(E112="yes",1,0)*'Grading Scale'!E$2)+(IF(F112="yes",1,0)*'Grading Scale'!E$3)+(IF(G112="yes",1,0)*'Grading Scale'!E$4)+(IF(H112="yes",1,0)*'Grading Scale'!E$5)+(IF(I112="yes",1,0)*'Grading Scale'!E$6)+(IF(J112="yes",1,0)*'Grading Scale'!E$7)+(IF(K112="yes",1,0)*'Grading Scale'!E$8)+(IF(L112="yes",1,0)*'Grading Scale'!E$9)+(IF(M112="yes",1,0)*'Grading Scale'!E$10)+(IF(N112="yes",1,0)*'Grading Scale'!E$11)+(IF(O112="yes",1,0)*'Grading Scale'!E$12)+(IF(P112="yes",1,0)*'Grading Scale'!E$13))/'Grading Scale'!E$14*100,0), "")</f>
        <v>40</v>
      </c>
      <c r="T112" s="6" t="str">
        <f>IF(ISNUMBER(S112),VLOOKUP(S112,'Grading Scale'!$A$2:$B$14, 2), "")</f>
        <v>F</v>
      </c>
      <c r="U112" s="7"/>
      <c r="V112" s="7"/>
      <c r="W112" s="7"/>
      <c r="X112" s="7"/>
      <c r="Y112" s="7"/>
      <c r="Z112" s="7"/>
      <c r="AA112" s="7"/>
      <c r="AB112" s="7"/>
      <c r="AC112" s="7"/>
      <c r="AD112" s="7"/>
      <c r="AE112" s="7"/>
      <c r="AF112" s="7"/>
      <c r="AG112" s="7"/>
      <c r="AH112" s="7"/>
      <c r="AI112" s="7"/>
      <c r="AJ112" s="7"/>
    </row>
    <row r="113">
      <c r="A113" s="10">
        <v>42338.0</v>
      </c>
      <c r="B113" s="6" t="s">
        <v>201</v>
      </c>
      <c r="C113" s="6" t="s">
        <v>31</v>
      </c>
      <c r="D113" s="6" t="str">
        <f>IF(NOT(ISBLANK(C113)), VLOOKUP(C113,'Dataset Descriptions'!$A$2:$B$10, 2, FALSE), "")</f>
        <v>Per-facility inmate population records.</v>
      </c>
      <c r="E113" s="6" t="s">
        <v>25</v>
      </c>
      <c r="F113" s="6" t="s">
        <v>25</v>
      </c>
      <c r="G113" s="6" t="s">
        <v>25</v>
      </c>
      <c r="H113" s="6" t="s">
        <v>25</v>
      </c>
      <c r="I113" s="6" t="s">
        <v>25</v>
      </c>
      <c r="J113" s="6" t="s">
        <v>23</v>
      </c>
      <c r="K113" s="6" t="s">
        <v>23</v>
      </c>
      <c r="L113" s="6" t="s">
        <v>25</v>
      </c>
      <c r="M113" s="6" t="s">
        <v>23</v>
      </c>
      <c r="N113" s="6" t="s">
        <v>23</v>
      </c>
      <c r="O113" s="6" t="s">
        <v>23</v>
      </c>
      <c r="P113" s="6" t="s">
        <v>23</v>
      </c>
      <c r="Q113" s="15" t="s">
        <v>206</v>
      </c>
      <c r="R113" s="14" t="s">
        <v>207</v>
      </c>
      <c r="S113" s="6">
        <f>IF(NOT(ISBLANK(E113)), ROUND(((IF(E113="yes",1,0)*'Grading Scale'!E$2)+(IF(F113="yes",1,0)*'Grading Scale'!E$3)+(IF(G113="yes",1,0)*'Grading Scale'!E$4)+(IF(H113="yes",1,0)*'Grading Scale'!E$5)+(IF(I113="yes",1,0)*'Grading Scale'!E$6)+(IF(J113="yes",1,0)*'Grading Scale'!E$7)+(IF(K113="yes",1,0)*'Grading Scale'!E$8)+(IF(L113="yes",1,0)*'Grading Scale'!E$9)+(IF(M113="yes",1,0)*'Grading Scale'!E$10)+(IF(N113="yes",1,0)*'Grading Scale'!E$11)+(IF(O113="yes",1,0)*'Grading Scale'!E$12)+(IF(P113="yes",1,0)*'Grading Scale'!E$13))/'Grading Scale'!E$14*100,0), "")</f>
        <v>35</v>
      </c>
      <c r="T113" s="6" t="str">
        <f>IF(ISNUMBER(S113),VLOOKUP(S113,'Grading Scale'!$A$2:$B$14, 2), "")</f>
        <v>F</v>
      </c>
      <c r="U113" s="7"/>
      <c r="V113" s="7"/>
      <c r="W113" s="7"/>
      <c r="X113" s="7"/>
      <c r="Y113" s="7"/>
      <c r="Z113" s="7"/>
      <c r="AA113" s="7"/>
      <c r="AB113" s="7"/>
      <c r="AC113" s="7"/>
      <c r="AD113" s="7"/>
      <c r="AE113" s="7"/>
      <c r="AF113" s="7"/>
      <c r="AG113" s="7"/>
      <c r="AH113" s="7"/>
      <c r="AI113" s="7"/>
      <c r="AJ113" s="7"/>
    </row>
    <row r="114">
      <c r="A114" s="10">
        <v>42338.0</v>
      </c>
      <c r="B114" s="6" t="s">
        <v>201</v>
      </c>
      <c r="C114" s="6" t="s">
        <v>34</v>
      </c>
      <c r="D114" s="6" t="str">
        <f>IF(NOT(ISBLANK(C114)), VLOOKUP(C114,'Dataset Descriptions'!$A$2:$B$10, 2, FALSE), "")</f>
        <v>Bills before the legislature, and the legislators that comprise it.</v>
      </c>
      <c r="E114" s="6" t="s">
        <v>25</v>
      </c>
      <c r="F114" s="6" t="s">
        <v>25</v>
      </c>
      <c r="G114" s="6" t="s">
        <v>25</v>
      </c>
      <c r="H114" s="6" t="s">
        <v>25</v>
      </c>
      <c r="I114" s="6" t="s">
        <v>25</v>
      </c>
      <c r="J114" s="6" t="s">
        <v>23</v>
      </c>
      <c r="K114" s="6" t="s">
        <v>23</v>
      </c>
      <c r="L114" s="6" t="s">
        <v>25</v>
      </c>
      <c r="M114" s="6" t="s">
        <v>25</v>
      </c>
      <c r="N114" s="6" t="s">
        <v>23</v>
      </c>
      <c r="O114" s="6" t="s">
        <v>23</v>
      </c>
      <c r="P114" s="6" t="s">
        <v>25</v>
      </c>
      <c r="Q114" s="15" t="s">
        <v>208</v>
      </c>
      <c r="R114" s="11"/>
      <c r="S114" s="6">
        <f>IF(NOT(ISBLANK(E114)), ROUND(((IF(E114="yes",1,0)*'Grading Scale'!E$2)+(IF(F114="yes",1,0)*'Grading Scale'!E$3)+(IF(G114="yes",1,0)*'Grading Scale'!E$4)+(IF(H114="yes",1,0)*'Grading Scale'!E$5)+(IF(I114="yes",1,0)*'Grading Scale'!E$6)+(IF(J114="yes",1,0)*'Grading Scale'!E$7)+(IF(K114="yes",1,0)*'Grading Scale'!E$8)+(IF(L114="yes",1,0)*'Grading Scale'!E$9)+(IF(M114="yes",1,0)*'Grading Scale'!E$10)+(IF(N114="yes",1,0)*'Grading Scale'!E$11)+(IF(O114="yes",1,0)*'Grading Scale'!E$12)+(IF(P114="yes",1,0)*'Grading Scale'!E$13))/'Grading Scale'!E$14*100,0), "")</f>
        <v>45</v>
      </c>
      <c r="T114" s="6" t="str">
        <f>IF(ISNUMBER(S114),VLOOKUP(S114,'Grading Scale'!$A$2:$B$14, 2), "")</f>
        <v>F</v>
      </c>
      <c r="U114" s="7"/>
      <c r="V114" s="7"/>
      <c r="W114" s="7"/>
      <c r="X114" s="7"/>
      <c r="Y114" s="7"/>
      <c r="Z114" s="7"/>
      <c r="AA114" s="7"/>
      <c r="AB114" s="7"/>
      <c r="AC114" s="7"/>
      <c r="AD114" s="7"/>
      <c r="AE114" s="7"/>
      <c r="AF114" s="7"/>
      <c r="AG114" s="7"/>
      <c r="AH114" s="7"/>
      <c r="AI114" s="7"/>
      <c r="AJ114" s="7"/>
    </row>
    <row r="115">
      <c r="A115" s="10">
        <v>42338.0</v>
      </c>
      <c r="B115" s="6" t="s">
        <v>201</v>
      </c>
      <c r="C115" s="6" t="s">
        <v>37</v>
      </c>
      <c r="D115" s="6" t="str">
        <f>IF(NOT(ISBLANK(C115)), VLOOKUP(C115,'Dataset Descriptions'!$A$2:$B$10, 2, FALSE), "")</f>
        <v>Forecasts of municipal-level changes in population over coming years.</v>
      </c>
      <c r="E115" s="6" t="s">
        <v>25</v>
      </c>
      <c r="F115" s="6" t="s">
        <v>25</v>
      </c>
      <c r="G115" s="6" t="s">
        <v>25</v>
      </c>
      <c r="H115" s="6" t="s">
        <v>25</v>
      </c>
      <c r="I115" s="6" t="s">
        <v>25</v>
      </c>
      <c r="J115" s="6" t="s">
        <v>25</v>
      </c>
      <c r="K115" s="6" t="s">
        <v>25</v>
      </c>
      <c r="L115" s="6" t="s">
        <v>25</v>
      </c>
      <c r="M115" s="6" t="s">
        <v>23</v>
      </c>
      <c r="N115" s="6" t="s">
        <v>23</v>
      </c>
      <c r="O115" s="6" t="s">
        <v>23</v>
      </c>
      <c r="P115" s="6" t="s">
        <v>23</v>
      </c>
      <c r="Q115" s="15" t="s">
        <v>209</v>
      </c>
      <c r="R115" s="14" t="s">
        <v>210</v>
      </c>
      <c r="S115" s="6">
        <f>IF(NOT(ISBLANK(E115)), ROUND(((IF(E115="yes",1,0)*'Grading Scale'!E$2)+(IF(F115="yes",1,0)*'Grading Scale'!E$3)+(IF(G115="yes",1,0)*'Grading Scale'!E$4)+(IF(H115="yes",1,0)*'Grading Scale'!E$5)+(IF(I115="yes",1,0)*'Grading Scale'!E$6)+(IF(J115="yes",1,0)*'Grading Scale'!E$7)+(IF(K115="yes",1,0)*'Grading Scale'!E$8)+(IF(L115="yes",1,0)*'Grading Scale'!E$9)+(IF(M115="yes",1,0)*'Grading Scale'!E$10)+(IF(N115="yes",1,0)*'Grading Scale'!E$11)+(IF(O115="yes",1,0)*'Grading Scale'!E$12)+(IF(P115="yes",1,0)*'Grading Scale'!E$13))/'Grading Scale'!E$14*100,0), "")</f>
        <v>80</v>
      </c>
      <c r="T115" s="6" t="str">
        <f>IF(ISNUMBER(S115),VLOOKUP(S115,'Grading Scale'!$A$2:$B$14, 2), "")</f>
        <v>B−</v>
      </c>
      <c r="U115" s="7"/>
      <c r="V115" s="7"/>
      <c r="W115" s="7"/>
      <c r="X115" s="7"/>
      <c r="Y115" s="7"/>
      <c r="Z115" s="7"/>
      <c r="AA115" s="7"/>
      <c r="AB115" s="7"/>
      <c r="AC115" s="7"/>
      <c r="AD115" s="7"/>
      <c r="AE115" s="7"/>
      <c r="AF115" s="7"/>
      <c r="AG115" s="7"/>
      <c r="AH115" s="7"/>
      <c r="AI115" s="7"/>
      <c r="AJ115" s="7"/>
    </row>
    <row r="116">
      <c r="A116" s="10">
        <v>42338.0</v>
      </c>
      <c r="B116" s="6" t="s">
        <v>201</v>
      </c>
      <c r="C116" s="6" t="s">
        <v>40</v>
      </c>
      <c r="D116" s="6" t="str">
        <f>IF(NOT(ISBLANK(C116)), VLOOKUP(C116,'Dataset Descriptions'!$A$2:$B$10, 2, FALSE), "")</f>
        <v>State-owned land and buildings.</v>
      </c>
      <c r="E116" s="6" t="s">
        <v>23</v>
      </c>
      <c r="F116" s="6" t="s">
        <v>23</v>
      </c>
      <c r="G116" s="6" t="s">
        <v>23</v>
      </c>
      <c r="H116" s="6" t="s">
        <v>23</v>
      </c>
      <c r="I116" s="6" t="s">
        <v>23</v>
      </c>
      <c r="J116" s="6" t="s">
        <v>23</v>
      </c>
      <c r="K116" s="6" t="s">
        <v>23</v>
      </c>
      <c r="L116" s="6" t="s">
        <v>23</v>
      </c>
      <c r="M116" s="6" t="s">
        <v>23</v>
      </c>
      <c r="N116" s="6" t="s">
        <v>23</v>
      </c>
      <c r="O116" s="6" t="s">
        <v>23</v>
      </c>
      <c r="P116" s="6" t="s">
        <v>23</v>
      </c>
      <c r="Q116" s="8"/>
      <c r="R116" s="11"/>
      <c r="S116" s="6">
        <f>IF(NOT(ISBLANK(E116)), ROUND(((IF(E116="yes",1,0)*'Grading Scale'!E$2)+(IF(F116="yes",1,0)*'Grading Scale'!E$3)+(IF(G116="yes",1,0)*'Grading Scale'!E$4)+(IF(H116="yes",1,0)*'Grading Scale'!E$5)+(IF(I116="yes",1,0)*'Grading Scale'!E$6)+(IF(J116="yes",1,0)*'Grading Scale'!E$7)+(IF(K116="yes",1,0)*'Grading Scale'!E$8)+(IF(L116="yes",1,0)*'Grading Scale'!E$9)+(IF(M116="yes",1,0)*'Grading Scale'!E$10)+(IF(N116="yes",1,0)*'Grading Scale'!E$11)+(IF(O116="yes",1,0)*'Grading Scale'!E$12)+(IF(P116="yes",1,0)*'Grading Scale'!E$13))/'Grading Scale'!E$14*100,0), "")</f>
        <v>0</v>
      </c>
      <c r="T116" s="6" t="str">
        <f>IF(ISNUMBER(S116),VLOOKUP(S116,'Grading Scale'!$A$2:$B$14, 2), "")</f>
        <v>F</v>
      </c>
      <c r="U116" s="7"/>
      <c r="V116" s="7"/>
      <c r="W116" s="7"/>
      <c r="X116" s="7"/>
      <c r="Y116" s="7"/>
      <c r="Z116" s="7"/>
      <c r="AA116" s="7"/>
      <c r="AB116" s="7"/>
      <c r="AC116" s="7"/>
      <c r="AD116" s="7"/>
      <c r="AE116" s="7"/>
      <c r="AF116" s="7"/>
      <c r="AG116" s="7"/>
      <c r="AH116" s="7"/>
      <c r="AI116" s="7"/>
      <c r="AJ116" s="7"/>
    </row>
    <row r="117">
      <c r="A117" s="10">
        <v>42338.0</v>
      </c>
      <c r="B117" s="6" t="s">
        <v>201</v>
      </c>
      <c r="C117" s="6" t="s">
        <v>43</v>
      </c>
      <c r="D117" s="6" t="str">
        <f>IF(NOT(ISBLANK(C117)), VLOOKUP(C117,'Dataset Descriptions'!$A$2:$B$10, 2, FALSE), "")</f>
        <v>Health inspections of establishments that serve food to the public.</v>
      </c>
      <c r="E117" s="6" t="s">
        <v>23</v>
      </c>
      <c r="F117" s="6" t="s">
        <v>23</v>
      </c>
      <c r="G117" s="6" t="s">
        <v>23</v>
      </c>
      <c r="H117" s="6" t="s">
        <v>23</v>
      </c>
      <c r="I117" s="6" t="s">
        <v>23</v>
      </c>
      <c r="J117" s="6" t="s">
        <v>23</v>
      </c>
      <c r="K117" s="6" t="s">
        <v>23</v>
      </c>
      <c r="L117" s="6" t="s">
        <v>23</v>
      </c>
      <c r="M117" s="6" t="s">
        <v>23</v>
      </c>
      <c r="N117" s="6" t="s">
        <v>23</v>
      </c>
      <c r="O117" s="6" t="s">
        <v>23</v>
      </c>
      <c r="P117" s="6" t="s">
        <v>23</v>
      </c>
      <c r="Q117" s="8"/>
      <c r="R117" s="11"/>
      <c r="S117" s="6">
        <f>IF(NOT(ISBLANK(E117)), ROUND(((IF(E117="yes",1,0)*'Grading Scale'!E$2)+(IF(F117="yes",1,0)*'Grading Scale'!E$3)+(IF(G117="yes",1,0)*'Grading Scale'!E$4)+(IF(H117="yes",1,0)*'Grading Scale'!E$5)+(IF(I117="yes",1,0)*'Grading Scale'!E$6)+(IF(J117="yes",1,0)*'Grading Scale'!E$7)+(IF(K117="yes",1,0)*'Grading Scale'!E$8)+(IF(L117="yes",1,0)*'Grading Scale'!E$9)+(IF(M117="yes",1,0)*'Grading Scale'!E$10)+(IF(N117="yes",1,0)*'Grading Scale'!E$11)+(IF(O117="yes",1,0)*'Grading Scale'!E$12)+(IF(P117="yes",1,0)*'Grading Scale'!E$13))/'Grading Scale'!E$14*100,0), "")</f>
        <v>0</v>
      </c>
      <c r="T117" s="6" t="str">
        <f>IF(ISNUMBER(S117),VLOOKUP(S117,'Grading Scale'!$A$2:$B$14, 2), "")</f>
        <v>F</v>
      </c>
      <c r="U117" s="7"/>
      <c r="V117" s="7"/>
      <c r="W117" s="7"/>
      <c r="X117" s="7"/>
      <c r="Y117" s="7"/>
      <c r="Z117" s="7"/>
      <c r="AA117" s="7"/>
      <c r="AB117" s="7"/>
      <c r="AC117" s="7"/>
      <c r="AD117" s="7"/>
      <c r="AE117" s="7"/>
      <c r="AF117" s="7"/>
      <c r="AG117" s="7"/>
      <c r="AH117" s="7"/>
      <c r="AI117" s="7"/>
      <c r="AJ117" s="7"/>
    </row>
    <row r="118">
      <c r="A118" s="10">
        <v>42338.0</v>
      </c>
      <c r="B118" s="6" t="s">
        <v>201</v>
      </c>
      <c r="C118" s="6" t="s">
        <v>46</v>
      </c>
      <c r="D118" s="6" t="str">
        <f>IF(NOT(ISBLANK(C118)), VLOOKUP(C118,'Dataset Descriptions'!$A$2:$B$10, 2, FALSE), "")</f>
        <v>Incident-level reportable motor vehicle crash records.</v>
      </c>
      <c r="E118" s="6" t="s">
        <v>25</v>
      </c>
      <c r="F118" s="6" t="s">
        <v>25</v>
      </c>
      <c r="G118" s="6" t="s">
        <v>25</v>
      </c>
      <c r="H118" s="6" t="s">
        <v>25</v>
      </c>
      <c r="I118" s="6" t="s">
        <v>25</v>
      </c>
      <c r="J118" s="6" t="s">
        <v>23</v>
      </c>
      <c r="K118" s="6" t="s">
        <v>23</v>
      </c>
      <c r="L118" s="6" t="s">
        <v>23</v>
      </c>
      <c r="M118" s="6" t="s">
        <v>25</v>
      </c>
      <c r="N118" s="6" t="s">
        <v>23</v>
      </c>
      <c r="O118" s="6" t="s">
        <v>23</v>
      </c>
      <c r="P118" s="6" t="s">
        <v>23</v>
      </c>
      <c r="Q118" s="15" t="s">
        <v>211</v>
      </c>
      <c r="R118" s="14" t="s">
        <v>212</v>
      </c>
      <c r="S118" s="6">
        <f>IF(NOT(ISBLANK(E118)), ROUND(((IF(E118="yes",1,0)*'Grading Scale'!E$2)+(IF(F118="yes",1,0)*'Grading Scale'!E$3)+(IF(G118="yes",1,0)*'Grading Scale'!E$4)+(IF(H118="yes",1,0)*'Grading Scale'!E$5)+(IF(I118="yes",1,0)*'Grading Scale'!E$6)+(IF(J118="yes",1,0)*'Grading Scale'!E$7)+(IF(K118="yes",1,0)*'Grading Scale'!E$8)+(IF(L118="yes",1,0)*'Grading Scale'!E$9)+(IF(M118="yes",1,0)*'Grading Scale'!E$10)+(IF(N118="yes",1,0)*'Grading Scale'!E$11)+(IF(O118="yes",1,0)*'Grading Scale'!E$12)+(IF(P118="yes",1,0)*'Grading Scale'!E$13))/'Grading Scale'!E$14*100,0), "")</f>
        <v>35</v>
      </c>
      <c r="T118" s="6" t="str">
        <f>IF(ISNUMBER(S118),VLOOKUP(S118,'Grading Scale'!$A$2:$B$14, 2), "")</f>
        <v>F</v>
      </c>
      <c r="U118" s="7"/>
      <c r="V118" s="7"/>
      <c r="W118" s="7"/>
      <c r="X118" s="7"/>
      <c r="Y118" s="7"/>
      <c r="Z118" s="7"/>
      <c r="AA118" s="7"/>
      <c r="AB118" s="7"/>
      <c r="AC118" s="7"/>
      <c r="AD118" s="7"/>
      <c r="AE118" s="7"/>
      <c r="AF118" s="7"/>
      <c r="AG118" s="7"/>
      <c r="AH118" s="7"/>
      <c r="AI118" s="7"/>
      <c r="AJ118" s="7"/>
    </row>
    <row r="119">
      <c r="A119" s="10">
        <v>42338.0</v>
      </c>
      <c r="B119" s="5" t="s">
        <v>213</v>
      </c>
      <c r="C119" s="5" t="s">
        <v>21</v>
      </c>
      <c r="D119" s="6" t="str">
        <f>IF(NOT(ISBLANK(C119)), VLOOKUP(C119,'Dataset Descriptions'!$A$2:$B$10, 2, FALSE), "")</f>
        <v>The geographic coordinates for physical addresses.</v>
      </c>
      <c r="E119" s="5" t="s">
        <v>25</v>
      </c>
      <c r="F119" s="5" t="s">
        <v>25</v>
      </c>
      <c r="G119" s="5" t="s">
        <v>25</v>
      </c>
      <c r="H119" s="5" t="s">
        <v>25</v>
      </c>
      <c r="I119" s="5" t="s">
        <v>25</v>
      </c>
      <c r="J119" s="5" t="s">
        <v>25</v>
      </c>
      <c r="K119" s="5" t="s">
        <v>25</v>
      </c>
      <c r="L119" s="5" t="s">
        <v>25</v>
      </c>
      <c r="M119" s="5" t="s">
        <v>25</v>
      </c>
      <c r="N119" s="5" t="s">
        <v>23</v>
      </c>
      <c r="O119" s="5" t="s">
        <v>23</v>
      </c>
      <c r="P119" s="5" t="s">
        <v>25</v>
      </c>
      <c r="Q119" s="9" t="s">
        <v>214</v>
      </c>
      <c r="R119" s="6" t="s">
        <v>215</v>
      </c>
      <c r="S119" s="6">
        <f>IF(NOT(ISBLANK(E119)), ROUND(((IF(E119="yes",1,0)*'Grading Scale'!E$2)+(IF(F119="yes",1,0)*'Grading Scale'!E$3)+(IF(G119="yes",1,0)*'Grading Scale'!E$4)+(IF(H119="yes",1,0)*'Grading Scale'!E$5)+(IF(I119="yes",1,0)*'Grading Scale'!E$6)+(IF(J119="yes",1,0)*'Grading Scale'!E$7)+(IF(K119="yes",1,0)*'Grading Scale'!E$8)+(IF(L119="yes",1,0)*'Grading Scale'!E$9)+(IF(M119="yes",1,0)*'Grading Scale'!E$10)+(IF(N119="yes",1,0)*'Grading Scale'!E$11)+(IF(O119="yes",1,0)*'Grading Scale'!E$12)+(IF(P119="yes",1,0)*'Grading Scale'!E$13))/'Grading Scale'!E$14*100,0), "")</f>
        <v>90</v>
      </c>
      <c r="T119" s="6" t="str">
        <f>IF(ISNUMBER(S119),VLOOKUP(S119,'Grading Scale'!$A$2:$B$14, 2), "")</f>
        <v>A−</v>
      </c>
      <c r="U119" s="7"/>
      <c r="V119" s="7"/>
      <c r="W119" s="7"/>
      <c r="X119" s="7"/>
      <c r="Y119" s="7"/>
      <c r="Z119" s="7"/>
      <c r="AA119" s="7"/>
      <c r="AB119" s="7"/>
      <c r="AC119" s="7"/>
      <c r="AD119" s="7"/>
      <c r="AE119" s="7"/>
      <c r="AF119" s="7"/>
      <c r="AG119" s="7"/>
      <c r="AH119" s="7"/>
      <c r="AI119" s="7"/>
      <c r="AJ119" s="7"/>
    </row>
    <row r="120" ht="17.25" customHeight="1">
      <c r="A120" s="10">
        <v>42338.0</v>
      </c>
      <c r="B120" s="5" t="s">
        <v>213</v>
      </c>
      <c r="C120" s="5" t="s">
        <v>24</v>
      </c>
      <c r="D120" s="6" t="str">
        <f>IF(NOT(ISBLANK(C120)), VLOOKUP(C120,'Dataset Descriptions'!$A$2:$B$10, 2, FALSE), "")</f>
        <v>Transaction-level, per-agency spending records.</v>
      </c>
      <c r="E120" s="5" t="s">
        <v>25</v>
      </c>
      <c r="F120" s="5" t="s">
        <v>25</v>
      </c>
      <c r="G120" s="5" t="s">
        <v>25</v>
      </c>
      <c r="H120" s="5" t="s">
        <v>25</v>
      </c>
      <c r="I120" s="5" t="s">
        <v>25</v>
      </c>
      <c r="J120" s="5" t="s">
        <v>25</v>
      </c>
      <c r="K120" s="5" t="s">
        <v>25</v>
      </c>
      <c r="L120" s="5" t="s">
        <v>23</v>
      </c>
      <c r="M120" s="5" t="s">
        <v>25</v>
      </c>
      <c r="N120" s="5" t="s">
        <v>23</v>
      </c>
      <c r="O120" s="5" t="s">
        <v>23</v>
      </c>
      <c r="P120" s="5" t="s">
        <v>23</v>
      </c>
      <c r="Q120" s="9" t="s">
        <v>216</v>
      </c>
      <c r="R120" s="6" t="s">
        <v>217</v>
      </c>
      <c r="S120" s="6">
        <f>IF(NOT(ISBLANK(E120)), ROUND(((IF(E120="yes",1,0)*'Grading Scale'!E$2)+(IF(F120="yes",1,0)*'Grading Scale'!E$3)+(IF(G120="yes",1,0)*'Grading Scale'!E$4)+(IF(H120="yes",1,0)*'Grading Scale'!E$5)+(IF(I120="yes",1,0)*'Grading Scale'!E$6)+(IF(J120="yes",1,0)*'Grading Scale'!E$7)+(IF(K120="yes",1,0)*'Grading Scale'!E$8)+(IF(L120="yes",1,0)*'Grading Scale'!E$9)+(IF(M120="yes",1,0)*'Grading Scale'!E$10)+(IF(N120="yes",1,0)*'Grading Scale'!E$11)+(IF(O120="yes",1,0)*'Grading Scale'!E$12)+(IF(P120="yes",1,0)*'Grading Scale'!E$13))/'Grading Scale'!E$14*100,0), "")</f>
        <v>80</v>
      </c>
      <c r="T120" s="6" t="str">
        <f>IF(ISNUMBER(S120),VLOOKUP(S120,'Grading Scale'!$A$2:$B$14, 2), "")</f>
        <v>B−</v>
      </c>
      <c r="U120" s="7"/>
      <c r="V120" s="7"/>
      <c r="W120" s="7"/>
      <c r="X120" s="7"/>
      <c r="Y120" s="7"/>
      <c r="Z120" s="7"/>
      <c r="AA120" s="7"/>
      <c r="AB120" s="7"/>
      <c r="AC120" s="7"/>
      <c r="AD120" s="7"/>
      <c r="AE120" s="7"/>
      <c r="AF120" s="7"/>
      <c r="AG120" s="7"/>
      <c r="AH120" s="7"/>
      <c r="AI120" s="7"/>
      <c r="AJ120" s="7"/>
    </row>
    <row r="121">
      <c r="A121" s="10">
        <v>42338.0</v>
      </c>
      <c r="B121" s="5" t="s">
        <v>213</v>
      </c>
      <c r="C121" s="5" t="s">
        <v>28</v>
      </c>
      <c r="D121" s="6" t="str">
        <f>IF(NOT(ISBLANK(C121)), VLOOKUP(C121,'Dataset Descriptions'!$A$2:$B$10, 2, FALSE), "")</f>
        <v>The register of all corporations that exist in the state.</v>
      </c>
      <c r="E121" s="5" t="s">
        <v>25</v>
      </c>
      <c r="F121" s="5" t="s">
        <v>25</v>
      </c>
      <c r="G121" s="5" t="s">
        <v>25</v>
      </c>
      <c r="H121" s="5" t="s">
        <v>23</v>
      </c>
      <c r="I121" s="5" t="s">
        <v>25</v>
      </c>
      <c r="J121" s="5" t="s">
        <v>25</v>
      </c>
      <c r="K121" s="5" t="s">
        <v>25</v>
      </c>
      <c r="L121" s="5" t="s">
        <v>25</v>
      </c>
      <c r="M121" s="5" t="s">
        <v>25</v>
      </c>
      <c r="N121" s="5" t="s">
        <v>23</v>
      </c>
      <c r="O121" s="5" t="s">
        <v>23</v>
      </c>
      <c r="P121" s="5" t="s">
        <v>25</v>
      </c>
      <c r="Q121" s="9" t="s">
        <v>218</v>
      </c>
      <c r="R121" s="6" t="s">
        <v>219</v>
      </c>
      <c r="S121" s="6">
        <f>IF(NOT(ISBLANK(E121)), ROUND(((IF(E121="yes",1,0)*'Grading Scale'!E$2)+(IF(F121="yes",1,0)*'Grading Scale'!E$3)+(IF(G121="yes",1,0)*'Grading Scale'!E$4)+(IF(H121="yes",1,0)*'Grading Scale'!E$5)+(IF(I121="yes",1,0)*'Grading Scale'!E$6)+(IF(J121="yes",1,0)*'Grading Scale'!E$7)+(IF(K121="yes",1,0)*'Grading Scale'!E$8)+(IF(L121="yes",1,0)*'Grading Scale'!E$9)+(IF(M121="yes",1,0)*'Grading Scale'!E$10)+(IF(N121="yes",1,0)*'Grading Scale'!E$11)+(IF(O121="yes",1,0)*'Grading Scale'!E$12)+(IF(P121="yes",1,0)*'Grading Scale'!E$13))/'Grading Scale'!E$14*100,0), "")</f>
        <v>75</v>
      </c>
      <c r="T121" s="6" t="str">
        <f>IF(ISNUMBER(S121),VLOOKUP(S121,'Grading Scale'!$A$2:$B$14, 2), "")</f>
        <v>C</v>
      </c>
      <c r="U121" s="7"/>
      <c r="V121" s="7"/>
      <c r="W121" s="7"/>
      <c r="X121" s="7"/>
      <c r="Y121" s="7"/>
      <c r="Z121" s="7"/>
      <c r="AA121" s="7"/>
      <c r="AB121" s="7"/>
      <c r="AC121" s="7"/>
      <c r="AD121" s="7"/>
      <c r="AE121" s="7"/>
      <c r="AF121" s="7"/>
      <c r="AG121" s="7"/>
      <c r="AH121" s="7"/>
      <c r="AI121" s="7"/>
      <c r="AJ121" s="7"/>
    </row>
    <row r="122">
      <c r="A122" s="10">
        <v>42338.0</v>
      </c>
      <c r="B122" s="5" t="s">
        <v>213</v>
      </c>
      <c r="C122" s="5" t="s">
        <v>31</v>
      </c>
      <c r="D122" s="6" t="str">
        <f>IF(NOT(ISBLANK(C122)), VLOOKUP(C122,'Dataset Descriptions'!$A$2:$B$10, 2, FALSE), "")</f>
        <v>Per-facility inmate population records.</v>
      </c>
      <c r="E122" s="5" t="s">
        <v>25</v>
      </c>
      <c r="F122" s="5" t="s">
        <v>25</v>
      </c>
      <c r="G122" s="5" t="s">
        <v>25</v>
      </c>
      <c r="H122" s="5" t="s">
        <v>25</v>
      </c>
      <c r="I122" s="5" t="s">
        <v>25</v>
      </c>
      <c r="J122" s="5" t="s">
        <v>23</v>
      </c>
      <c r="K122" s="5" t="s">
        <v>23</v>
      </c>
      <c r="L122" s="5" t="s">
        <v>25</v>
      </c>
      <c r="M122" s="5" t="s">
        <v>25</v>
      </c>
      <c r="N122" s="5" t="s">
        <v>23</v>
      </c>
      <c r="O122" s="5" t="s">
        <v>23</v>
      </c>
      <c r="P122" s="5" t="s">
        <v>23</v>
      </c>
      <c r="Q122" s="9" t="s">
        <v>220</v>
      </c>
      <c r="R122" s="6" t="s">
        <v>221</v>
      </c>
      <c r="S122" s="6">
        <f>IF(NOT(ISBLANK(E122)), ROUND(((IF(E122="yes",1,0)*'Grading Scale'!E$2)+(IF(F122="yes",1,0)*'Grading Scale'!E$3)+(IF(G122="yes",1,0)*'Grading Scale'!E$4)+(IF(H122="yes",1,0)*'Grading Scale'!E$5)+(IF(I122="yes",1,0)*'Grading Scale'!E$6)+(IF(J122="yes",1,0)*'Grading Scale'!E$7)+(IF(K122="yes",1,0)*'Grading Scale'!E$8)+(IF(L122="yes",1,0)*'Grading Scale'!E$9)+(IF(M122="yes",1,0)*'Grading Scale'!E$10)+(IF(N122="yes",1,0)*'Grading Scale'!E$11)+(IF(O122="yes",1,0)*'Grading Scale'!E$12)+(IF(P122="yes",1,0)*'Grading Scale'!E$13))/'Grading Scale'!E$14*100,0), "")</f>
        <v>40</v>
      </c>
      <c r="T122" s="6" t="str">
        <f>IF(ISNUMBER(S122),VLOOKUP(S122,'Grading Scale'!$A$2:$B$14, 2), "")</f>
        <v>F</v>
      </c>
      <c r="U122" s="7"/>
      <c r="V122" s="7"/>
      <c r="W122" s="7"/>
      <c r="X122" s="7"/>
      <c r="Y122" s="7"/>
      <c r="Z122" s="7"/>
      <c r="AA122" s="7"/>
      <c r="AB122" s="7"/>
      <c r="AC122" s="7"/>
      <c r="AD122" s="7"/>
      <c r="AE122" s="7"/>
      <c r="AF122" s="7"/>
      <c r="AG122" s="7"/>
      <c r="AH122" s="7"/>
      <c r="AI122" s="7"/>
      <c r="AJ122" s="7"/>
    </row>
    <row r="123">
      <c r="A123" s="10">
        <v>42338.0</v>
      </c>
      <c r="B123" s="5" t="s">
        <v>213</v>
      </c>
      <c r="C123" s="5" t="s">
        <v>34</v>
      </c>
      <c r="D123" s="6" t="str">
        <f>IF(NOT(ISBLANK(C123)), VLOOKUP(C123,'Dataset Descriptions'!$A$2:$B$10, 2, FALSE), "")</f>
        <v>Bills before the legislature, and the legislators that comprise it.</v>
      </c>
      <c r="E123" s="5" t="s">
        <v>25</v>
      </c>
      <c r="F123" s="5" t="s">
        <v>25</v>
      </c>
      <c r="G123" s="5" t="s">
        <v>25</v>
      </c>
      <c r="H123" s="5" t="s">
        <v>25</v>
      </c>
      <c r="I123" s="5" t="s">
        <v>25</v>
      </c>
      <c r="J123" s="5" t="s">
        <v>23</v>
      </c>
      <c r="K123" s="5" t="s">
        <v>23</v>
      </c>
      <c r="L123" s="5" t="s">
        <v>25</v>
      </c>
      <c r="M123" s="5" t="s">
        <v>25</v>
      </c>
      <c r="N123" s="5" t="s">
        <v>23</v>
      </c>
      <c r="O123" s="5" t="s">
        <v>25</v>
      </c>
      <c r="P123" s="5" t="s">
        <v>25</v>
      </c>
      <c r="Q123" s="9" t="s">
        <v>222</v>
      </c>
      <c r="R123" s="8"/>
      <c r="S123" s="6">
        <f>IF(NOT(ISBLANK(E123)), ROUND(((IF(E123="yes",1,0)*'Grading Scale'!E$2)+(IF(F123="yes",1,0)*'Grading Scale'!E$3)+(IF(G123="yes",1,0)*'Grading Scale'!E$4)+(IF(H123="yes",1,0)*'Grading Scale'!E$5)+(IF(I123="yes",1,0)*'Grading Scale'!E$6)+(IF(J123="yes",1,0)*'Grading Scale'!E$7)+(IF(K123="yes",1,0)*'Grading Scale'!E$8)+(IF(L123="yes",1,0)*'Grading Scale'!E$9)+(IF(M123="yes",1,0)*'Grading Scale'!E$10)+(IF(N123="yes",1,0)*'Grading Scale'!E$11)+(IF(O123="yes",1,0)*'Grading Scale'!E$12)+(IF(P123="yes",1,0)*'Grading Scale'!E$13))/'Grading Scale'!E$14*100,0), "")</f>
        <v>50</v>
      </c>
      <c r="T123" s="6" t="str">
        <f>IF(ISNUMBER(S123),VLOOKUP(S123,'Grading Scale'!$A$2:$B$14, 2), "")</f>
        <v>F</v>
      </c>
      <c r="U123" s="7"/>
      <c r="V123" s="7"/>
      <c r="W123" s="7"/>
      <c r="X123" s="7"/>
      <c r="Y123" s="7"/>
      <c r="Z123" s="7"/>
      <c r="AA123" s="7"/>
      <c r="AB123" s="7"/>
      <c r="AC123" s="7"/>
      <c r="AD123" s="7"/>
      <c r="AE123" s="7"/>
      <c r="AF123" s="7"/>
      <c r="AG123" s="7"/>
      <c r="AH123" s="7"/>
      <c r="AI123" s="7"/>
      <c r="AJ123" s="7"/>
    </row>
    <row r="124">
      <c r="A124" s="10">
        <v>42338.0</v>
      </c>
      <c r="B124" s="5" t="s">
        <v>213</v>
      </c>
      <c r="C124" s="6" t="s">
        <v>37</v>
      </c>
      <c r="D124" s="6" t="str">
        <f>IF(NOT(ISBLANK(C124)), VLOOKUP(C124,'Dataset Descriptions'!$A$2:$B$10, 2, FALSE), "")</f>
        <v>Forecasts of municipal-level changes in population over coming years.</v>
      </c>
      <c r="E124" s="5" t="s">
        <v>25</v>
      </c>
      <c r="F124" s="5" t="s">
        <v>25</v>
      </c>
      <c r="G124" s="5" t="s">
        <v>25</v>
      </c>
      <c r="H124" s="5" t="s">
        <v>25</v>
      </c>
      <c r="I124" s="5" t="s">
        <v>25</v>
      </c>
      <c r="J124" s="5" t="s">
        <v>25</v>
      </c>
      <c r="K124" s="5" t="s">
        <v>25</v>
      </c>
      <c r="L124" s="5" t="s">
        <v>25</v>
      </c>
      <c r="M124" s="5" t="s">
        <v>25</v>
      </c>
      <c r="N124" s="5" t="s">
        <v>23</v>
      </c>
      <c r="O124" s="5" t="s">
        <v>23</v>
      </c>
      <c r="P124" s="5" t="s">
        <v>25</v>
      </c>
      <c r="Q124" s="9" t="s">
        <v>223</v>
      </c>
      <c r="R124" s="6" t="s">
        <v>224</v>
      </c>
      <c r="S124" s="6">
        <f>IF(NOT(ISBLANK(E124)), ROUND(((IF(E124="yes",1,0)*'Grading Scale'!E$2)+(IF(F124="yes",1,0)*'Grading Scale'!E$3)+(IF(G124="yes",1,0)*'Grading Scale'!E$4)+(IF(H124="yes",1,0)*'Grading Scale'!E$5)+(IF(I124="yes",1,0)*'Grading Scale'!E$6)+(IF(J124="yes",1,0)*'Grading Scale'!E$7)+(IF(K124="yes",1,0)*'Grading Scale'!E$8)+(IF(L124="yes",1,0)*'Grading Scale'!E$9)+(IF(M124="yes",1,0)*'Grading Scale'!E$10)+(IF(N124="yes",1,0)*'Grading Scale'!E$11)+(IF(O124="yes",1,0)*'Grading Scale'!E$12)+(IF(P124="yes",1,0)*'Grading Scale'!E$13))/'Grading Scale'!E$14*100,0), "")</f>
        <v>90</v>
      </c>
      <c r="T124" s="6" t="str">
        <f>IF(ISNUMBER(S124),VLOOKUP(S124,'Grading Scale'!$A$2:$B$14, 2), "")</f>
        <v>A−</v>
      </c>
      <c r="U124" s="7"/>
      <c r="V124" s="7"/>
      <c r="W124" s="7"/>
      <c r="X124" s="7"/>
      <c r="Y124" s="7"/>
      <c r="Z124" s="7"/>
      <c r="AA124" s="7"/>
      <c r="AB124" s="7"/>
      <c r="AC124" s="7"/>
      <c r="AD124" s="7"/>
      <c r="AE124" s="7"/>
      <c r="AF124" s="7"/>
      <c r="AG124" s="7"/>
      <c r="AH124" s="7"/>
      <c r="AI124" s="7"/>
      <c r="AJ124" s="7"/>
    </row>
    <row r="125">
      <c r="A125" s="10">
        <v>42338.0</v>
      </c>
      <c r="B125" s="5" t="s">
        <v>213</v>
      </c>
      <c r="C125" s="5" t="s">
        <v>40</v>
      </c>
      <c r="D125" s="6" t="str">
        <f>IF(NOT(ISBLANK(C125)), VLOOKUP(C125,'Dataset Descriptions'!$A$2:$B$10, 2, FALSE), "")</f>
        <v>State-owned land and buildings.</v>
      </c>
      <c r="E125" s="5" t="s">
        <v>25</v>
      </c>
      <c r="F125" s="5" t="s">
        <v>25</v>
      </c>
      <c r="G125" s="5" t="s">
        <v>25</v>
      </c>
      <c r="H125" s="5" t="s">
        <v>25</v>
      </c>
      <c r="I125" s="5" t="s">
        <v>25</v>
      </c>
      <c r="J125" s="5" t="s">
        <v>23</v>
      </c>
      <c r="K125" s="5" t="s">
        <v>23</v>
      </c>
      <c r="L125" s="5" t="s">
        <v>23</v>
      </c>
      <c r="M125" s="5" t="s">
        <v>25</v>
      </c>
      <c r="N125" s="5" t="s">
        <v>23</v>
      </c>
      <c r="O125" s="5" t="s">
        <v>23</v>
      </c>
      <c r="P125" s="5" t="s">
        <v>23</v>
      </c>
      <c r="Q125" s="9" t="s">
        <v>225</v>
      </c>
      <c r="R125" s="6" t="s">
        <v>226</v>
      </c>
      <c r="S125" s="6">
        <f>IF(NOT(ISBLANK(E125)), ROUND(((IF(E125="yes",1,0)*'Grading Scale'!E$2)+(IF(F125="yes",1,0)*'Grading Scale'!E$3)+(IF(G125="yes",1,0)*'Grading Scale'!E$4)+(IF(H125="yes",1,0)*'Grading Scale'!E$5)+(IF(I125="yes",1,0)*'Grading Scale'!E$6)+(IF(J125="yes",1,0)*'Grading Scale'!E$7)+(IF(K125="yes",1,0)*'Grading Scale'!E$8)+(IF(L125="yes",1,0)*'Grading Scale'!E$9)+(IF(M125="yes",1,0)*'Grading Scale'!E$10)+(IF(N125="yes",1,0)*'Grading Scale'!E$11)+(IF(O125="yes",1,0)*'Grading Scale'!E$12)+(IF(P125="yes",1,0)*'Grading Scale'!E$13))/'Grading Scale'!E$14*100,0), "")</f>
        <v>35</v>
      </c>
      <c r="T125" s="6" t="str">
        <f>IF(ISNUMBER(S125),VLOOKUP(S125,'Grading Scale'!$A$2:$B$14, 2), "")</f>
        <v>F</v>
      </c>
      <c r="U125" s="7"/>
      <c r="V125" s="7"/>
      <c r="W125" s="7"/>
      <c r="X125" s="7"/>
      <c r="Y125" s="7"/>
      <c r="Z125" s="7"/>
      <c r="AA125" s="7"/>
      <c r="AB125" s="7"/>
      <c r="AC125" s="7"/>
      <c r="AD125" s="7"/>
      <c r="AE125" s="7"/>
      <c r="AF125" s="7"/>
      <c r="AG125" s="7"/>
      <c r="AH125" s="7"/>
      <c r="AI125" s="7"/>
      <c r="AJ125" s="7"/>
    </row>
    <row r="126">
      <c r="A126" s="10">
        <v>42338.0</v>
      </c>
      <c r="B126" s="5" t="s">
        <v>213</v>
      </c>
      <c r="C126" s="5" t="s">
        <v>43</v>
      </c>
      <c r="D126" s="6" t="str">
        <f>IF(NOT(ISBLANK(C126)), VLOOKUP(C126,'Dataset Descriptions'!$A$2:$B$10, 2, FALSE), "")</f>
        <v>Health inspections of establishments that serve food to the public.</v>
      </c>
      <c r="E126" s="5" t="s">
        <v>23</v>
      </c>
      <c r="F126" s="5" t="s">
        <v>23</v>
      </c>
      <c r="G126" s="5" t="s">
        <v>23</v>
      </c>
      <c r="H126" s="5" t="s">
        <v>23</v>
      </c>
      <c r="I126" s="5" t="s">
        <v>23</v>
      </c>
      <c r="J126" s="5" t="s">
        <v>23</v>
      </c>
      <c r="K126" s="5" t="s">
        <v>23</v>
      </c>
      <c r="L126" s="5" t="s">
        <v>23</v>
      </c>
      <c r="M126" s="5" t="s">
        <v>23</v>
      </c>
      <c r="N126" s="5" t="s">
        <v>23</v>
      </c>
      <c r="O126" s="5" t="s">
        <v>23</v>
      </c>
      <c r="P126" s="5" t="s">
        <v>23</v>
      </c>
      <c r="Q126" s="7"/>
      <c r="R126" s="6" t="s">
        <v>227</v>
      </c>
      <c r="S126" s="6">
        <f>IF(NOT(ISBLANK(E126)), ROUND(((IF(E126="yes",1,0)*'Grading Scale'!E$2)+(IF(F126="yes",1,0)*'Grading Scale'!E$3)+(IF(G126="yes",1,0)*'Grading Scale'!E$4)+(IF(H126="yes",1,0)*'Grading Scale'!E$5)+(IF(I126="yes",1,0)*'Grading Scale'!E$6)+(IF(J126="yes",1,0)*'Grading Scale'!E$7)+(IF(K126="yes",1,0)*'Grading Scale'!E$8)+(IF(L126="yes",1,0)*'Grading Scale'!E$9)+(IF(M126="yes",1,0)*'Grading Scale'!E$10)+(IF(N126="yes",1,0)*'Grading Scale'!E$11)+(IF(O126="yes",1,0)*'Grading Scale'!E$12)+(IF(P126="yes",1,0)*'Grading Scale'!E$13))/'Grading Scale'!E$14*100,0), "")</f>
        <v>0</v>
      </c>
      <c r="T126" s="6" t="str">
        <f>IF(ISNUMBER(S126),VLOOKUP(S126,'Grading Scale'!$A$2:$B$14, 2), "")</f>
        <v>F</v>
      </c>
      <c r="U126" s="7"/>
      <c r="V126" s="7"/>
      <c r="W126" s="7"/>
      <c r="X126" s="7"/>
      <c r="Y126" s="7"/>
      <c r="Z126" s="7"/>
      <c r="AA126" s="7"/>
      <c r="AB126" s="7"/>
      <c r="AC126" s="7"/>
      <c r="AD126" s="7"/>
      <c r="AE126" s="7"/>
      <c r="AF126" s="7"/>
      <c r="AG126" s="7"/>
      <c r="AH126" s="7"/>
      <c r="AI126" s="7"/>
      <c r="AJ126" s="7"/>
    </row>
    <row r="127">
      <c r="A127" s="10">
        <v>42338.0</v>
      </c>
      <c r="B127" s="5" t="s">
        <v>213</v>
      </c>
      <c r="C127" s="17" t="s">
        <v>46</v>
      </c>
      <c r="D127" s="6" t="str">
        <f>IF(NOT(ISBLANK(C127)), VLOOKUP(C127,'Dataset Descriptions'!$A$2:$B$10, 2, FALSE), "")</f>
        <v>Incident-level reportable motor vehicle crash records.</v>
      </c>
      <c r="E127" s="19" t="s">
        <v>25</v>
      </c>
      <c r="F127" s="19" t="s">
        <v>25</v>
      </c>
      <c r="G127" s="19" t="s">
        <v>23</v>
      </c>
      <c r="H127" s="19" t="s">
        <v>25</v>
      </c>
      <c r="I127" s="19" t="s">
        <v>25</v>
      </c>
      <c r="J127" s="19" t="s">
        <v>22</v>
      </c>
      <c r="K127" s="19" t="s">
        <v>23</v>
      </c>
      <c r="L127" s="19" t="s">
        <v>25</v>
      </c>
      <c r="M127" s="19" t="s">
        <v>25</v>
      </c>
      <c r="N127" s="19" t="s">
        <v>23</v>
      </c>
      <c r="O127" s="19" t="s">
        <v>25</v>
      </c>
      <c r="P127" s="19" t="s">
        <v>22</v>
      </c>
      <c r="Q127" s="20" t="s">
        <v>228</v>
      </c>
      <c r="R127" s="21" t="s">
        <v>229</v>
      </c>
      <c r="S127" s="6">
        <f>IF(NOT(ISBLANK(E127)), ROUND(((IF(E127="yes",1,0)*'Grading Scale'!E$2)+(IF(F127="yes",1,0)*'Grading Scale'!E$3)+(IF(G127="yes",1,0)*'Grading Scale'!E$4)+(IF(H127="yes",1,0)*'Grading Scale'!E$5)+(IF(I127="yes",1,0)*'Grading Scale'!E$6)+(IF(J127="yes",1,0)*'Grading Scale'!E$7)+(IF(K127="yes",1,0)*'Grading Scale'!E$8)+(IF(L127="yes",1,0)*'Grading Scale'!E$9)+(IF(M127="yes",1,0)*'Grading Scale'!E$10)+(IF(N127="yes",1,0)*'Grading Scale'!E$11)+(IF(O127="yes",1,0)*'Grading Scale'!E$12)+(IF(P127="yes",1,0)*'Grading Scale'!E$13))/'Grading Scale'!E$14*100,0), "")</f>
        <v>40</v>
      </c>
      <c r="T127" s="6" t="str">
        <f>IF(ISNUMBER(S127),VLOOKUP(S127,'Grading Scale'!$A$2:$B$14, 2), "")</f>
        <v>F</v>
      </c>
      <c r="U127" s="7"/>
      <c r="V127" s="7"/>
      <c r="W127" s="7"/>
      <c r="X127" s="7"/>
      <c r="Y127" s="7"/>
      <c r="Z127" s="7"/>
      <c r="AA127" s="7"/>
      <c r="AB127" s="7"/>
      <c r="AC127" s="7"/>
      <c r="AD127" s="7"/>
      <c r="AE127" s="7"/>
      <c r="AF127" s="7"/>
      <c r="AG127" s="7"/>
      <c r="AH127" s="7"/>
      <c r="AI127" s="7"/>
      <c r="AJ127" s="7"/>
    </row>
    <row r="128">
      <c r="A128" s="10">
        <v>42362.0</v>
      </c>
      <c r="B128" s="5" t="s">
        <v>230</v>
      </c>
      <c r="C128" s="5" t="s">
        <v>21</v>
      </c>
      <c r="D128" s="6" t="str">
        <f>IF(NOT(ISBLANK(C128)), VLOOKUP(C128,'Dataset Descriptions'!$A$2:$B$10, 2, FALSE), "")</f>
        <v>The geographic coordinates for physical addresses.</v>
      </c>
      <c r="E128" s="5" t="s">
        <v>25</v>
      </c>
      <c r="F128" s="5" t="s">
        <v>25</v>
      </c>
      <c r="G128" s="5" t="s">
        <v>25</v>
      </c>
      <c r="H128" s="5" t="s">
        <v>25</v>
      </c>
      <c r="I128" s="5" t="s">
        <v>25</v>
      </c>
      <c r="J128" s="5" t="s">
        <v>25</v>
      </c>
      <c r="K128" s="5" t="s">
        <v>23</v>
      </c>
      <c r="L128" s="5" t="s">
        <v>25</v>
      </c>
      <c r="M128" s="5" t="s">
        <v>23</v>
      </c>
      <c r="N128" s="5" t="s">
        <v>23</v>
      </c>
      <c r="O128" s="5" t="s">
        <v>23</v>
      </c>
      <c r="P128" s="5" t="s">
        <v>23</v>
      </c>
      <c r="Q128" s="9" t="s">
        <v>231</v>
      </c>
      <c r="R128" s="6" t="s">
        <v>232</v>
      </c>
      <c r="S128" s="6">
        <f>IF(NOT(ISBLANK(E128)), ROUND(((IF(E128="yes",1,0)*'Grading Scale'!E$2)+(IF(F128="yes",1,0)*'Grading Scale'!E$3)+(IF(G128="yes",1,0)*'Grading Scale'!E$4)+(IF(H128="yes",1,0)*'Grading Scale'!E$5)+(IF(I128="yes",1,0)*'Grading Scale'!E$6)+(IF(J128="yes",1,0)*'Grading Scale'!E$7)+(IF(K128="yes",1,0)*'Grading Scale'!E$8)+(IF(L128="yes",1,0)*'Grading Scale'!E$9)+(IF(M128="yes",1,0)*'Grading Scale'!E$10)+(IF(N128="yes",1,0)*'Grading Scale'!E$11)+(IF(O128="yes",1,0)*'Grading Scale'!E$12)+(IF(P128="yes",1,0)*'Grading Scale'!E$13))/'Grading Scale'!E$14*100,0), "")</f>
        <v>75</v>
      </c>
      <c r="T128" s="6" t="str">
        <f>IF(ISNUMBER(S128),VLOOKUP(S128,'Grading Scale'!$A$2:$B$14, 2), "")</f>
        <v>C</v>
      </c>
      <c r="U128" s="7"/>
      <c r="V128" s="7"/>
      <c r="W128" s="7"/>
      <c r="X128" s="7"/>
      <c r="Y128" s="7"/>
      <c r="Z128" s="7"/>
      <c r="AA128" s="7"/>
      <c r="AB128" s="7"/>
      <c r="AC128" s="7"/>
      <c r="AD128" s="7"/>
      <c r="AE128" s="7"/>
      <c r="AF128" s="7"/>
      <c r="AG128" s="7"/>
      <c r="AH128" s="7"/>
      <c r="AI128" s="7"/>
      <c r="AJ128" s="7"/>
    </row>
    <row r="129">
      <c r="A129" s="10">
        <v>42360.0</v>
      </c>
      <c r="B129" s="5" t="s">
        <v>230</v>
      </c>
      <c r="C129" s="5" t="s">
        <v>24</v>
      </c>
      <c r="D129" s="6" t="str">
        <f>IF(NOT(ISBLANK(C129)), VLOOKUP(C129,'Dataset Descriptions'!$A$2:$B$10, 2, FALSE), "")</f>
        <v>Transaction-level, per-agency spending records.</v>
      </c>
      <c r="E129" s="5" t="s">
        <v>25</v>
      </c>
      <c r="F129" s="5" t="s">
        <v>25</v>
      </c>
      <c r="G129" s="5" t="s">
        <v>25</v>
      </c>
      <c r="H129" s="5" t="s">
        <v>25</v>
      </c>
      <c r="I129" s="5" t="s">
        <v>25</v>
      </c>
      <c r="J129" s="5" t="s">
        <v>25</v>
      </c>
      <c r="K129" s="5" t="s">
        <v>25</v>
      </c>
      <c r="L129" s="5" t="s">
        <v>25</v>
      </c>
      <c r="M129" s="5" t="s">
        <v>25</v>
      </c>
      <c r="N129" s="5" t="s">
        <v>23</v>
      </c>
      <c r="O129" s="5" t="s">
        <v>23</v>
      </c>
      <c r="P129" s="5" t="s">
        <v>25</v>
      </c>
      <c r="Q129" s="9" t="s">
        <v>233</v>
      </c>
      <c r="R129" s="6" t="s">
        <v>234</v>
      </c>
      <c r="S129" s="6">
        <f>IF(NOT(ISBLANK(E129)), ROUND(((IF(E129="yes",1,0)*'Grading Scale'!E$2)+(IF(F129="yes",1,0)*'Grading Scale'!E$3)+(IF(G129="yes",1,0)*'Grading Scale'!E$4)+(IF(H129="yes",1,0)*'Grading Scale'!E$5)+(IF(I129="yes",1,0)*'Grading Scale'!E$6)+(IF(J129="yes",1,0)*'Grading Scale'!E$7)+(IF(K129="yes",1,0)*'Grading Scale'!E$8)+(IF(L129="yes",1,0)*'Grading Scale'!E$9)+(IF(M129="yes",1,0)*'Grading Scale'!E$10)+(IF(N129="yes",1,0)*'Grading Scale'!E$11)+(IF(O129="yes",1,0)*'Grading Scale'!E$12)+(IF(P129="yes",1,0)*'Grading Scale'!E$13))/'Grading Scale'!E$14*100,0), "")</f>
        <v>90</v>
      </c>
      <c r="T129" s="6" t="str">
        <f>IF(ISNUMBER(S129),VLOOKUP(S129,'Grading Scale'!$A$2:$B$14, 2), "")</f>
        <v>A−</v>
      </c>
      <c r="U129" s="7"/>
      <c r="V129" s="7"/>
      <c r="W129" s="7"/>
      <c r="X129" s="7"/>
      <c r="Y129" s="7"/>
      <c r="Z129" s="7"/>
      <c r="AA129" s="7"/>
      <c r="AB129" s="7"/>
      <c r="AC129" s="7"/>
      <c r="AD129" s="7"/>
      <c r="AE129" s="7"/>
      <c r="AF129" s="7"/>
      <c r="AG129" s="7"/>
      <c r="AH129" s="7"/>
      <c r="AI129" s="7"/>
      <c r="AJ129" s="7"/>
    </row>
    <row r="130">
      <c r="A130" s="10">
        <v>42360.0</v>
      </c>
      <c r="B130" s="5" t="s">
        <v>230</v>
      </c>
      <c r="C130" s="5" t="s">
        <v>28</v>
      </c>
      <c r="D130" s="6" t="str">
        <f>IF(NOT(ISBLANK(C130)), VLOOKUP(C130,'Dataset Descriptions'!$A$2:$B$10, 2, FALSE), "")</f>
        <v>The register of all corporations that exist in the state.</v>
      </c>
      <c r="E130" s="5" t="s">
        <v>25</v>
      </c>
      <c r="F130" s="5" t="s">
        <v>25</v>
      </c>
      <c r="G130" s="5" t="s">
        <v>25</v>
      </c>
      <c r="H130" s="5" t="s">
        <v>25</v>
      </c>
      <c r="I130" s="5" t="s">
        <v>25</v>
      </c>
      <c r="J130" s="5" t="s">
        <v>25</v>
      </c>
      <c r="K130" s="5" t="s">
        <v>25</v>
      </c>
      <c r="L130" s="5" t="s">
        <v>25</v>
      </c>
      <c r="M130" s="5" t="s">
        <v>25</v>
      </c>
      <c r="N130" s="5" t="s">
        <v>25</v>
      </c>
      <c r="O130" s="5" t="s">
        <v>25</v>
      </c>
      <c r="P130" s="5" t="s">
        <v>23</v>
      </c>
      <c r="Q130" s="9" t="s">
        <v>235</v>
      </c>
      <c r="R130" s="6" t="s">
        <v>236</v>
      </c>
      <c r="S130" s="6">
        <f>IF(NOT(ISBLANK(E130)), ROUND(((IF(E130="yes",1,0)*'Grading Scale'!E$2)+(IF(F130="yes",1,0)*'Grading Scale'!E$3)+(IF(G130="yes",1,0)*'Grading Scale'!E$4)+(IF(H130="yes",1,0)*'Grading Scale'!E$5)+(IF(I130="yes",1,0)*'Grading Scale'!E$6)+(IF(J130="yes",1,0)*'Grading Scale'!E$7)+(IF(K130="yes",1,0)*'Grading Scale'!E$8)+(IF(L130="yes",1,0)*'Grading Scale'!E$9)+(IF(M130="yes",1,0)*'Grading Scale'!E$10)+(IF(N130="yes",1,0)*'Grading Scale'!E$11)+(IF(O130="yes",1,0)*'Grading Scale'!E$12)+(IF(P130="yes",1,0)*'Grading Scale'!E$13))/'Grading Scale'!E$14*100,0), "")</f>
        <v>95</v>
      </c>
      <c r="T130" s="6" t="str">
        <f>IF(ISNUMBER(S130),VLOOKUP(S130,'Grading Scale'!$A$2:$B$14, 2), "")</f>
        <v>A</v>
      </c>
      <c r="U130" s="7"/>
      <c r="V130" s="7"/>
      <c r="W130" s="7"/>
      <c r="X130" s="7"/>
      <c r="Y130" s="7"/>
      <c r="Z130" s="7"/>
      <c r="AA130" s="7"/>
      <c r="AB130" s="7"/>
      <c r="AC130" s="7"/>
      <c r="AD130" s="7"/>
      <c r="AE130" s="7"/>
      <c r="AF130" s="7"/>
      <c r="AG130" s="7"/>
      <c r="AH130" s="7"/>
      <c r="AI130" s="7"/>
      <c r="AJ130" s="7"/>
    </row>
    <row r="131">
      <c r="A131" s="10">
        <v>42360.0</v>
      </c>
      <c r="B131" s="5" t="s">
        <v>230</v>
      </c>
      <c r="C131" s="5" t="s">
        <v>31</v>
      </c>
      <c r="D131" s="6" t="str">
        <f>IF(NOT(ISBLANK(C131)), VLOOKUP(C131,'Dataset Descriptions'!$A$2:$B$10, 2, FALSE), "")</f>
        <v>Per-facility inmate population records.</v>
      </c>
      <c r="E131" s="5" t="s">
        <v>25</v>
      </c>
      <c r="F131" s="5" t="s">
        <v>25</v>
      </c>
      <c r="G131" s="5" t="s">
        <v>25</v>
      </c>
      <c r="H131" s="5" t="s">
        <v>25</v>
      </c>
      <c r="I131" s="5" t="s">
        <v>25</v>
      </c>
      <c r="J131" s="5" t="s">
        <v>23</v>
      </c>
      <c r="K131" s="5" t="s">
        <v>23</v>
      </c>
      <c r="L131" s="5" t="s">
        <v>23</v>
      </c>
      <c r="M131" s="5" t="s">
        <v>25</v>
      </c>
      <c r="N131" s="5" t="s">
        <v>23</v>
      </c>
      <c r="O131" s="5" t="s">
        <v>23</v>
      </c>
      <c r="P131" s="5" t="s">
        <v>23</v>
      </c>
      <c r="Q131" s="9" t="s">
        <v>237</v>
      </c>
      <c r="R131" s="6" t="s">
        <v>238</v>
      </c>
      <c r="S131" s="6">
        <f>IF(NOT(ISBLANK(E131)), ROUND(((IF(E131="yes",1,0)*'Grading Scale'!E$2)+(IF(F131="yes",1,0)*'Grading Scale'!E$3)+(IF(G131="yes",1,0)*'Grading Scale'!E$4)+(IF(H131="yes",1,0)*'Grading Scale'!E$5)+(IF(I131="yes",1,0)*'Grading Scale'!E$6)+(IF(J131="yes",1,0)*'Grading Scale'!E$7)+(IF(K131="yes",1,0)*'Grading Scale'!E$8)+(IF(L131="yes",1,0)*'Grading Scale'!E$9)+(IF(M131="yes",1,0)*'Grading Scale'!E$10)+(IF(N131="yes",1,0)*'Grading Scale'!E$11)+(IF(O131="yes",1,0)*'Grading Scale'!E$12)+(IF(P131="yes",1,0)*'Grading Scale'!E$13))/'Grading Scale'!E$14*100,0), "")</f>
        <v>35</v>
      </c>
      <c r="T131" s="6" t="str">
        <f>IF(ISNUMBER(S131),VLOOKUP(S131,'Grading Scale'!$A$2:$B$14, 2), "")</f>
        <v>F</v>
      </c>
      <c r="U131" s="7"/>
      <c r="V131" s="7"/>
      <c r="W131" s="7"/>
      <c r="X131" s="7"/>
      <c r="Y131" s="7"/>
      <c r="Z131" s="7"/>
      <c r="AA131" s="7"/>
      <c r="AB131" s="7"/>
      <c r="AC131" s="7"/>
      <c r="AD131" s="7"/>
      <c r="AE131" s="7"/>
      <c r="AF131" s="7"/>
      <c r="AG131" s="7"/>
      <c r="AH131" s="7"/>
      <c r="AI131" s="7"/>
      <c r="AJ131" s="7"/>
    </row>
    <row r="132">
      <c r="A132" s="10">
        <v>42360.0</v>
      </c>
      <c r="B132" s="5" t="s">
        <v>230</v>
      </c>
      <c r="C132" s="5" t="s">
        <v>34</v>
      </c>
      <c r="D132" s="6" t="str">
        <f>IF(NOT(ISBLANK(C132)), VLOOKUP(C132,'Dataset Descriptions'!$A$2:$B$10, 2, FALSE), "")</f>
        <v>Bills before the legislature, and the legislators that comprise it.</v>
      </c>
      <c r="E132" s="5" t="s">
        <v>25</v>
      </c>
      <c r="F132" s="5" t="s">
        <v>25</v>
      </c>
      <c r="G132" s="5" t="s">
        <v>25</v>
      </c>
      <c r="H132" s="5" t="s">
        <v>25</v>
      </c>
      <c r="I132" s="5" t="s">
        <v>25</v>
      </c>
      <c r="J132" s="5" t="s">
        <v>23</v>
      </c>
      <c r="K132" s="5" t="s">
        <v>23</v>
      </c>
      <c r="L132" s="5" t="s">
        <v>25</v>
      </c>
      <c r="M132" s="5" t="s">
        <v>25</v>
      </c>
      <c r="N132" s="5" t="s">
        <v>23</v>
      </c>
      <c r="O132" s="5" t="s">
        <v>25</v>
      </c>
      <c r="P132" s="5" t="s">
        <v>25</v>
      </c>
      <c r="Q132" s="9" t="s">
        <v>239</v>
      </c>
      <c r="R132" s="6" t="s">
        <v>240</v>
      </c>
      <c r="S132" s="6">
        <f>IF(NOT(ISBLANK(E132)), ROUND(((IF(E132="yes",1,0)*'Grading Scale'!E$2)+(IF(F132="yes",1,0)*'Grading Scale'!E$3)+(IF(G132="yes",1,0)*'Grading Scale'!E$4)+(IF(H132="yes",1,0)*'Grading Scale'!E$5)+(IF(I132="yes",1,0)*'Grading Scale'!E$6)+(IF(J132="yes",1,0)*'Grading Scale'!E$7)+(IF(K132="yes",1,0)*'Grading Scale'!E$8)+(IF(L132="yes",1,0)*'Grading Scale'!E$9)+(IF(M132="yes",1,0)*'Grading Scale'!E$10)+(IF(N132="yes",1,0)*'Grading Scale'!E$11)+(IF(O132="yes",1,0)*'Grading Scale'!E$12)+(IF(P132="yes",1,0)*'Grading Scale'!E$13))/'Grading Scale'!E$14*100,0), "")</f>
        <v>50</v>
      </c>
      <c r="T132" s="6" t="str">
        <f>IF(ISNUMBER(S132),VLOOKUP(S132,'Grading Scale'!$A$2:$B$14, 2), "")</f>
        <v>F</v>
      </c>
      <c r="U132" s="7"/>
      <c r="V132" s="7"/>
      <c r="W132" s="7"/>
      <c r="X132" s="7"/>
      <c r="Y132" s="7"/>
      <c r="Z132" s="7"/>
      <c r="AA132" s="7"/>
      <c r="AB132" s="7"/>
      <c r="AC132" s="7"/>
      <c r="AD132" s="7"/>
      <c r="AE132" s="7"/>
      <c r="AF132" s="7"/>
      <c r="AG132" s="7"/>
      <c r="AH132" s="7"/>
      <c r="AI132" s="7"/>
      <c r="AJ132" s="7"/>
    </row>
    <row r="133">
      <c r="A133" s="10">
        <v>42360.0</v>
      </c>
      <c r="B133" s="5" t="s">
        <v>230</v>
      </c>
      <c r="C133" s="6" t="s">
        <v>37</v>
      </c>
      <c r="D133" s="6" t="str">
        <f>IF(NOT(ISBLANK(C133)), VLOOKUP(C133,'Dataset Descriptions'!$A$2:$B$10, 2, FALSE), "")</f>
        <v>Forecasts of municipal-level changes in population over coming years.</v>
      </c>
      <c r="E133" s="5" t="s">
        <v>25</v>
      </c>
      <c r="F133" s="5" t="s">
        <v>25</v>
      </c>
      <c r="G133" s="5" t="s">
        <v>25</v>
      </c>
      <c r="H133" s="5" t="s">
        <v>25</v>
      </c>
      <c r="I133" s="5" t="s">
        <v>25</v>
      </c>
      <c r="J133" s="5" t="s">
        <v>25</v>
      </c>
      <c r="K133" s="5" t="s">
        <v>25</v>
      </c>
      <c r="L133" s="5" t="s">
        <v>25</v>
      </c>
      <c r="M133" s="5" t="s">
        <v>23</v>
      </c>
      <c r="N133" s="5" t="s">
        <v>23</v>
      </c>
      <c r="O133" s="5" t="s">
        <v>23</v>
      </c>
      <c r="P133" s="5" t="s">
        <v>23</v>
      </c>
      <c r="Q133" s="9" t="s">
        <v>241</v>
      </c>
      <c r="R133" s="6" t="s">
        <v>242</v>
      </c>
      <c r="S133" s="6">
        <f>IF(NOT(ISBLANK(E133)), ROUND(((IF(E133="yes",1,0)*'Grading Scale'!E$2)+(IF(F133="yes",1,0)*'Grading Scale'!E$3)+(IF(G133="yes",1,0)*'Grading Scale'!E$4)+(IF(H133="yes",1,0)*'Grading Scale'!E$5)+(IF(I133="yes",1,0)*'Grading Scale'!E$6)+(IF(J133="yes",1,0)*'Grading Scale'!E$7)+(IF(K133="yes",1,0)*'Grading Scale'!E$8)+(IF(L133="yes",1,0)*'Grading Scale'!E$9)+(IF(M133="yes",1,0)*'Grading Scale'!E$10)+(IF(N133="yes",1,0)*'Grading Scale'!E$11)+(IF(O133="yes",1,0)*'Grading Scale'!E$12)+(IF(P133="yes",1,0)*'Grading Scale'!E$13))/'Grading Scale'!E$14*100,0), "")</f>
        <v>80</v>
      </c>
      <c r="T133" s="6" t="str">
        <f>IF(ISNUMBER(S133),VLOOKUP(S133,'Grading Scale'!$A$2:$B$14, 2), "")</f>
        <v>B−</v>
      </c>
      <c r="U133" s="7"/>
      <c r="V133" s="7"/>
      <c r="W133" s="7"/>
      <c r="X133" s="7"/>
      <c r="Y133" s="7"/>
      <c r="Z133" s="7"/>
      <c r="AA133" s="7"/>
      <c r="AB133" s="7"/>
      <c r="AC133" s="7"/>
      <c r="AD133" s="7"/>
      <c r="AE133" s="7"/>
      <c r="AF133" s="7"/>
      <c r="AG133" s="7"/>
      <c r="AH133" s="7"/>
      <c r="AI133" s="7"/>
      <c r="AJ133" s="7"/>
    </row>
    <row r="134">
      <c r="A134" s="10">
        <v>42360.0</v>
      </c>
      <c r="B134" s="5" t="s">
        <v>230</v>
      </c>
      <c r="C134" s="5" t="s">
        <v>40</v>
      </c>
      <c r="D134" s="6" t="str">
        <f>IF(NOT(ISBLANK(C134)), VLOOKUP(C134,'Dataset Descriptions'!$A$2:$B$10, 2, FALSE), "")</f>
        <v>State-owned land and buildings.</v>
      </c>
      <c r="E134" s="18" t="s">
        <v>22</v>
      </c>
      <c r="F134" s="5" t="s">
        <v>22</v>
      </c>
      <c r="G134" s="5" t="s">
        <v>22</v>
      </c>
      <c r="H134" s="5" t="s">
        <v>22</v>
      </c>
      <c r="I134" s="5" t="s">
        <v>23</v>
      </c>
      <c r="J134" s="5" t="s">
        <v>22</v>
      </c>
      <c r="K134" s="5" t="s">
        <v>22</v>
      </c>
      <c r="L134" s="5" t="s">
        <v>22</v>
      </c>
      <c r="M134" s="5" t="s">
        <v>22</v>
      </c>
      <c r="N134" s="5" t="s">
        <v>23</v>
      </c>
      <c r="O134" s="5" t="s">
        <v>22</v>
      </c>
      <c r="P134" s="5" t="s">
        <v>22</v>
      </c>
      <c r="Q134" s="5"/>
      <c r="R134" s="6"/>
      <c r="S134" s="6">
        <f>IF(NOT(ISBLANK(E134)), ROUND(((IF(E134="yes",1,0)*'Grading Scale'!E$2)+(IF(F134="yes",1,0)*'Grading Scale'!E$3)+(IF(G134="yes",1,0)*'Grading Scale'!E$4)+(IF(H134="yes",1,0)*'Grading Scale'!E$5)+(IF(I134="yes",1,0)*'Grading Scale'!E$6)+(IF(J134="yes",1,0)*'Grading Scale'!E$7)+(IF(K134="yes",1,0)*'Grading Scale'!E$8)+(IF(L134="yes",1,0)*'Grading Scale'!E$9)+(IF(M134="yes",1,0)*'Grading Scale'!E$10)+(IF(N134="yes",1,0)*'Grading Scale'!E$11)+(IF(O134="yes",1,0)*'Grading Scale'!E$12)+(IF(P134="yes",1,0)*'Grading Scale'!E$13))/'Grading Scale'!E$14*100,0), "")</f>
        <v>0</v>
      </c>
      <c r="T134" s="6" t="str">
        <f>IF(ISNUMBER(S134),VLOOKUP(S134,'Grading Scale'!$A$2:$B$14, 2), "")</f>
        <v>F</v>
      </c>
      <c r="U134" s="7"/>
      <c r="V134" s="5"/>
      <c r="W134" s="7"/>
      <c r="X134" s="7"/>
      <c r="Y134" s="7"/>
      <c r="Z134" s="7"/>
      <c r="AA134" s="7"/>
      <c r="AB134" s="7"/>
      <c r="AC134" s="7"/>
      <c r="AD134" s="7"/>
      <c r="AE134" s="7"/>
      <c r="AF134" s="7"/>
      <c r="AG134" s="7"/>
      <c r="AH134" s="7"/>
      <c r="AI134" s="7"/>
      <c r="AJ134" s="7"/>
    </row>
    <row r="135">
      <c r="A135" s="10">
        <v>42360.0</v>
      </c>
      <c r="B135" s="5" t="s">
        <v>230</v>
      </c>
      <c r="C135" s="5" t="s">
        <v>43</v>
      </c>
      <c r="D135" s="6" t="str">
        <f>IF(NOT(ISBLANK(C135)), VLOOKUP(C135,'Dataset Descriptions'!$A$2:$B$10, 2, FALSE), "")</f>
        <v>Health inspections of establishments that serve food to the public.</v>
      </c>
      <c r="E135" s="5" t="s">
        <v>25</v>
      </c>
      <c r="F135" s="5" t="s">
        <v>25</v>
      </c>
      <c r="G135" s="5" t="s">
        <v>25</v>
      </c>
      <c r="H135" s="5" t="s">
        <v>25</v>
      </c>
      <c r="I135" s="5" t="s">
        <v>25</v>
      </c>
      <c r="J135" s="5" t="s">
        <v>23</v>
      </c>
      <c r="K135" s="5" t="s">
        <v>23</v>
      </c>
      <c r="L135" s="5" t="s">
        <v>23</v>
      </c>
      <c r="M135" s="5" t="s">
        <v>25</v>
      </c>
      <c r="N135" s="5" t="s">
        <v>25</v>
      </c>
      <c r="O135" s="5" t="s">
        <v>25</v>
      </c>
      <c r="P135" s="5" t="s">
        <v>25</v>
      </c>
      <c r="Q135" s="9" t="s">
        <v>243</v>
      </c>
      <c r="R135" s="6" t="s">
        <v>244</v>
      </c>
      <c r="S135" s="6">
        <f>IF(NOT(ISBLANK(E135)), ROUND(((IF(E135="yes",1,0)*'Grading Scale'!E$2)+(IF(F135="yes",1,0)*'Grading Scale'!E$3)+(IF(G135="yes",1,0)*'Grading Scale'!E$4)+(IF(H135="yes",1,0)*'Grading Scale'!E$5)+(IF(I135="yes",1,0)*'Grading Scale'!E$6)+(IF(J135="yes",1,0)*'Grading Scale'!E$7)+(IF(K135="yes",1,0)*'Grading Scale'!E$8)+(IF(L135="yes",1,0)*'Grading Scale'!E$9)+(IF(M135="yes",1,0)*'Grading Scale'!E$10)+(IF(N135="yes",1,0)*'Grading Scale'!E$11)+(IF(O135="yes",1,0)*'Grading Scale'!E$12)+(IF(P135="yes",1,0)*'Grading Scale'!E$13))/'Grading Scale'!E$14*100,0), "")</f>
        <v>50</v>
      </c>
      <c r="T135" s="6" t="str">
        <f>IF(ISNUMBER(S135),VLOOKUP(S135,'Grading Scale'!$A$2:$B$14, 2), "")</f>
        <v>F</v>
      </c>
      <c r="U135" s="7"/>
      <c r="V135" s="7"/>
      <c r="W135" s="7"/>
      <c r="X135" s="7"/>
      <c r="Y135" s="7"/>
      <c r="Z135" s="7"/>
      <c r="AA135" s="7"/>
      <c r="AB135" s="7"/>
      <c r="AC135" s="7"/>
      <c r="AD135" s="7"/>
      <c r="AE135" s="7"/>
      <c r="AF135" s="7"/>
      <c r="AG135" s="7"/>
      <c r="AH135" s="7"/>
      <c r="AI135" s="7"/>
      <c r="AJ135" s="7"/>
    </row>
    <row r="136">
      <c r="A136" s="10">
        <v>42360.0</v>
      </c>
      <c r="B136" s="5" t="s">
        <v>230</v>
      </c>
      <c r="C136" s="17" t="s">
        <v>46</v>
      </c>
      <c r="D136" s="6" t="str">
        <f>IF(NOT(ISBLANK(C136)), VLOOKUP(C136,'Dataset Descriptions'!$A$2:$B$10, 2, FALSE), "")</f>
        <v>Incident-level reportable motor vehicle crash records.</v>
      </c>
      <c r="E136" s="5" t="s">
        <v>25</v>
      </c>
      <c r="F136" s="5" t="s">
        <v>25</v>
      </c>
      <c r="G136" s="5" t="s">
        <v>25</v>
      </c>
      <c r="H136" s="5" t="s">
        <v>25</v>
      </c>
      <c r="I136" s="5" t="s">
        <v>25</v>
      </c>
      <c r="J136" s="5" t="s">
        <v>25</v>
      </c>
      <c r="K136" s="5" t="s">
        <v>25</v>
      </c>
      <c r="L136" s="5" t="s">
        <v>23</v>
      </c>
      <c r="M136" s="5" t="s">
        <v>23</v>
      </c>
      <c r="N136" s="5" t="s">
        <v>23</v>
      </c>
      <c r="O136" s="5" t="s">
        <v>23</v>
      </c>
      <c r="P136" s="5" t="s">
        <v>23</v>
      </c>
      <c r="Q136" s="9" t="s">
        <v>245</v>
      </c>
      <c r="R136" s="6" t="s">
        <v>246</v>
      </c>
      <c r="S136" s="6">
        <f>IF(NOT(ISBLANK(E136)), ROUND(((IF(E136="yes",1,0)*'Grading Scale'!E$2)+(IF(F136="yes",1,0)*'Grading Scale'!E$3)+(IF(G136="yes",1,0)*'Grading Scale'!E$4)+(IF(H136="yes",1,0)*'Grading Scale'!E$5)+(IF(I136="yes",1,0)*'Grading Scale'!E$6)+(IF(J136="yes",1,0)*'Grading Scale'!E$7)+(IF(K136="yes",1,0)*'Grading Scale'!E$8)+(IF(L136="yes",1,0)*'Grading Scale'!E$9)+(IF(M136="yes",1,0)*'Grading Scale'!E$10)+(IF(N136="yes",1,0)*'Grading Scale'!E$11)+(IF(O136="yes",1,0)*'Grading Scale'!E$12)+(IF(P136="yes",1,0)*'Grading Scale'!E$13))/'Grading Scale'!E$14*100,0), "")</f>
        <v>75</v>
      </c>
      <c r="T136" s="6" t="str">
        <f>IF(ISNUMBER(S136),VLOOKUP(S136,'Grading Scale'!$A$2:$B$14, 2), "")</f>
        <v>C</v>
      </c>
      <c r="U136" s="7"/>
      <c r="V136" s="7"/>
      <c r="W136" s="7"/>
      <c r="X136" s="7"/>
      <c r="Y136" s="7"/>
      <c r="Z136" s="7"/>
      <c r="AA136" s="7"/>
      <c r="AB136" s="7"/>
      <c r="AC136" s="7"/>
      <c r="AD136" s="7"/>
      <c r="AE136" s="7"/>
      <c r="AF136" s="7"/>
      <c r="AG136" s="7"/>
      <c r="AH136" s="7"/>
      <c r="AI136" s="7"/>
      <c r="AJ136" s="7"/>
    </row>
    <row r="137">
      <c r="A137" s="4">
        <v>42383.0</v>
      </c>
      <c r="B137" s="5" t="s">
        <v>247</v>
      </c>
      <c r="C137" s="5" t="s">
        <v>21</v>
      </c>
      <c r="D137" s="6" t="str">
        <f>IF(NOT(ISBLANK(C137)), VLOOKUP(C137,'Dataset Descriptions'!$A$2:$B$10, 2, FALSE), "")</f>
        <v>The geographic coordinates for physical addresses.</v>
      </c>
      <c r="E137" s="5" t="s">
        <v>22</v>
      </c>
      <c r="F137" s="5" t="s">
        <v>22</v>
      </c>
      <c r="G137" s="5" t="s">
        <v>22</v>
      </c>
      <c r="H137" s="5" t="s">
        <v>22</v>
      </c>
      <c r="I137" s="5" t="s">
        <v>23</v>
      </c>
      <c r="J137" s="5" t="s">
        <v>22</v>
      </c>
      <c r="K137" s="5" t="s">
        <v>22</v>
      </c>
      <c r="L137" s="5" t="s">
        <v>22</v>
      </c>
      <c r="M137" s="5" t="s">
        <v>22</v>
      </c>
      <c r="N137" s="5" t="s">
        <v>23</v>
      </c>
      <c r="O137" s="5" t="s">
        <v>22</v>
      </c>
      <c r="P137" s="5" t="s">
        <v>22</v>
      </c>
      <c r="Q137" s="7"/>
      <c r="R137" s="6" t="s">
        <v>248</v>
      </c>
      <c r="S137" s="6">
        <f>IF(NOT(ISBLANK(E137)), ROUND(((IF(E137="yes",1,0)*'Grading Scale'!E$2)+(IF(F137="yes",1,0)*'Grading Scale'!E$3)+(IF(G137="yes",1,0)*'Grading Scale'!E$4)+(IF(H137="yes",1,0)*'Grading Scale'!E$5)+(IF(I137="yes",1,0)*'Grading Scale'!E$6)+(IF(J137="yes",1,0)*'Grading Scale'!E$7)+(IF(K137="yes",1,0)*'Grading Scale'!E$8)+(IF(L137="yes",1,0)*'Grading Scale'!E$9)+(IF(M137="yes",1,0)*'Grading Scale'!E$10)+(IF(N137="yes",1,0)*'Grading Scale'!E$11)+(IF(O137="yes",1,0)*'Grading Scale'!E$12)+(IF(P137="yes",1,0)*'Grading Scale'!E$13))/'Grading Scale'!E$14*100,0), "")</f>
        <v>0</v>
      </c>
      <c r="T137" s="6" t="str">
        <f>IF(ISNUMBER(S137),VLOOKUP(S137,'Grading Scale'!$A$2:$B$14, 2), "")</f>
        <v>F</v>
      </c>
      <c r="U137" s="7"/>
      <c r="V137" s="7"/>
      <c r="W137" s="7"/>
      <c r="X137" s="7"/>
      <c r="Y137" s="7"/>
      <c r="Z137" s="7"/>
      <c r="AA137" s="7"/>
      <c r="AB137" s="7"/>
      <c r="AC137" s="7"/>
      <c r="AD137" s="7"/>
      <c r="AE137" s="7"/>
      <c r="AF137" s="7"/>
      <c r="AG137" s="7"/>
      <c r="AH137" s="7"/>
      <c r="AI137" s="7"/>
      <c r="AJ137" s="7"/>
    </row>
    <row r="138">
      <c r="A138" s="4">
        <v>42382.0</v>
      </c>
      <c r="B138" s="5" t="s">
        <v>247</v>
      </c>
      <c r="C138" s="5" t="s">
        <v>24</v>
      </c>
      <c r="D138" s="6" t="str">
        <f>IF(NOT(ISBLANK(C138)), VLOOKUP(C138,'Dataset Descriptions'!$A$2:$B$10, 2, FALSE), "")</f>
        <v>Transaction-level, per-agency spending records.</v>
      </c>
      <c r="E138" s="5" t="s">
        <v>25</v>
      </c>
      <c r="F138" s="5" t="s">
        <v>25</v>
      </c>
      <c r="G138" s="5" t="s">
        <v>25</v>
      </c>
      <c r="H138" s="5" t="s">
        <v>25</v>
      </c>
      <c r="I138" s="5" t="s">
        <v>25</v>
      </c>
      <c r="J138" s="5" t="s">
        <v>25</v>
      </c>
      <c r="K138" s="5" t="s">
        <v>23</v>
      </c>
      <c r="L138" s="5" t="s">
        <v>23</v>
      </c>
      <c r="M138" s="5" t="s">
        <v>23</v>
      </c>
      <c r="N138" s="5" t="s">
        <v>23</v>
      </c>
      <c r="O138" s="5" t="s">
        <v>23</v>
      </c>
      <c r="P138" s="5" t="s">
        <v>23</v>
      </c>
      <c r="Q138" s="9" t="s">
        <v>249</v>
      </c>
      <c r="R138" s="6" t="s">
        <v>250</v>
      </c>
      <c r="S138" s="6">
        <f>IF(NOT(ISBLANK(E138)), ROUND(((IF(E138="yes",1,0)*'Grading Scale'!E$2)+(IF(F138="yes",1,0)*'Grading Scale'!E$3)+(IF(G138="yes",1,0)*'Grading Scale'!E$4)+(IF(H138="yes",1,0)*'Grading Scale'!E$5)+(IF(I138="yes",1,0)*'Grading Scale'!E$6)+(IF(J138="yes",1,0)*'Grading Scale'!E$7)+(IF(K138="yes",1,0)*'Grading Scale'!E$8)+(IF(L138="yes",1,0)*'Grading Scale'!E$9)+(IF(M138="yes",1,0)*'Grading Scale'!E$10)+(IF(N138="yes",1,0)*'Grading Scale'!E$11)+(IF(O138="yes",1,0)*'Grading Scale'!E$12)+(IF(P138="yes",1,0)*'Grading Scale'!E$13))/'Grading Scale'!E$14*100,0), "")</f>
        <v>70</v>
      </c>
      <c r="T138" s="6" t="str">
        <f>IF(ISNUMBER(S138),VLOOKUP(S138,'Grading Scale'!$A$2:$B$14, 2), "")</f>
        <v>C−</v>
      </c>
      <c r="U138" s="7"/>
      <c r="V138" s="7"/>
      <c r="W138" s="7"/>
      <c r="X138" s="7"/>
      <c r="Y138" s="7"/>
      <c r="Z138" s="7"/>
      <c r="AA138" s="7"/>
      <c r="AB138" s="7"/>
      <c r="AC138" s="7"/>
      <c r="AD138" s="7"/>
      <c r="AE138" s="7"/>
      <c r="AF138" s="7"/>
      <c r="AG138" s="7"/>
      <c r="AH138" s="7"/>
      <c r="AI138" s="7"/>
      <c r="AJ138" s="7"/>
    </row>
    <row r="139">
      <c r="A139" s="4">
        <v>42382.0</v>
      </c>
      <c r="B139" s="5" t="s">
        <v>247</v>
      </c>
      <c r="C139" s="5" t="s">
        <v>28</v>
      </c>
      <c r="D139" s="6" t="str">
        <f>IF(NOT(ISBLANK(C139)), VLOOKUP(C139,'Dataset Descriptions'!$A$2:$B$10, 2, FALSE), "")</f>
        <v>The register of all corporations that exist in the state.</v>
      </c>
      <c r="E139" s="5" t="s">
        <v>25</v>
      </c>
      <c r="F139" s="5" t="s">
        <v>25</v>
      </c>
      <c r="G139" s="5" t="s">
        <v>25</v>
      </c>
      <c r="H139" s="5" t="s">
        <v>25</v>
      </c>
      <c r="I139" s="5" t="s">
        <v>25</v>
      </c>
      <c r="J139" s="5" t="s">
        <v>23</v>
      </c>
      <c r="K139" s="5" t="s">
        <v>23</v>
      </c>
      <c r="L139" s="5" t="s">
        <v>23</v>
      </c>
      <c r="M139" s="5" t="s">
        <v>25</v>
      </c>
      <c r="N139" s="5" t="s">
        <v>23</v>
      </c>
      <c r="O139" s="5" t="s">
        <v>25</v>
      </c>
      <c r="P139" s="5" t="s">
        <v>25</v>
      </c>
      <c r="Q139" s="9" t="s">
        <v>251</v>
      </c>
      <c r="R139" s="6" t="s">
        <v>252</v>
      </c>
      <c r="S139" s="6">
        <f>IF(NOT(ISBLANK(E139)), ROUND(((IF(E139="yes",1,0)*'Grading Scale'!E$2)+(IF(F139="yes",1,0)*'Grading Scale'!E$3)+(IF(G139="yes",1,0)*'Grading Scale'!E$4)+(IF(H139="yes",1,0)*'Grading Scale'!E$5)+(IF(I139="yes",1,0)*'Grading Scale'!E$6)+(IF(J139="yes",1,0)*'Grading Scale'!E$7)+(IF(K139="yes",1,0)*'Grading Scale'!E$8)+(IF(L139="yes",1,0)*'Grading Scale'!E$9)+(IF(M139="yes",1,0)*'Grading Scale'!E$10)+(IF(N139="yes",1,0)*'Grading Scale'!E$11)+(IF(O139="yes",1,0)*'Grading Scale'!E$12)+(IF(P139="yes",1,0)*'Grading Scale'!E$13))/'Grading Scale'!E$14*100,0), "")</f>
        <v>45</v>
      </c>
      <c r="T139" s="6" t="str">
        <f>IF(ISNUMBER(S139),VLOOKUP(S139,'Grading Scale'!$A$2:$B$14, 2), "")</f>
        <v>F</v>
      </c>
      <c r="U139" s="7"/>
      <c r="V139" s="7"/>
      <c r="W139" s="7"/>
      <c r="X139" s="7"/>
      <c r="Y139" s="7"/>
      <c r="Z139" s="7"/>
      <c r="AA139" s="7"/>
      <c r="AB139" s="7"/>
      <c r="AC139" s="7"/>
      <c r="AD139" s="7"/>
      <c r="AE139" s="7"/>
      <c r="AF139" s="7"/>
      <c r="AG139" s="7"/>
      <c r="AH139" s="7"/>
      <c r="AI139" s="7"/>
      <c r="AJ139" s="7"/>
    </row>
    <row r="140">
      <c r="A140" s="4">
        <v>42382.0</v>
      </c>
      <c r="B140" s="5" t="s">
        <v>247</v>
      </c>
      <c r="C140" s="5" t="s">
        <v>31</v>
      </c>
      <c r="D140" s="6" t="str">
        <f>IF(NOT(ISBLANK(C140)), VLOOKUP(C140,'Dataset Descriptions'!$A$2:$B$10, 2, FALSE), "")</f>
        <v>Per-facility inmate population records.</v>
      </c>
      <c r="E140" s="5" t="s">
        <v>25</v>
      </c>
      <c r="F140" s="5" t="s">
        <v>25</v>
      </c>
      <c r="G140" s="5" t="s">
        <v>25</v>
      </c>
      <c r="H140" s="5" t="s">
        <v>25</v>
      </c>
      <c r="I140" s="5" t="s">
        <v>25</v>
      </c>
      <c r="J140" s="5" t="s">
        <v>23</v>
      </c>
      <c r="K140" s="5" t="s">
        <v>25</v>
      </c>
      <c r="L140" s="5" t="s">
        <v>23</v>
      </c>
      <c r="M140" s="5" t="s">
        <v>25</v>
      </c>
      <c r="N140" s="5" t="s">
        <v>23</v>
      </c>
      <c r="O140" s="5" t="s">
        <v>25</v>
      </c>
      <c r="P140" s="5" t="s">
        <v>25</v>
      </c>
      <c r="Q140" s="9" t="s">
        <v>253</v>
      </c>
      <c r="R140" s="6" t="s">
        <v>252</v>
      </c>
      <c r="S140" s="6">
        <f>IF(NOT(ISBLANK(E140)), ROUND(((IF(E140="yes",1,0)*'Grading Scale'!E$2)+(IF(F140="yes",1,0)*'Grading Scale'!E$3)+(IF(G140="yes",1,0)*'Grading Scale'!E$4)+(IF(H140="yes",1,0)*'Grading Scale'!E$5)+(IF(I140="yes",1,0)*'Grading Scale'!E$6)+(IF(J140="yes",1,0)*'Grading Scale'!E$7)+(IF(K140="yes",1,0)*'Grading Scale'!E$8)+(IF(L140="yes",1,0)*'Grading Scale'!E$9)+(IF(M140="yes",1,0)*'Grading Scale'!E$10)+(IF(N140="yes",1,0)*'Grading Scale'!E$11)+(IF(O140="yes",1,0)*'Grading Scale'!E$12)+(IF(P140="yes",1,0)*'Grading Scale'!E$13))/'Grading Scale'!E$14*100,0), "")</f>
        <v>50</v>
      </c>
      <c r="T140" s="6" t="str">
        <f>IF(ISNUMBER(S140),VLOOKUP(S140,'Grading Scale'!$A$2:$B$14, 2), "")</f>
        <v>F</v>
      </c>
      <c r="U140" s="7"/>
      <c r="V140" s="7"/>
      <c r="W140" s="7"/>
      <c r="X140" s="7"/>
      <c r="Y140" s="7"/>
      <c r="Z140" s="7"/>
      <c r="AA140" s="7"/>
      <c r="AB140" s="7"/>
      <c r="AC140" s="7"/>
      <c r="AD140" s="7"/>
      <c r="AE140" s="7"/>
      <c r="AF140" s="7"/>
      <c r="AG140" s="7"/>
      <c r="AH140" s="7"/>
      <c r="AI140" s="7"/>
      <c r="AJ140" s="7"/>
    </row>
    <row r="141">
      <c r="A141" s="4">
        <v>42383.0</v>
      </c>
      <c r="B141" s="5" t="s">
        <v>247</v>
      </c>
      <c r="C141" s="5" t="s">
        <v>34</v>
      </c>
      <c r="D141" s="6" t="str">
        <f>IF(NOT(ISBLANK(C141)), VLOOKUP(C141,'Dataset Descriptions'!$A$2:$B$10, 2, FALSE), "")</f>
        <v>Bills before the legislature, and the legislators that comprise it.</v>
      </c>
      <c r="E141" s="5" t="s">
        <v>25</v>
      </c>
      <c r="F141" s="5" t="s">
        <v>25</v>
      </c>
      <c r="G141" s="5" t="s">
        <v>25</v>
      </c>
      <c r="H141" s="5" t="s">
        <v>25</v>
      </c>
      <c r="I141" s="5" t="s">
        <v>25</v>
      </c>
      <c r="J141" s="5" t="s">
        <v>25</v>
      </c>
      <c r="K141" s="5" t="s">
        <v>23</v>
      </c>
      <c r="L141" s="5" t="s">
        <v>23</v>
      </c>
      <c r="M141" s="5" t="s">
        <v>25</v>
      </c>
      <c r="N141" s="5" t="s">
        <v>23</v>
      </c>
      <c r="O141" s="5" t="s">
        <v>23</v>
      </c>
      <c r="P141" s="5" t="s">
        <v>25</v>
      </c>
      <c r="Q141" s="9" t="s">
        <v>254</v>
      </c>
      <c r="R141" s="6" t="s">
        <v>255</v>
      </c>
      <c r="S141" s="6">
        <f>IF(NOT(ISBLANK(E141)), ROUND(((IF(E141="yes",1,0)*'Grading Scale'!E$2)+(IF(F141="yes",1,0)*'Grading Scale'!E$3)+(IF(G141="yes",1,0)*'Grading Scale'!E$4)+(IF(H141="yes",1,0)*'Grading Scale'!E$5)+(IF(I141="yes",1,0)*'Grading Scale'!E$6)+(IF(J141="yes",1,0)*'Grading Scale'!E$7)+(IF(K141="yes",1,0)*'Grading Scale'!E$8)+(IF(L141="yes",1,0)*'Grading Scale'!E$9)+(IF(M141="yes",1,0)*'Grading Scale'!E$10)+(IF(N141="yes",1,0)*'Grading Scale'!E$11)+(IF(O141="yes",1,0)*'Grading Scale'!E$12)+(IF(P141="yes",1,0)*'Grading Scale'!E$13))/'Grading Scale'!E$14*100,0), "")</f>
        <v>80</v>
      </c>
      <c r="T141" s="6" t="str">
        <f>IF(ISNUMBER(S141),VLOOKUP(S141,'Grading Scale'!$A$2:$B$14, 2), "")</f>
        <v>B−</v>
      </c>
      <c r="U141" s="7"/>
      <c r="V141" s="7"/>
      <c r="W141" s="7"/>
      <c r="X141" s="7"/>
      <c r="Y141" s="7"/>
      <c r="Z141" s="7"/>
      <c r="AA141" s="7"/>
      <c r="AB141" s="7"/>
      <c r="AC141" s="7"/>
      <c r="AD141" s="7"/>
      <c r="AE141" s="7"/>
      <c r="AF141" s="7"/>
      <c r="AG141" s="7"/>
      <c r="AH141" s="7"/>
      <c r="AI141" s="7"/>
      <c r="AJ141" s="7"/>
    </row>
    <row r="142">
      <c r="A142" s="4">
        <v>42389.0</v>
      </c>
      <c r="B142" s="5" t="s">
        <v>247</v>
      </c>
      <c r="C142" s="6" t="s">
        <v>37</v>
      </c>
      <c r="D142" s="6" t="str">
        <f>IF(NOT(ISBLANK(C142)), VLOOKUP(C142,'Dataset Descriptions'!$A$2:$B$10, 2, FALSE), "")</f>
        <v>Forecasts of municipal-level changes in population over coming years.</v>
      </c>
      <c r="E142" s="5" t="s">
        <v>23</v>
      </c>
      <c r="F142" s="5" t="s">
        <v>23</v>
      </c>
      <c r="G142" s="5" t="s">
        <v>23</v>
      </c>
      <c r="H142" s="5" t="s">
        <v>23</v>
      </c>
      <c r="I142" s="5" t="s">
        <v>23</v>
      </c>
      <c r="J142" s="5" t="s">
        <v>23</v>
      </c>
      <c r="K142" s="5" t="s">
        <v>23</v>
      </c>
      <c r="L142" s="5" t="s">
        <v>23</v>
      </c>
      <c r="M142" s="5" t="s">
        <v>23</v>
      </c>
      <c r="N142" s="5" t="s">
        <v>23</v>
      </c>
      <c r="O142" s="5" t="s">
        <v>23</v>
      </c>
      <c r="P142" s="5" t="s">
        <v>23</v>
      </c>
      <c r="Q142" s="9" t="s">
        <v>256</v>
      </c>
      <c r="R142" s="6" t="s">
        <v>257</v>
      </c>
      <c r="S142" s="6">
        <f>IF(NOT(ISBLANK(E142)), ROUND(((IF(E142="yes",1,0)*'Grading Scale'!E$2)+(IF(F142="yes",1,0)*'Grading Scale'!E$3)+(IF(G142="yes",1,0)*'Grading Scale'!E$4)+(IF(H142="yes",1,0)*'Grading Scale'!E$5)+(IF(I142="yes",1,0)*'Grading Scale'!E$6)+(IF(J142="yes",1,0)*'Grading Scale'!E$7)+(IF(K142="yes",1,0)*'Grading Scale'!E$8)+(IF(L142="yes",1,0)*'Grading Scale'!E$9)+(IF(M142="yes",1,0)*'Grading Scale'!E$10)+(IF(N142="yes",1,0)*'Grading Scale'!E$11)+(IF(O142="yes",1,0)*'Grading Scale'!E$12)+(IF(P142="yes",1,0)*'Grading Scale'!E$13))/'Grading Scale'!E$14*100,0), "")</f>
        <v>0</v>
      </c>
      <c r="T142" s="6" t="str">
        <f>IF(ISNUMBER(S142),VLOOKUP(S142,'Grading Scale'!$A$2:$B$14, 2), "")</f>
        <v>F</v>
      </c>
      <c r="U142" s="7"/>
      <c r="V142" s="7"/>
      <c r="W142" s="7"/>
      <c r="X142" s="7"/>
      <c r="Y142" s="7"/>
      <c r="Z142" s="7"/>
      <c r="AA142" s="7"/>
      <c r="AB142" s="7"/>
      <c r="AC142" s="7"/>
      <c r="AD142" s="7"/>
      <c r="AE142" s="7"/>
      <c r="AF142" s="7"/>
      <c r="AG142" s="7"/>
      <c r="AH142" s="7"/>
      <c r="AI142" s="7"/>
      <c r="AJ142" s="7"/>
    </row>
    <row r="143">
      <c r="A143" s="4">
        <v>42382.0</v>
      </c>
      <c r="B143" s="5" t="s">
        <v>247</v>
      </c>
      <c r="C143" s="5" t="s">
        <v>40</v>
      </c>
      <c r="D143" s="6" t="str">
        <f>IF(NOT(ISBLANK(C143)), VLOOKUP(C143,'Dataset Descriptions'!$A$2:$B$10, 2, FALSE), "")</f>
        <v>State-owned land and buildings.</v>
      </c>
      <c r="E143" s="5" t="s">
        <v>22</v>
      </c>
      <c r="F143" s="5" t="s">
        <v>22</v>
      </c>
      <c r="G143" s="5" t="s">
        <v>22</v>
      </c>
      <c r="H143" s="5" t="s">
        <v>22</v>
      </c>
      <c r="I143" s="5" t="s">
        <v>23</v>
      </c>
      <c r="J143" s="5" t="s">
        <v>22</v>
      </c>
      <c r="K143" s="5" t="s">
        <v>22</v>
      </c>
      <c r="L143" s="5" t="s">
        <v>22</v>
      </c>
      <c r="M143" s="5" t="s">
        <v>22</v>
      </c>
      <c r="N143" s="5" t="s">
        <v>23</v>
      </c>
      <c r="O143" s="5" t="s">
        <v>22</v>
      </c>
      <c r="P143" s="5" t="s">
        <v>22</v>
      </c>
      <c r="Q143" s="7"/>
      <c r="R143" s="6" t="s">
        <v>258</v>
      </c>
      <c r="S143" s="6">
        <f>IF(NOT(ISBLANK(E143)), ROUND(((IF(E143="yes",1,0)*'Grading Scale'!E$2)+(IF(F143="yes",1,0)*'Grading Scale'!E$3)+(IF(G143="yes",1,0)*'Grading Scale'!E$4)+(IF(H143="yes",1,0)*'Grading Scale'!E$5)+(IF(I143="yes",1,0)*'Grading Scale'!E$6)+(IF(J143="yes",1,0)*'Grading Scale'!E$7)+(IF(K143="yes",1,0)*'Grading Scale'!E$8)+(IF(L143="yes",1,0)*'Grading Scale'!E$9)+(IF(M143="yes",1,0)*'Grading Scale'!E$10)+(IF(N143="yes",1,0)*'Grading Scale'!E$11)+(IF(O143="yes",1,0)*'Grading Scale'!E$12)+(IF(P143="yes",1,0)*'Grading Scale'!E$13))/'Grading Scale'!E$14*100,0), "")</f>
        <v>0</v>
      </c>
      <c r="T143" s="6" t="str">
        <f>IF(ISNUMBER(S143),VLOOKUP(S143,'Grading Scale'!$A$2:$B$14, 2), "")</f>
        <v>F</v>
      </c>
      <c r="U143" s="7"/>
      <c r="V143" s="7"/>
      <c r="W143" s="7"/>
      <c r="X143" s="7"/>
      <c r="Y143" s="7"/>
      <c r="Z143" s="7"/>
      <c r="AA143" s="7"/>
      <c r="AB143" s="7"/>
      <c r="AC143" s="7"/>
      <c r="AD143" s="7"/>
      <c r="AE143" s="7"/>
      <c r="AF143" s="7"/>
      <c r="AG143" s="7"/>
      <c r="AH143" s="7"/>
      <c r="AI143" s="7"/>
      <c r="AJ143" s="7"/>
    </row>
    <row r="144">
      <c r="A144" s="4">
        <v>42383.0</v>
      </c>
      <c r="B144" s="5" t="s">
        <v>247</v>
      </c>
      <c r="C144" s="5" t="s">
        <v>43</v>
      </c>
      <c r="D144" s="6" t="str">
        <f>IF(NOT(ISBLANK(C144)), VLOOKUP(C144,'Dataset Descriptions'!$A$2:$B$10, 2, FALSE), "")</f>
        <v>Health inspections of establishments that serve food to the public.</v>
      </c>
      <c r="E144" s="5" t="s">
        <v>25</v>
      </c>
      <c r="F144" s="5" t="s">
        <v>25</v>
      </c>
      <c r="G144" s="5" t="s">
        <v>25</v>
      </c>
      <c r="H144" s="5" t="s">
        <v>25</v>
      </c>
      <c r="I144" s="5" t="s">
        <v>25</v>
      </c>
      <c r="J144" s="5" t="s">
        <v>23</v>
      </c>
      <c r="K144" s="5" t="s">
        <v>23</v>
      </c>
      <c r="L144" s="5" t="s">
        <v>23</v>
      </c>
      <c r="M144" s="5" t="s">
        <v>25</v>
      </c>
      <c r="N144" s="5" t="s">
        <v>23</v>
      </c>
      <c r="O144" s="5" t="s">
        <v>25</v>
      </c>
      <c r="P144" s="5" t="s">
        <v>25</v>
      </c>
      <c r="Q144" s="9" t="s">
        <v>259</v>
      </c>
      <c r="R144" s="6" t="s">
        <v>260</v>
      </c>
      <c r="S144" s="6">
        <f>IF(NOT(ISBLANK(E144)), ROUND(((IF(E144="yes",1,0)*'Grading Scale'!E$2)+(IF(F144="yes",1,0)*'Grading Scale'!E$3)+(IF(G144="yes",1,0)*'Grading Scale'!E$4)+(IF(H144="yes",1,0)*'Grading Scale'!E$5)+(IF(I144="yes",1,0)*'Grading Scale'!E$6)+(IF(J144="yes",1,0)*'Grading Scale'!E$7)+(IF(K144="yes",1,0)*'Grading Scale'!E$8)+(IF(L144="yes",1,0)*'Grading Scale'!E$9)+(IF(M144="yes",1,0)*'Grading Scale'!E$10)+(IF(N144="yes",1,0)*'Grading Scale'!E$11)+(IF(O144="yes",1,0)*'Grading Scale'!E$12)+(IF(P144="yes",1,0)*'Grading Scale'!E$13))/'Grading Scale'!E$14*100,0), "")</f>
        <v>45</v>
      </c>
      <c r="T144" s="6" t="str">
        <f>IF(ISNUMBER(S144),VLOOKUP(S144,'Grading Scale'!$A$2:$B$14, 2), "")</f>
        <v>F</v>
      </c>
      <c r="U144" s="7"/>
      <c r="V144" s="7"/>
      <c r="W144" s="7"/>
      <c r="X144" s="7"/>
      <c r="Y144" s="7"/>
      <c r="Z144" s="7"/>
      <c r="AA144" s="7"/>
      <c r="AB144" s="7"/>
      <c r="AC144" s="7"/>
      <c r="AD144" s="7"/>
      <c r="AE144" s="7"/>
      <c r="AF144" s="7"/>
      <c r="AG144" s="7"/>
      <c r="AH144" s="7"/>
      <c r="AI144" s="7"/>
      <c r="AJ144" s="7"/>
    </row>
    <row r="145">
      <c r="A145" s="4">
        <v>42383.0</v>
      </c>
      <c r="B145" s="5" t="s">
        <v>247</v>
      </c>
      <c r="C145" s="5" t="s">
        <v>46</v>
      </c>
      <c r="D145" s="6" t="str">
        <f>IF(NOT(ISBLANK(C145)), VLOOKUP(C145,'Dataset Descriptions'!$A$2:$B$10, 2, FALSE), "")</f>
        <v>Incident-level reportable motor vehicle crash records.</v>
      </c>
      <c r="E145" s="5" t="s">
        <v>25</v>
      </c>
      <c r="F145" s="5" t="s">
        <v>25</v>
      </c>
      <c r="G145" s="5" t="s">
        <v>25</v>
      </c>
      <c r="H145" s="5" t="s">
        <v>25</v>
      </c>
      <c r="I145" s="5" t="s">
        <v>25</v>
      </c>
      <c r="J145" s="5" t="s">
        <v>23</v>
      </c>
      <c r="K145" s="5" t="s">
        <v>23</v>
      </c>
      <c r="L145" s="5" t="s">
        <v>23</v>
      </c>
      <c r="M145" s="5" t="s">
        <v>25</v>
      </c>
      <c r="N145" s="5" t="s">
        <v>23</v>
      </c>
      <c r="O145" s="5" t="s">
        <v>25</v>
      </c>
      <c r="P145" s="5" t="s">
        <v>23</v>
      </c>
      <c r="Q145" s="9" t="s">
        <v>261</v>
      </c>
      <c r="R145" s="6" t="s">
        <v>260</v>
      </c>
      <c r="S145" s="6">
        <f>IF(NOT(ISBLANK(E145)), ROUND(((IF(E145="yes",1,0)*'Grading Scale'!E$2)+(IF(F145="yes",1,0)*'Grading Scale'!E$3)+(IF(G145="yes",1,0)*'Grading Scale'!E$4)+(IF(H145="yes",1,0)*'Grading Scale'!E$5)+(IF(I145="yes",1,0)*'Grading Scale'!E$6)+(IF(J145="yes",1,0)*'Grading Scale'!E$7)+(IF(K145="yes",1,0)*'Grading Scale'!E$8)+(IF(L145="yes",1,0)*'Grading Scale'!E$9)+(IF(M145="yes",1,0)*'Grading Scale'!E$10)+(IF(N145="yes",1,0)*'Grading Scale'!E$11)+(IF(O145="yes",1,0)*'Grading Scale'!E$12)+(IF(P145="yes",1,0)*'Grading Scale'!E$13))/'Grading Scale'!E$14*100,0), "")</f>
        <v>40</v>
      </c>
      <c r="T145" s="6" t="str">
        <f>IF(ISNUMBER(S145),VLOOKUP(S145,'Grading Scale'!$A$2:$B$14, 2), "")</f>
        <v>F</v>
      </c>
      <c r="U145" s="7"/>
      <c r="V145" s="7"/>
      <c r="W145" s="7"/>
      <c r="X145" s="7"/>
      <c r="Y145" s="7"/>
      <c r="Z145" s="7"/>
      <c r="AA145" s="7"/>
      <c r="AB145" s="7"/>
      <c r="AC145" s="7"/>
      <c r="AD145" s="7"/>
      <c r="AE145" s="7"/>
      <c r="AF145" s="7"/>
      <c r="AG145" s="7"/>
      <c r="AH145" s="7"/>
      <c r="AI145" s="7"/>
      <c r="AJ145" s="7"/>
    </row>
    <row r="146">
      <c r="A146" s="4">
        <v>42362.0</v>
      </c>
      <c r="B146" s="5" t="s">
        <v>262</v>
      </c>
      <c r="C146" s="5" t="s">
        <v>21</v>
      </c>
      <c r="D146" s="6" t="str">
        <f>IF(NOT(ISBLANK(C146)), VLOOKUP(C146,'Dataset Descriptions'!$A$2:$B$10, 2, FALSE), "")</f>
        <v>The geographic coordinates for physical addresses.</v>
      </c>
      <c r="E146" s="5" t="s">
        <v>23</v>
      </c>
      <c r="F146" s="5" t="s">
        <v>23</v>
      </c>
      <c r="G146" s="5" t="s">
        <v>23</v>
      </c>
      <c r="H146" s="5" t="s">
        <v>23</v>
      </c>
      <c r="I146" s="5" t="s">
        <v>23</v>
      </c>
      <c r="J146" s="5" t="s">
        <v>23</v>
      </c>
      <c r="K146" s="5" t="s">
        <v>23</v>
      </c>
      <c r="L146" s="5" t="s">
        <v>23</v>
      </c>
      <c r="M146" s="5" t="s">
        <v>23</v>
      </c>
      <c r="N146" s="5" t="s">
        <v>23</v>
      </c>
      <c r="O146" s="5" t="s">
        <v>23</v>
      </c>
      <c r="P146" s="5" t="s">
        <v>23</v>
      </c>
      <c r="Q146" s="7"/>
      <c r="R146" s="8"/>
      <c r="S146" s="6">
        <f>IF(NOT(ISBLANK(E146)), ROUND(((IF(E146="yes",1,0)*'Grading Scale'!E$2)+(IF(F146="yes",1,0)*'Grading Scale'!E$3)+(IF(G146="yes",1,0)*'Grading Scale'!E$4)+(IF(H146="yes",1,0)*'Grading Scale'!E$5)+(IF(I146="yes",1,0)*'Grading Scale'!E$6)+(IF(J146="yes",1,0)*'Grading Scale'!E$7)+(IF(K146="yes",1,0)*'Grading Scale'!E$8)+(IF(L146="yes",1,0)*'Grading Scale'!E$9)+(IF(M146="yes",1,0)*'Grading Scale'!E$10)+(IF(N146="yes",1,0)*'Grading Scale'!E$11)+(IF(O146="yes",1,0)*'Grading Scale'!E$12)+(IF(P146="yes",1,0)*'Grading Scale'!E$13))/'Grading Scale'!E$14*100,0), "")</f>
        <v>0</v>
      </c>
      <c r="T146" s="6" t="str">
        <f>IF(ISNUMBER(S146),VLOOKUP(S146,'Grading Scale'!$A$2:$B$14, 2), "")</f>
        <v>F</v>
      </c>
      <c r="U146" s="7"/>
      <c r="V146" s="7"/>
      <c r="W146" s="7"/>
      <c r="X146" s="7"/>
      <c r="Y146" s="7"/>
      <c r="Z146" s="7"/>
      <c r="AA146" s="7"/>
      <c r="AB146" s="7"/>
      <c r="AC146" s="7"/>
      <c r="AD146" s="7"/>
      <c r="AE146" s="7"/>
      <c r="AF146" s="7"/>
      <c r="AG146" s="7"/>
      <c r="AH146" s="7"/>
      <c r="AI146" s="7"/>
      <c r="AJ146" s="7"/>
    </row>
    <row r="147">
      <c r="A147" s="4">
        <v>42380.0</v>
      </c>
      <c r="B147" s="5" t="s">
        <v>262</v>
      </c>
      <c r="C147" s="5" t="s">
        <v>24</v>
      </c>
      <c r="D147" s="6" t="str">
        <f>IF(NOT(ISBLANK(C147)), VLOOKUP(C147,'Dataset Descriptions'!$A$2:$B$10, 2, FALSE), "")</f>
        <v>Transaction-level, per-agency spending records.</v>
      </c>
      <c r="E147" s="5" t="s">
        <v>25</v>
      </c>
      <c r="F147" s="5" t="s">
        <v>25</v>
      </c>
      <c r="G147" s="5" t="s">
        <v>25</v>
      </c>
      <c r="H147" s="5" t="s">
        <v>25</v>
      </c>
      <c r="I147" s="5" t="s">
        <v>25</v>
      </c>
      <c r="J147" s="5" t="s">
        <v>25</v>
      </c>
      <c r="K147" s="5" t="s">
        <v>23</v>
      </c>
      <c r="L147" s="5" t="s">
        <v>23</v>
      </c>
      <c r="M147" s="5" t="s">
        <v>22</v>
      </c>
      <c r="N147" s="5" t="s">
        <v>25</v>
      </c>
      <c r="O147" s="5" t="s">
        <v>23</v>
      </c>
      <c r="P147" s="5" t="s">
        <v>23</v>
      </c>
      <c r="Q147" s="9" t="s">
        <v>263</v>
      </c>
      <c r="R147" s="6" t="s">
        <v>264</v>
      </c>
      <c r="S147" s="6">
        <f>IF(NOT(ISBLANK(E147)), ROUND(((IF(E147="yes",1,0)*'Grading Scale'!E$2)+(IF(F147="yes",1,0)*'Grading Scale'!E$3)+(IF(G147="yes",1,0)*'Grading Scale'!E$4)+(IF(H147="yes",1,0)*'Grading Scale'!E$5)+(IF(I147="yes",1,0)*'Grading Scale'!E$6)+(IF(J147="yes",1,0)*'Grading Scale'!E$7)+(IF(K147="yes",1,0)*'Grading Scale'!E$8)+(IF(L147="yes",1,0)*'Grading Scale'!E$9)+(IF(M147="yes",1,0)*'Grading Scale'!E$10)+(IF(N147="yes",1,0)*'Grading Scale'!E$11)+(IF(O147="yes",1,0)*'Grading Scale'!E$12)+(IF(P147="yes",1,0)*'Grading Scale'!E$13))/'Grading Scale'!E$14*100,0), "")</f>
        <v>75</v>
      </c>
      <c r="T147" s="6" t="str">
        <f>IF(ISNUMBER(S147),VLOOKUP(S147,'Grading Scale'!$A$2:$B$14, 2), "")</f>
        <v>C</v>
      </c>
      <c r="U147" s="7"/>
      <c r="V147" s="7"/>
      <c r="W147" s="7"/>
      <c r="X147" s="7"/>
      <c r="Y147" s="7"/>
      <c r="Z147" s="7"/>
      <c r="AA147" s="7"/>
      <c r="AB147" s="7"/>
      <c r="AC147" s="7"/>
      <c r="AD147" s="7"/>
      <c r="AE147" s="7"/>
      <c r="AF147" s="7"/>
      <c r="AG147" s="7"/>
      <c r="AH147" s="7"/>
      <c r="AI147" s="7"/>
      <c r="AJ147" s="7"/>
    </row>
    <row r="148">
      <c r="A148" s="4">
        <v>42396.0</v>
      </c>
      <c r="B148" s="5" t="s">
        <v>262</v>
      </c>
      <c r="C148" s="5" t="s">
        <v>28</v>
      </c>
      <c r="D148" s="6" t="str">
        <f>IF(NOT(ISBLANK(C148)), VLOOKUP(C148,'Dataset Descriptions'!$A$2:$B$10, 2, FALSE), "")</f>
        <v>The register of all corporations that exist in the state.</v>
      </c>
      <c r="E148" s="5" t="s">
        <v>25</v>
      </c>
      <c r="F148" s="5" t="s">
        <v>25</v>
      </c>
      <c r="G148" s="5" t="s">
        <v>25</v>
      </c>
      <c r="H148" s="5" t="s">
        <v>23</v>
      </c>
      <c r="I148" s="5" t="s">
        <v>25</v>
      </c>
      <c r="J148" s="5" t="s">
        <v>25</v>
      </c>
      <c r="K148" s="5" t="s">
        <v>22</v>
      </c>
      <c r="L148" s="5" t="s">
        <v>23</v>
      </c>
      <c r="M148" s="5" t="s">
        <v>25</v>
      </c>
      <c r="N148" s="5" t="s">
        <v>23</v>
      </c>
      <c r="O148" s="5" t="s">
        <v>25</v>
      </c>
      <c r="P148" s="5" t="s">
        <v>25</v>
      </c>
      <c r="Q148" s="9" t="s">
        <v>265</v>
      </c>
      <c r="R148" s="6" t="s">
        <v>266</v>
      </c>
      <c r="S148" s="6">
        <f>IF(NOT(ISBLANK(E148)), ROUND(((IF(E148="yes",1,0)*'Grading Scale'!E$2)+(IF(F148="yes",1,0)*'Grading Scale'!E$3)+(IF(G148="yes",1,0)*'Grading Scale'!E$4)+(IF(H148="yes",1,0)*'Grading Scale'!E$5)+(IF(I148="yes",1,0)*'Grading Scale'!E$6)+(IF(J148="yes",1,0)*'Grading Scale'!E$7)+(IF(K148="yes",1,0)*'Grading Scale'!E$8)+(IF(L148="yes",1,0)*'Grading Scale'!E$9)+(IF(M148="yes",1,0)*'Grading Scale'!E$10)+(IF(N148="yes",1,0)*'Grading Scale'!E$11)+(IF(O148="yes",1,0)*'Grading Scale'!E$12)+(IF(P148="yes",1,0)*'Grading Scale'!E$13))/'Grading Scale'!E$14*100,0), "")</f>
        <v>70</v>
      </c>
      <c r="T148" s="6" t="str">
        <f>IF(ISNUMBER(S148),VLOOKUP(S148,'Grading Scale'!$A$2:$B$14, 2), "")</f>
        <v>C−</v>
      </c>
      <c r="U148" s="7"/>
      <c r="V148" s="7"/>
      <c r="W148" s="7"/>
      <c r="X148" s="7"/>
      <c r="Y148" s="7"/>
      <c r="Z148" s="7"/>
      <c r="AA148" s="7"/>
      <c r="AB148" s="7"/>
      <c r="AC148" s="7"/>
      <c r="AD148" s="7"/>
      <c r="AE148" s="7"/>
      <c r="AF148" s="7"/>
      <c r="AG148" s="7"/>
      <c r="AH148" s="7"/>
      <c r="AI148" s="7"/>
      <c r="AJ148" s="7"/>
    </row>
    <row r="149">
      <c r="A149" s="4">
        <v>42362.0</v>
      </c>
      <c r="B149" s="5" t="s">
        <v>262</v>
      </c>
      <c r="C149" s="5" t="s">
        <v>31</v>
      </c>
      <c r="D149" s="6" t="str">
        <f>IF(NOT(ISBLANK(C149)), VLOOKUP(C149,'Dataset Descriptions'!$A$2:$B$10, 2, FALSE), "")</f>
        <v>Per-facility inmate population records.</v>
      </c>
      <c r="E149" s="5" t="s">
        <v>25</v>
      </c>
      <c r="F149" s="5" t="s">
        <v>25</v>
      </c>
      <c r="G149" s="5" t="s">
        <v>25</v>
      </c>
      <c r="H149" s="5" t="s">
        <v>25</v>
      </c>
      <c r="I149" s="5" t="s">
        <v>25</v>
      </c>
      <c r="J149" s="5" t="s">
        <v>23</v>
      </c>
      <c r="K149" s="5" t="s">
        <v>25</v>
      </c>
      <c r="L149" s="5" t="s">
        <v>23</v>
      </c>
      <c r="M149" s="5" t="s">
        <v>25</v>
      </c>
      <c r="N149" s="5" t="s">
        <v>23</v>
      </c>
      <c r="O149" s="5" t="s">
        <v>23</v>
      </c>
      <c r="P149" s="5" t="s">
        <v>25</v>
      </c>
      <c r="Q149" s="9" t="s">
        <v>267</v>
      </c>
      <c r="R149" s="6" t="s">
        <v>268</v>
      </c>
      <c r="S149" s="6">
        <f>IF(NOT(ISBLANK(E149)), ROUND(((IF(E149="yes",1,0)*'Grading Scale'!E$2)+(IF(F149="yes",1,0)*'Grading Scale'!E$3)+(IF(G149="yes",1,0)*'Grading Scale'!E$4)+(IF(H149="yes",1,0)*'Grading Scale'!E$5)+(IF(I149="yes",1,0)*'Grading Scale'!E$6)+(IF(J149="yes",1,0)*'Grading Scale'!E$7)+(IF(K149="yes",1,0)*'Grading Scale'!E$8)+(IF(L149="yes",1,0)*'Grading Scale'!E$9)+(IF(M149="yes",1,0)*'Grading Scale'!E$10)+(IF(N149="yes",1,0)*'Grading Scale'!E$11)+(IF(O149="yes",1,0)*'Grading Scale'!E$12)+(IF(P149="yes",1,0)*'Grading Scale'!E$13))/'Grading Scale'!E$14*100,0), "")</f>
        <v>45</v>
      </c>
      <c r="T149" s="6" t="str">
        <f>IF(ISNUMBER(S149),VLOOKUP(S149,'Grading Scale'!$A$2:$B$14, 2), "")</f>
        <v>F</v>
      </c>
      <c r="U149" s="7"/>
      <c r="V149" s="7"/>
      <c r="W149" s="7"/>
      <c r="X149" s="7"/>
      <c r="Y149" s="7"/>
      <c r="Z149" s="7"/>
      <c r="AA149" s="7"/>
      <c r="AB149" s="7"/>
      <c r="AC149" s="7"/>
      <c r="AD149" s="7"/>
      <c r="AE149" s="7"/>
      <c r="AF149" s="7"/>
      <c r="AG149" s="7"/>
      <c r="AH149" s="7"/>
      <c r="AI149" s="7"/>
      <c r="AJ149" s="7"/>
    </row>
    <row r="150">
      <c r="A150" s="4">
        <v>42362.0</v>
      </c>
      <c r="B150" s="5" t="s">
        <v>262</v>
      </c>
      <c r="C150" s="5" t="s">
        <v>34</v>
      </c>
      <c r="D150" s="6" t="str">
        <f>IF(NOT(ISBLANK(C150)), VLOOKUP(C150,'Dataset Descriptions'!$A$2:$B$10, 2, FALSE), "")</f>
        <v>Bills before the legislature, and the legislators that comprise it.</v>
      </c>
      <c r="E150" s="5" t="s">
        <v>25</v>
      </c>
      <c r="F150" s="5" t="s">
        <v>25</v>
      </c>
      <c r="G150" s="5" t="s">
        <v>25</v>
      </c>
      <c r="H150" s="5" t="s">
        <v>25</v>
      </c>
      <c r="I150" s="5" t="s">
        <v>25</v>
      </c>
      <c r="J150" s="5" t="s">
        <v>23</v>
      </c>
      <c r="K150" s="5" t="s">
        <v>23</v>
      </c>
      <c r="L150" s="5" t="s">
        <v>23</v>
      </c>
      <c r="M150" s="5" t="s">
        <v>25</v>
      </c>
      <c r="N150" s="5" t="s">
        <v>23</v>
      </c>
      <c r="O150" s="5" t="s">
        <v>23</v>
      </c>
      <c r="P150" s="5" t="s">
        <v>25</v>
      </c>
      <c r="Q150" s="9" t="s">
        <v>269</v>
      </c>
      <c r="R150" s="8"/>
      <c r="S150" s="6">
        <f>IF(NOT(ISBLANK(E150)), ROUND(((IF(E150="yes",1,0)*'Grading Scale'!E$2)+(IF(F150="yes",1,0)*'Grading Scale'!E$3)+(IF(G150="yes",1,0)*'Grading Scale'!E$4)+(IF(H150="yes",1,0)*'Grading Scale'!E$5)+(IF(I150="yes",1,0)*'Grading Scale'!E$6)+(IF(J150="yes",1,0)*'Grading Scale'!E$7)+(IF(K150="yes",1,0)*'Grading Scale'!E$8)+(IF(L150="yes",1,0)*'Grading Scale'!E$9)+(IF(M150="yes",1,0)*'Grading Scale'!E$10)+(IF(N150="yes",1,0)*'Grading Scale'!E$11)+(IF(O150="yes",1,0)*'Grading Scale'!E$12)+(IF(P150="yes",1,0)*'Grading Scale'!E$13))/'Grading Scale'!E$14*100,0), "")</f>
        <v>40</v>
      </c>
      <c r="T150" s="6" t="str">
        <f>IF(ISNUMBER(S150),VLOOKUP(S150,'Grading Scale'!$A$2:$B$14, 2), "")</f>
        <v>F</v>
      </c>
      <c r="U150" s="7"/>
      <c r="V150" s="7"/>
      <c r="W150" s="7"/>
      <c r="X150" s="7"/>
      <c r="Y150" s="7"/>
      <c r="Z150" s="7"/>
      <c r="AA150" s="7"/>
      <c r="AB150" s="7"/>
      <c r="AC150" s="7"/>
      <c r="AD150" s="7"/>
      <c r="AE150" s="7"/>
      <c r="AF150" s="7"/>
      <c r="AG150" s="7"/>
      <c r="AH150" s="7"/>
      <c r="AI150" s="7"/>
      <c r="AJ150" s="7"/>
    </row>
    <row r="151">
      <c r="A151" s="4">
        <v>42362.0</v>
      </c>
      <c r="B151" s="5" t="s">
        <v>262</v>
      </c>
      <c r="C151" s="6" t="s">
        <v>37</v>
      </c>
      <c r="D151" s="6" t="str">
        <f>IF(NOT(ISBLANK(C151)), VLOOKUP(C151,'Dataset Descriptions'!$A$2:$B$10, 2, FALSE), "")</f>
        <v>Forecasts of municipal-level changes in population over coming years.</v>
      </c>
      <c r="E151" s="5" t="s">
        <v>25</v>
      </c>
      <c r="F151" s="5" t="s">
        <v>25</v>
      </c>
      <c r="G151" s="5" t="s">
        <v>25</v>
      </c>
      <c r="H151" s="5" t="s">
        <v>25</v>
      </c>
      <c r="I151" s="5" t="s">
        <v>25</v>
      </c>
      <c r="J151" s="5" t="s">
        <v>25</v>
      </c>
      <c r="K151" s="5" t="s">
        <v>25</v>
      </c>
      <c r="L151" s="5" t="s">
        <v>23</v>
      </c>
      <c r="M151" s="5" t="s">
        <v>25</v>
      </c>
      <c r="N151" s="5" t="s">
        <v>23</v>
      </c>
      <c r="O151" s="5" t="s">
        <v>23</v>
      </c>
      <c r="P151" s="5" t="s">
        <v>23</v>
      </c>
      <c r="Q151" s="9" t="s">
        <v>270</v>
      </c>
      <c r="R151" s="6" t="s">
        <v>271</v>
      </c>
      <c r="S151" s="6">
        <f>IF(NOT(ISBLANK(E151)), ROUND(((IF(E151="yes",1,0)*'Grading Scale'!E$2)+(IF(F151="yes",1,0)*'Grading Scale'!E$3)+(IF(G151="yes",1,0)*'Grading Scale'!E$4)+(IF(H151="yes",1,0)*'Grading Scale'!E$5)+(IF(I151="yes",1,0)*'Grading Scale'!E$6)+(IF(J151="yes",1,0)*'Grading Scale'!E$7)+(IF(K151="yes",1,0)*'Grading Scale'!E$8)+(IF(L151="yes",1,0)*'Grading Scale'!E$9)+(IF(M151="yes",1,0)*'Grading Scale'!E$10)+(IF(N151="yes",1,0)*'Grading Scale'!E$11)+(IF(O151="yes",1,0)*'Grading Scale'!E$12)+(IF(P151="yes",1,0)*'Grading Scale'!E$13))/'Grading Scale'!E$14*100,0), "")</f>
        <v>80</v>
      </c>
      <c r="T151" s="6" t="str">
        <f>IF(ISNUMBER(S151),VLOOKUP(S151,'Grading Scale'!$A$2:$B$14, 2), "")</f>
        <v>B−</v>
      </c>
      <c r="U151" s="7"/>
      <c r="V151" s="7"/>
      <c r="W151" s="7"/>
      <c r="X151" s="7"/>
      <c r="Y151" s="7"/>
      <c r="Z151" s="7"/>
      <c r="AA151" s="7"/>
      <c r="AB151" s="7"/>
      <c r="AC151" s="7"/>
      <c r="AD151" s="7"/>
      <c r="AE151" s="7"/>
      <c r="AF151" s="7"/>
      <c r="AG151" s="7"/>
      <c r="AH151" s="7"/>
      <c r="AI151" s="7"/>
      <c r="AJ151" s="7"/>
    </row>
    <row r="152">
      <c r="A152" s="4">
        <v>42362.0</v>
      </c>
      <c r="B152" s="5" t="s">
        <v>262</v>
      </c>
      <c r="C152" s="5" t="s">
        <v>40</v>
      </c>
      <c r="D152" s="6" t="str">
        <f>IF(NOT(ISBLANK(C152)), VLOOKUP(C152,'Dataset Descriptions'!$A$2:$B$10, 2, FALSE), "")</f>
        <v>State-owned land and buildings.</v>
      </c>
      <c r="E152" s="5" t="s">
        <v>25</v>
      </c>
      <c r="F152" s="5" t="s">
        <v>25</v>
      </c>
      <c r="G152" s="5" t="s">
        <v>25</v>
      </c>
      <c r="H152" s="5" t="s">
        <v>25</v>
      </c>
      <c r="I152" s="5" t="s">
        <v>25</v>
      </c>
      <c r="J152" s="5" t="s">
        <v>23</v>
      </c>
      <c r="K152" s="5" t="s">
        <v>23</v>
      </c>
      <c r="L152" s="5" t="s">
        <v>23</v>
      </c>
      <c r="M152" s="5" t="s">
        <v>22</v>
      </c>
      <c r="N152" s="5" t="s">
        <v>25</v>
      </c>
      <c r="O152" s="5" t="s">
        <v>23</v>
      </c>
      <c r="P152" s="5" t="s">
        <v>23</v>
      </c>
      <c r="Q152" s="9" t="s">
        <v>272</v>
      </c>
      <c r="R152" s="6" t="s">
        <v>273</v>
      </c>
      <c r="S152" s="6">
        <f>IF(NOT(ISBLANK(E152)), ROUND(((IF(E152="yes",1,0)*'Grading Scale'!E$2)+(IF(F152="yes",1,0)*'Grading Scale'!E$3)+(IF(G152="yes",1,0)*'Grading Scale'!E$4)+(IF(H152="yes",1,0)*'Grading Scale'!E$5)+(IF(I152="yes",1,0)*'Grading Scale'!E$6)+(IF(J152="yes",1,0)*'Grading Scale'!E$7)+(IF(K152="yes",1,0)*'Grading Scale'!E$8)+(IF(L152="yes",1,0)*'Grading Scale'!E$9)+(IF(M152="yes",1,0)*'Grading Scale'!E$10)+(IF(N152="yes",1,0)*'Grading Scale'!E$11)+(IF(O152="yes",1,0)*'Grading Scale'!E$12)+(IF(P152="yes",1,0)*'Grading Scale'!E$13))/'Grading Scale'!E$14*100,0), "")</f>
        <v>35</v>
      </c>
      <c r="T152" s="6" t="str">
        <f>IF(ISNUMBER(S152),VLOOKUP(S152,'Grading Scale'!$A$2:$B$14, 2), "")</f>
        <v>F</v>
      </c>
      <c r="U152" s="7"/>
      <c r="V152" s="7"/>
      <c r="W152" s="7"/>
      <c r="X152" s="7"/>
      <c r="Y152" s="7"/>
      <c r="Z152" s="7"/>
      <c r="AA152" s="7"/>
      <c r="AB152" s="7"/>
      <c r="AC152" s="7"/>
      <c r="AD152" s="7"/>
      <c r="AE152" s="7"/>
      <c r="AF152" s="7"/>
      <c r="AG152" s="7"/>
      <c r="AH152" s="7"/>
      <c r="AI152" s="7"/>
      <c r="AJ152" s="7"/>
    </row>
    <row r="153">
      <c r="A153" s="4">
        <v>42362.0</v>
      </c>
      <c r="B153" s="5" t="s">
        <v>262</v>
      </c>
      <c r="C153" s="5" t="s">
        <v>43</v>
      </c>
      <c r="D153" s="6" t="str">
        <f>IF(NOT(ISBLANK(C153)), VLOOKUP(C153,'Dataset Descriptions'!$A$2:$B$10, 2, FALSE), "")</f>
        <v>Health inspections of establishments that serve food to the public.</v>
      </c>
      <c r="E153" s="5" t="s">
        <v>23</v>
      </c>
      <c r="F153" s="5" t="s">
        <v>23</v>
      </c>
      <c r="G153" s="5" t="s">
        <v>23</v>
      </c>
      <c r="H153" s="5" t="s">
        <v>23</v>
      </c>
      <c r="I153" s="5" t="s">
        <v>23</v>
      </c>
      <c r="J153" s="5" t="s">
        <v>23</v>
      </c>
      <c r="K153" s="5" t="s">
        <v>23</v>
      </c>
      <c r="L153" s="5" t="s">
        <v>23</v>
      </c>
      <c r="M153" s="5" t="s">
        <v>23</v>
      </c>
      <c r="N153" s="5" t="s">
        <v>23</v>
      </c>
      <c r="O153" s="5" t="s">
        <v>23</v>
      </c>
      <c r="P153" s="5" t="s">
        <v>23</v>
      </c>
      <c r="Q153" s="7"/>
      <c r="R153" s="6" t="s">
        <v>274</v>
      </c>
      <c r="S153" s="6">
        <f>IF(NOT(ISBLANK(E153)), ROUND(((IF(E153="yes",1,0)*'Grading Scale'!E$2)+(IF(F153="yes",1,0)*'Grading Scale'!E$3)+(IF(G153="yes",1,0)*'Grading Scale'!E$4)+(IF(H153="yes",1,0)*'Grading Scale'!E$5)+(IF(I153="yes",1,0)*'Grading Scale'!E$6)+(IF(J153="yes",1,0)*'Grading Scale'!E$7)+(IF(K153="yes",1,0)*'Grading Scale'!E$8)+(IF(L153="yes",1,0)*'Grading Scale'!E$9)+(IF(M153="yes",1,0)*'Grading Scale'!E$10)+(IF(N153="yes",1,0)*'Grading Scale'!E$11)+(IF(O153="yes",1,0)*'Grading Scale'!E$12)+(IF(P153="yes",1,0)*'Grading Scale'!E$13))/'Grading Scale'!E$14*100,0), "")</f>
        <v>0</v>
      </c>
      <c r="T153" s="6" t="str">
        <f>IF(ISNUMBER(S153),VLOOKUP(S153,'Grading Scale'!$A$2:$B$14, 2), "")</f>
        <v>F</v>
      </c>
      <c r="U153" s="7"/>
      <c r="V153" s="7"/>
      <c r="W153" s="7"/>
      <c r="X153" s="7"/>
      <c r="Y153" s="7"/>
      <c r="Z153" s="7"/>
      <c r="AA153" s="7"/>
      <c r="AB153" s="7"/>
      <c r="AC153" s="7"/>
      <c r="AD153" s="7"/>
      <c r="AE153" s="7"/>
      <c r="AF153" s="7"/>
      <c r="AG153" s="7"/>
      <c r="AH153" s="7"/>
      <c r="AI153" s="7"/>
      <c r="AJ153" s="7"/>
    </row>
    <row r="154">
      <c r="A154" s="4">
        <v>42362.0</v>
      </c>
      <c r="B154" s="5" t="s">
        <v>262</v>
      </c>
      <c r="C154" s="5" t="s">
        <v>46</v>
      </c>
      <c r="D154" s="6" t="str">
        <f>IF(NOT(ISBLANK(C154)), VLOOKUP(C154,'Dataset Descriptions'!$A$2:$B$10, 2, FALSE), "")</f>
        <v>Incident-level reportable motor vehicle crash records.</v>
      </c>
      <c r="E154" s="5" t="s">
        <v>25</v>
      </c>
      <c r="F154" s="5" t="s">
        <v>25</v>
      </c>
      <c r="G154" s="5" t="s">
        <v>25</v>
      </c>
      <c r="H154" s="5" t="s">
        <v>25</v>
      </c>
      <c r="I154" s="5" t="s">
        <v>25</v>
      </c>
      <c r="J154" s="5" t="s">
        <v>25</v>
      </c>
      <c r="K154" s="5" t="s">
        <v>25</v>
      </c>
      <c r="L154" s="5" t="s">
        <v>23</v>
      </c>
      <c r="M154" s="5" t="s">
        <v>23</v>
      </c>
      <c r="N154" s="5" t="s">
        <v>23</v>
      </c>
      <c r="O154" s="5" t="s">
        <v>23</v>
      </c>
      <c r="P154" s="5" t="s">
        <v>23</v>
      </c>
      <c r="Q154" s="9" t="s">
        <v>275</v>
      </c>
      <c r="R154" s="6" t="s">
        <v>276</v>
      </c>
      <c r="S154" s="6">
        <f>IF(NOT(ISBLANK(E154)), ROUND(((IF(E154="yes",1,0)*'Grading Scale'!E$2)+(IF(F154="yes",1,0)*'Grading Scale'!E$3)+(IF(G154="yes",1,0)*'Grading Scale'!E$4)+(IF(H154="yes",1,0)*'Grading Scale'!E$5)+(IF(I154="yes",1,0)*'Grading Scale'!E$6)+(IF(J154="yes",1,0)*'Grading Scale'!E$7)+(IF(K154="yes",1,0)*'Grading Scale'!E$8)+(IF(L154="yes",1,0)*'Grading Scale'!E$9)+(IF(M154="yes",1,0)*'Grading Scale'!E$10)+(IF(N154="yes",1,0)*'Grading Scale'!E$11)+(IF(O154="yes",1,0)*'Grading Scale'!E$12)+(IF(P154="yes",1,0)*'Grading Scale'!E$13))/'Grading Scale'!E$14*100,0), "")</f>
        <v>75</v>
      </c>
      <c r="T154" s="6" t="str">
        <f>IF(ISNUMBER(S154),VLOOKUP(S154,'Grading Scale'!$A$2:$B$14, 2), "")</f>
        <v>C</v>
      </c>
      <c r="U154" s="7"/>
      <c r="V154" s="7"/>
      <c r="W154" s="7"/>
      <c r="X154" s="7"/>
      <c r="Y154" s="7"/>
      <c r="Z154" s="7"/>
      <c r="AA154" s="7"/>
      <c r="AB154" s="7"/>
      <c r="AC154" s="7"/>
      <c r="AD154" s="7"/>
      <c r="AE154" s="7"/>
      <c r="AF154" s="7"/>
      <c r="AG154" s="7"/>
      <c r="AH154" s="7"/>
      <c r="AI154" s="7"/>
      <c r="AJ154" s="7"/>
    </row>
    <row r="155">
      <c r="A155" s="4">
        <v>42353.0</v>
      </c>
      <c r="B155" s="5" t="s">
        <v>277</v>
      </c>
      <c r="C155" s="5" t="s">
        <v>21</v>
      </c>
      <c r="D155" s="6" t="str">
        <f>IF(NOT(ISBLANK(C155)), VLOOKUP(C155,'Dataset Descriptions'!$A$2:$B$10, 2, FALSE), "")</f>
        <v>The geographic coordinates for physical addresses.</v>
      </c>
      <c r="E155" s="5" t="s">
        <v>23</v>
      </c>
      <c r="F155" s="5"/>
      <c r="G155" s="5"/>
      <c r="H155" s="5"/>
      <c r="I155" s="5"/>
      <c r="J155" s="5"/>
      <c r="K155" s="5"/>
      <c r="L155" s="5"/>
      <c r="M155" s="5"/>
      <c r="N155" s="5"/>
      <c r="O155" s="5"/>
      <c r="P155" s="5"/>
      <c r="Q155" s="7"/>
      <c r="R155" s="6" t="s">
        <v>278</v>
      </c>
      <c r="S155" s="6">
        <f>IF(NOT(ISBLANK(E155)), ROUND(((IF(E155="yes",1,0)*'Grading Scale'!E$2)+(IF(F155="yes",1,0)*'Grading Scale'!E$3)+(IF(G155="yes",1,0)*'Grading Scale'!E$4)+(IF(H155="yes",1,0)*'Grading Scale'!E$5)+(IF(I155="yes",1,0)*'Grading Scale'!E$6)+(IF(J155="yes",1,0)*'Grading Scale'!E$7)+(IF(K155="yes",1,0)*'Grading Scale'!E$8)+(IF(L155="yes",1,0)*'Grading Scale'!E$9)+(IF(M155="yes",1,0)*'Grading Scale'!E$10)+(IF(N155="yes",1,0)*'Grading Scale'!E$11)+(IF(O155="yes",1,0)*'Grading Scale'!E$12)+(IF(P155="yes",1,0)*'Grading Scale'!E$13))/'Grading Scale'!E$14*100,0), "")</f>
        <v>0</v>
      </c>
      <c r="T155" s="6" t="str">
        <f>IF(ISNUMBER(S155),VLOOKUP(S155,'Grading Scale'!$A$2:$B$14, 2), "")</f>
        <v>F</v>
      </c>
      <c r="U155" s="7"/>
      <c r="V155" s="7"/>
      <c r="W155" s="7"/>
      <c r="X155" s="7"/>
      <c r="Y155" s="7"/>
      <c r="Z155" s="7"/>
      <c r="AA155" s="7"/>
      <c r="AB155" s="7"/>
      <c r="AC155" s="7"/>
      <c r="AD155" s="7"/>
      <c r="AE155" s="7"/>
      <c r="AF155" s="7"/>
      <c r="AG155" s="7"/>
      <c r="AH155" s="7"/>
      <c r="AI155" s="7"/>
      <c r="AJ155" s="7"/>
    </row>
    <row r="156">
      <c r="A156" s="4">
        <v>42353.0</v>
      </c>
      <c r="B156" s="5" t="s">
        <v>277</v>
      </c>
      <c r="C156" s="5" t="s">
        <v>24</v>
      </c>
      <c r="D156" s="6" t="str">
        <f>IF(NOT(ISBLANK(C156)), VLOOKUP(C156,'Dataset Descriptions'!$A$2:$B$10, 2, FALSE), "")</f>
        <v>Transaction-level, per-agency spending records.</v>
      </c>
      <c r="E156" s="5" t="s">
        <v>25</v>
      </c>
      <c r="F156" s="5" t="s">
        <v>25</v>
      </c>
      <c r="G156" s="5" t="s">
        <v>25</v>
      </c>
      <c r="H156" s="5" t="s">
        <v>25</v>
      </c>
      <c r="I156" s="5" t="s">
        <v>25</v>
      </c>
      <c r="J156" s="5" t="s">
        <v>25</v>
      </c>
      <c r="K156" s="5" t="s">
        <v>25</v>
      </c>
      <c r="L156" s="5" t="s">
        <v>25</v>
      </c>
      <c r="M156" s="5" t="s">
        <v>25</v>
      </c>
      <c r="N156" s="5" t="s">
        <v>23</v>
      </c>
      <c r="O156" s="5" t="s">
        <v>25</v>
      </c>
      <c r="P156" s="5" t="s">
        <v>23</v>
      </c>
      <c r="Q156" s="9" t="s">
        <v>279</v>
      </c>
      <c r="R156" s="6" t="s">
        <v>280</v>
      </c>
      <c r="S156" s="6">
        <f>IF(NOT(ISBLANK(E156)), ROUND(((IF(E156="yes",1,0)*'Grading Scale'!E$2)+(IF(F156="yes",1,0)*'Grading Scale'!E$3)+(IF(G156="yes",1,0)*'Grading Scale'!E$4)+(IF(H156="yes",1,0)*'Grading Scale'!E$5)+(IF(I156="yes",1,0)*'Grading Scale'!E$6)+(IF(J156="yes",1,0)*'Grading Scale'!E$7)+(IF(K156="yes",1,0)*'Grading Scale'!E$8)+(IF(L156="yes",1,0)*'Grading Scale'!E$9)+(IF(M156="yes",1,0)*'Grading Scale'!E$10)+(IF(N156="yes",1,0)*'Grading Scale'!E$11)+(IF(O156="yes",1,0)*'Grading Scale'!E$12)+(IF(P156="yes",1,0)*'Grading Scale'!E$13))/'Grading Scale'!E$14*100,0), "")</f>
        <v>90</v>
      </c>
      <c r="T156" s="6" t="str">
        <f>IF(ISNUMBER(S156),VLOOKUP(S156,'Grading Scale'!$A$2:$B$14, 2), "")</f>
        <v>A−</v>
      </c>
      <c r="U156" s="7"/>
      <c r="V156" s="7"/>
      <c r="W156" s="7"/>
      <c r="X156" s="7"/>
      <c r="Y156" s="7"/>
      <c r="Z156" s="7"/>
      <c r="AA156" s="7"/>
      <c r="AB156" s="7"/>
      <c r="AC156" s="7"/>
      <c r="AD156" s="7"/>
      <c r="AE156" s="7"/>
      <c r="AF156" s="7"/>
      <c r="AG156" s="7"/>
      <c r="AH156" s="7"/>
      <c r="AI156" s="7"/>
      <c r="AJ156" s="7"/>
    </row>
    <row r="157">
      <c r="A157" s="4">
        <v>42353.0</v>
      </c>
      <c r="B157" s="5" t="s">
        <v>277</v>
      </c>
      <c r="C157" s="5" t="s">
        <v>28</v>
      </c>
      <c r="D157" s="6" t="str">
        <f>IF(NOT(ISBLANK(C157)), VLOOKUP(C157,'Dataset Descriptions'!$A$2:$B$10, 2, FALSE), "")</f>
        <v>The register of all corporations that exist in the state.</v>
      </c>
      <c r="E157" s="5" t="s">
        <v>25</v>
      </c>
      <c r="F157" s="5" t="s">
        <v>25</v>
      </c>
      <c r="G157" s="5" t="s">
        <v>25</v>
      </c>
      <c r="H157" s="5" t="s">
        <v>25</v>
      </c>
      <c r="I157" s="5" t="s">
        <v>25</v>
      </c>
      <c r="J157" s="5" t="s">
        <v>23</v>
      </c>
      <c r="K157" s="5" t="s">
        <v>23</v>
      </c>
      <c r="L157" s="5" t="s">
        <v>23</v>
      </c>
      <c r="M157" s="5" t="s">
        <v>25</v>
      </c>
      <c r="N157" s="5" t="s">
        <v>23</v>
      </c>
      <c r="O157" s="5" t="s">
        <v>25</v>
      </c>
      <c r="P157" s="5" t="s">
        <v>25</v>
      </c>
      <c r="Q157" s="9" t="s">
        <v>281</v>
      </c>
      <c r="R157" s="22" t="s">
        <v>282</v>
      </c>
      <c r="S157" s="6">
        <f>IF(NOT(ISBLANK(E157)), ROUND(((IF(E157="yes",1,0)*'Grading Scale'!E$2)+(IF(F157="yes",1,0)*'Grading Scale'!E$3)+(IF(G157="yes",1,0)*'Grading Scale'!E$4)+(IF(H157="yes",1,0)*'Grading Scale'!E$5)+(IF(I157="yes",1,0)*'Grading Scale'!E$6)+(IF(J157="yes",1,0)*'Grading Scale'!E$7)+(IF(K157="yes",1,0)*'Grading Scale'!E$8)+(IF(L157="yes",1,0)*'Grading Scale'!E$9)+(IF(M157="yes",1,0)*'Grading Scale'!E$10)+(IF(N157="yes",1,0)*'Grading Scale'!E$11)+(IF(O157="yes",1,0)*'Grading Scale'!E$12)+(IF(P157="yes",1,0)*'Grading Scale'!E$13))/'Grading Scale'!E$14*100,0), "")</f>
        <v>45</v>
      </c>
      <c r="T157" s="6" t="str">
        <f>IF(ISNUMBER(S157),VLOOKUP(S157,'Grading Scale'!$A$2:$B$14, 2), "")</f>
        <v>F</v>
      </c>
      <c r="U157" s="7"/>
      <c r="V157" s="7"/>
      <c r="W157" s="7"/>
      <c r="X157" s="7"/>
      <c r="Y157" s="7"/>
      <c r="Z157" s="7"/>
      <c r="AA157" s="7"/>
      <c r="AB157" s="7"/>
      <c r="AC157" s="7"/>
      <c r="AD157" s="7"/>
      <c r="AE157" s="7"/>
      <c r="AF157" s="7"/>
      <c r="AG157" s="7"/>
      <c r="AH157" s="7"/>
      <c r="AI157" s="7"/>
      <c r="AJ157" s="7"/>
    </row>
    <row r="158">
      <c r="A158" s="4">
        <v>42353.0</v>
      </c>
      <c r="B158" s="5" t="s">
        <v>277</v>
      </c>
      <c r="C158" s="5" t="s">
        <v>31</v>
      </c>
      <c r="D158" s="6" t="str">
        <f>IF(NOT(ISBLANK(C158)), VLOOKUP(C158,'Dataset Descriptions'!$A$2:$B$10, 2, FALSE), "")</f>
        <v>Per-facility inmate population records.</v>
      </c>
      <c r="E158" s="5" t="s">
        <v>25</v>
      </c>
      <c r="F158" s="5" t="s">
        <v>25</v>
      </c>
      <c r="G158" s="5" t="s">
        <v>25</v>
      </c>
      <c r="H158" s="5" t="s">
        <v>25</v>
      </c>
      <c r="I158" s="5" t="s">
        <v>25</v>
      </c>
      <c r="J158" s="5" t="s">
        <v>23</v>
      </c>
      <c r="K158" s="5" t="s">
        <v>25</v>
      </c>
      <c r="L158" s="5" t="s">
        <v>23</v>
      </c>
      <c r="M158" s="5" t="s">
        <v>23</v>
      </c>
      <c r="N158" s="5" t="s">
        <v>23</v>
      </c>
      <c r="O158" s="5" t="s">
        <v>23</v>
      </c>
      <c r="P158" s="5" t="s">
        <v>23</v>
      </c>
      <c r="Q158" s="9" t="s">
        <v>283</v>
      </c>
      <c r="R158" s="6" t="s">
        <v>284</v>
      </c>
      <c r="S158" s="6">
        <f>IF(NOT(ISBLANK(E158)), ROUND(((IF(E158="yes",1,0)*'Grading Scale'!E$2)+(IF(F158="yes",1,0)*'Grading Scale'!E$3)+(IF(G158="yes",1,0)*'Grading Scale'!E$4)+(IF(H158="yes",1,0)*'Grading Scale'!E$5)+(IF(I158="yes",1,0)*'Grading Scale'!E$6)+(IF(J158="yes",1,0)*'Grading Scale'!E$7)+(IF(K158="yes",1,0)*'Grading Scale'!E$8)+(IF(L158="yes",1,0)*'Grading Scale'!E$9)+(IF(M158="yes",1,0)*'Grading Scale'!E$10)+(IF(N158="yes",1,0)*'Grading Scale'!E$11)+(IF(O158="yes",1,0)*'Grading Scale'!E$12)+(IF(P158="yes",1,0)*'Grading Scale'!E$13))/'Grading Scale'!E$14*100,0), "")</f>
        <v>35</v>
      </c>
      <c r="T158" s="6" t="str">
        <f>IF(ISNUMBER(S158),VLOOKUP(S158,'Grading Scale'!$A$2:$B$14, 2), "")</f>
        <v>F</v>
      </c>
      <c r="U158" s="7"/>
      <c r="V158" s="7"/>
      <c r="W158" s="7"/>
      <c r="X158" s="7"/>
      <c r="Y158" s="7"/>
      <c r="Z158" s="7"/>
      <c r="AA158" s="7"/>
      <c r="AB158" s="7"/>
      <c r="AC158" s="7"/>
      <c r="AD158" s="7"/>
      <c r="AE158" s="7"/>
      <c r="AF158" s="7"/>
      <c r="AG158" s="7"/>
      <c r="AH158" s="7"/>
      <c r="AI158" s="7"/>
      <c r="AJ158" s="7"/>
    </row>
    <row r="159">
      <c r="A159" s="4">
        <v>42353.0</v>
      </c>
      <c r="B159" s="5" t="s">
        <v>277</v>
      </c>
      <c r="C159" s="5" t="s">
        <v>34</v>
      </c>
      <c r="D159" s="6" t="str">
        <f>IF(NOT(ISBLANK(C159)), VLOOKUP(C159,'Dataset Descriptions'!$A$2:$B$10, 2, FALSE), "")</f>
        <v>Bills before the legislature, and the legislators that comprise it.</v>
      </c>
      <c r="E159" s="5" t="s">
        <v>25</v>
      </c>
      <c r="F159" s="5" t="s">
        <v>25</v>
      </c>
      <c r="G159" s="5" t="s">
        <v>25</v>
      </c>
      <c r="H159" s="5" t="s">
        <v>25</v>
      </c>
      <c r="I159" s="5" t="s">
        <v>25</v>
      </c>
      <c r="J159" s="5" t="s">
        <v>23</v>
      </c>
      <c r="K159" s="5" t="s">
        <v>23</v>
      </c>
      <c r="L159" s="5" t="s">
        <v>25</v>
      </c>
      <c r="M159" s="5" t="s">
        <v>25</v>
      </c>
      <c r="N159" s="5" t="s">
        <v>23</v>
      </c>
      <c r="O159" s="5" t="s">
        <v>23</v>
      </c>
      <c r="P159" s="5" t="s">
        <v>25</v>
      </c>
      <c r="Q159" s="9" t="s">
        <v>285</v>
      </c>
      <c r="R159" s="8"/>
      <c r="S159" s="6">
        <f>IF(NOT(ISBLANK(E159)), ROUND(((IF(E159="yes",1,0)*'Grading Scale'!E$2)+(IF(F159="yes",1,0)*'Grading Scale'!E$3)+(IF(G159="yes",1,0)*'Grading Scale'!E$4)+(IF(H159="yes",1,0)*'Grading Scale'!E$5)+(IF(I159="yes",1,0)*'Grading Scale'!E$6)+(IF(J159="yes",1,0)*'Grading Scale'!E$7)+(IF(K159="yes",1,0)*'Grading Scale'!E$8)+(IF(L159="yes",1,0)*'Grading Scale'!E$9)+(IF(M159="yes",1,0)*'Grading Scale'!E$10)+(IF(N159="yes",1,0)*'Grading Scale'!E$11)+(IF(O159="yes",1,0)*'Grading Scale'!E$12)+(IF(P159="yes",1,0)*'Grading Scale'!E$13))/'Grading Scale'!E$14*100,0), "")</f>
        <v>45</v>
      </c>
      <c r="T159" s="6" t="str">
        <f>IF(ISNUMBER(S159),VLOOKUP(S159,'Grading Scale'!$A$2:$B$14, 2), "")</f>
        <v>F</v>
      </c>
      <c r="U159" s="7"/>
      <c r="V159" s="7"/>
      <c r="W159" s="7"/>
      <c r="X159" s="7"/>
      <c r="Y159" s="7"/>
      <c r="Z159" s="7"/>
      <c r="AA159" s="7"/>
      <c r="AB159" s="7"/>
      <c r="AC159" s="7"/>
      <c r="AD159" s="7"/>
      <c r="AE159" s="7"/>
      <c r="AF159" s="7"/>
      <c r="AG159" s="7"/>
      <c r="AH159" s="7"/>
      <c r="AI159" s="7"/>
      <c r="AJ159" s="7"/>
    </row>
    <row r="160">
      <c r="A160" s="4">
        <v>42353.0</v>
      </c>
      <c r="B160" s="5" t="s">
        <v>277</v>
      </c>
      <c r="C160" s="6" t="s">
        <v>37</v>
      </c>
      <c r="D160" s="6" t="str">
        <f>IF(NOT(ISBLANK(C160)), VLOOKUP(C160,'Dataset Descriptions'!$A$2:$B$10, 2, FALSE), "")</f>
        <v>Forecasts of municipal-level changes in population over coming years.</v>
      </c>
      <c r="E160" s="5" t="s">
        <v>25</v>
      </c>
      <c r="F160" s="5" t="s">
        <v>25</v>
      </c>
      <c r="G160" s="5" t="s">
        <v>25</v>
      </c>
      <c r="H160" s="5" t="s">
        <v>25</v>
      </c>
      <c r="I160" s="5" t="s">
        <v>25</v>
      </c>
      <c r="J160" s="5" t="s">
        <v>25</v>
      </c>
      <c r="K160" s="5" t="s">
        <v>25</v>
      </c>
      <c r="L160" s="5" t="s">
        <v>25</v>
      </c>
      <c r="M160" s="5" t="s">
        <v>25</v>
      </c>
      <c r="N160" s="5" t="s">
        <v>23</v>
      </c>
      <c r="O160" s="5" t="s">
        <v>23</v>
      </c>
      <c r="P160" s="5" t="s">
        <v>23</v>
      </c>
      <c r="Q160" s="9" t="s">
        <v>286</v>
      </c>
      <c r="R160" s="6" t="s">
        <v>287</v>
      </c>
      <c r="S160" s="6">
        <f>IF(NOT(ISBLANK(E160)), ROUND(((IF(E160="yes",1,0)*'Grading Scale'!E$2)+(IF(F160="yes",1,0)*'Grading Scale'!E$3)+(IF(G160="yes",1,0)*'Grading Scale'!E$4)+(IF(H160="yes",1,0)*'Grading Scale'!E$5)+(IF(I160="yes",1,0)*'Grading Scale'!E$6)+(IF(J160="yes",1,0)*'Grading Scale'!E$7)+(IF(K160="yes",1,0)*'Grading Scale'!E$8)+(IF(L160="yes",1,0)*'Grading Scale'!E$9)+(IF(M160="yes",1,0)*'Grading Scale'!E$10)+(IF(N160="yes",1,0)*'Grading Scale'!E$11)+(IF(O160="yes",1,0)*'Grading Scale'!E$12)+(IF(P160="yes",1,0)*'Grading Scale'!E$13))/'Grading Scale'!E$14*100,0), "")</f>
        <v>85</v>
      </c>
      <c r="T160" s="6" t="str">
        <f>IF(ISNUMBER(S160),VLOOKUP(S160,'Grading Scale'!$A$2:$B$14, 2), "")</f>
        <v>B</v>
      </c>
      <c r="U160" s="7"/>
      <c r="V160" s="7"/>
      <c r="W160" s="7"/>
      <c r="X160" s="7"/>
      <c r="Y160" s="7"/>
      <c r="Z160" s="7"/>
      <c r="AA160" s="7"/>
      <c r="AB160" s="7"/>
      <c r="AC160" s="7"/>
      <c r="AD160" s="7"/>
      <c r="AE160" s="7"/>
      <c r="AF160" s="7"/>
      <c r="AG160" s="7"/>
      <c r="AH160" s="7"/>
      <c r="AI160" s="7"/>
      <c r="AJ160" s="7"/>
    </row>
    <row r="161">
      <c r="A161" s="4">
        <v>42353.0</v>
      </c>
      <c r="B161" s="5" t="s">
        <v>277</v>
      </c>
      <c r="C161" s="5" t="s">
        <v>40</v>
      </c>
      <c r="D161" s="6" t="str">
        <f>IF(NOT(ISBLANK(C161)), VLOOKUP(C161,'Dataset Descriptions'!$A$2:$B$10, 2, FALSE), "")</f>
        <v>State-owned land and buildings.</v>
      </c>
      <c r="E161" s="5" t="s">
        <v>25</v>
      </c>
      <c r="F161" s="5" t="s">
        <v>25</v>
      </c>
      <c r="G161" s="5" t="s">
        <v>25</v>
      </c>
      <c r="H161" s="5" t="s">
        <v>25</v>
      </c>
      <c r="I161" s="5" t="s">
        <v>25</v>
      </c>
      <c r="J161" s="5" t="s">
        <v>25</v>
      </c>
      <c r="K161" s="5" t="s">
        <v>23</v>
      </c>
      <c r="L161" s="5" t="s">
        <v>23</v>
      </c>
      <c r="M161" s="5" t="s">
        <v>25</v>
      </c>
      <c r="N161" s="5" t="s">
        <v>23</v>
      </c>
      <c r="O161" s="5" t="s">
        <v>23</v>
      </c>
      <c r="P161" s="5" t="s">
        <v>23</v>
      </c>
      <c r="Q161" s="9" t="s">
        <v>288</v>
      </c>
      <c r="R161" s="6" t="s">
        <v>289</v>
      </c>
      <c r="S161" s="6">
        <f>IF(NOT(ISBLANK(E161)), ROUND(((IF(E161="yes",1,0)*'Grading Scale'!E$2)+(IF(F161="yes",1,0)*'Grading Scale'!E$3)+(IF(G161="yes",1,0)*'Grading Scale'!E$4)+(IF(H161="yes",1,0)*'Grading Scale'!E$5)+(IF(I161="yes",1,0)*'Grading Scale'!E$6)+(IF(J161="yes",1,0)*'Grading Scale'!E$7)+(IF(K161="yes",1,0)*'Grading Scale'!E$8)+(IF(L161="yes",1,0)*'Grading Scale'!E$9)+(IF(M161="yes",1,0)*'Grading Scale'!E$10)+(IF(N161="yes",1,0)*'Grading Scale'!E$11)+(IF(O161="yes",1,0)*'Grading Scale'!E$12)+(IF(P161="yes",1,0)*'Grading Scale'!E$13))/'Grading Scale'!E$14*100,0), "")</f>
        <v>75</v>
      </c>
      <c r="T161" s="6" t="str">
        <f>IF(ISNUMBER(S161),VLOOKUP(S161,'Grading Scale'!$A$2:$B$14, 2), "")</f>
        <v>C</v>
      </c>
      <c r="U161" s="7"/>
      <c r="V161" s="7"/>
      <c r="W161" s="7"/>
      <c r="X161" s="7"/>
      <c r="Y161" s="7"/>
      <c r="Z161" s="7"/>
      <c r="AA161" s="7"/>
      <c r="AB161" s="7"/>
      <c r="AC161" s="7"/>
      <c r="AD161" s="7"/>
      <c r="AE161" s="7"/>
      <c r="AF161" s="7"/>
      <c r="AG161" s="7"/>
      <c r="AH161" s="7"/>
      <c r="AI161" s="7"/>
      <c r="AJ161" s="7"/>
    </row>
    <row r="162">
      <c r="A162" s="4">
        <v>42353.0</v>
      </c>
      <c r="B162" s="5" t="s">
        <v>277</v>
      </c>
      <c r="C162" s="5" t="s">
        <v>43</v>
      </c>
      <c r="D162" s="6" t="str">
        <f>IF(NOT(ISBLANK(C162)), VLOOKUP(C162,'Dataset Descriptions'!$A$2:$B$10, 2, FALSE), "")</f>
        <v>Health inspections of establishments that serve food to the public.</v>
      </c>
      <c r="E162" s="5" t="s">
        <v>25</v>
      </c>
      <c r="F162" s="5" t="s">
        <v>25</v>
      </c>
      <c r="G162" s="5" t="s">
        <v>25</v>
      </c>
      <c r="H162" s="5" t="s">
        <v>25</v>
      </c>
      <c r="I162" s="5" t="s">
        <v>25</v>
      </c>
      <c r="J162" s="5" t="s">
        <v>23</v>
      </c>
      <c r="K162" s="5" t="s">
        <v>23</v>
      </c>
      <c r="L162" s="5" t="s">
        <v>25</v>
      </c>
      <c r="M162" s="5" t="s">
        <v>25</v>
      </c>
      <c r="N162" s="5" t="s">
        <v>23</v>
      </c>
      <c r="O162" s="5" t="s">
        <v>23</v>
      </c>
      <c r="P162" s="5" t="s">
        <v>25</v>
      </c>
      <c r="Q162" s="9" t="s">
        <v>290</v>
      </c>
      <c r="R162" s="6" t="s">
        <v>291</v>
      </c>
      <c r="S162" s="6">
        <f>IF(NOT(ISBLANK(E162)), ROUND(((IF(E162="yes",1,0)*'Grading Scale'!E$2)+(IF(F162="yes",1,0)*'Grading Scale'!E$3)+(IF(G162="yes",1,0)*'Grading Scale'!E$4)+(IF(H162="yes",1,0)*'Grading Scale'!E$5)+(IF(I162="yes",1,0)*'Grading Scale'!E$6)+(IF(J162="yes",1,0)*'Grading Scale'!E$7)+(IF(K162="yes",1,0)*'Grading Scale'!E$8)+(IF(L162="yes",1,0)*'Grading Scale'!E$9)+(IF(M162="yes",1,0)*'Grading Scale'!E$10)+(IF(N162="yes",1,0)*'Grading Scale'!E$11)+(IF(O162="yes",1,0)*'Grading Scale'!E$12)+(IF(P162="yes",1,0)*'Grading Scale'!E$13))/'Grading Scale'!E$14*100,0), "")</f>
        <v>45</v>
      </c>
      <c r="T162" s="6" t="str">
        <f>IF(ISNUMBER(S162),VLOOKUP(S162,'Grading Scale'!$A$2:$B$14, 2), "")</f>
        <v>F</v>
      </c>
      <c r="U162" s="7"/>
      <c r="V162" s="7"/>
      <c r="W162" s="7"/>
      <c r="X162" s="7"/>
      <c r="Y162" s="7"/>
      <c r="Z162" s="7"/>
      <c r="AA162" s="7"/>
      <c r="AB162" s="7"/>
      <c r="AC162" s="7"/>
      <c r="AD162" s="7"/>
      <c r="AE162" s="7"/>
      <c r="AF162" s="7"/>
      <c r="AG162" s="7"/>
      <c r="AH162" s="7"/>
      <c r="AI162" s="7"/>
      <c r="AJ162" s="7"/>
    </row>
    <row r="163">
      <c r="A163" s="4">
        <v>42353.0</v>
      </c>
      <c r="B163" s="5" t="s">
        <v>277</v>
      </c>
      <c r="C163" s="5" t="s">
        <v>46</v>
      </c>
      <c r="D163" s="6" t="str">
        <f>IF(NOT(ISBLANK(C163)), VLOOKUP(C163,'Dataset Descriptions'!$A$2:$B$10, 2, FALSE), "")</f>
        <v>Incident-level reportable motor vehicle crash records.</v>
      </c>
      <c r="E163" s="5" t="s">
        <v>25</v>
      </c>
      <c r="F163" s="5" t="s">
        <v>25</v>
      </c>
      <c r="G163" s="5" t="s">
        <v>25</v>
      </c>
      <c r="H163" s="5" t="s">
        <v>25</v>
      </c>
      <c r="I163" s="5" t="s">
        <v>25</v>
      </c>
      <c r="J163" s="5" t="s">
        <v>23</v>
      </c>
      <c r="K163" s="5" t="s">
        <v>23</v>
      </c>
      <c r="L163" s="5" t="s">
        <v>23</v>
      </c>
      <c r="M163" s="5" t="s">
        <v>25</v>
      </c>
      <c r="N163" s="5" t="s">
        <v>23</v>
      </c>
      <c r="O163" s="5" t="s">
        <v>23</v>
      </c>
      <c r="P163" s="5" t="s">
        <v>23</v>
      </c>
      <c r="Q163" s="9" t="s">
        <v>292</v>
      </c>
      <c r="R163" s="6" t="s">
        <v>293</v>
      </c>
      <c r="S163" s="6">
        <f>IF(NOT(ISBLANK(E163)), ROUND(((IF(E163="yes",1,0)*'Grading Scale'!E$2)+(IF(F163="yes",1,0)*'Grading Scale'!E$3)+(IF(G163="yes",1,0)*'Grading Scale'!E$4)+(IF(H163="yes",1,0)*'Grading Scale'!E$5)+(IF(I163="yes",1,0)*'Grading Scale'!E$6)+(IF(J163="yes",1,0)*'Grading Scale'!E$7)+(IF(K163="yes",1,0)*'Grading Scale'!E$8)+(IF(L163="yes",1,0)*'Grading Scale'!E$9)+(IF(M163="yes",1,0)*'Grading Scale'!E$10)+(IF(N163="yes",1,0)*'Grading Scale'!E$11)+(IF(O163="yes",1,0)*'Grading Scale'!E$12)+(IF(P163="yes",1,0)*'Grading Scale'!E$13))/'Grading Scale'!E$14*100,0), "")</f>
        <v>35</v>
      </c>
      <c r="T163" s="6" t="str">
        <f>IF(ISNUMBER(S163),VLOOKUP(S163,'Grading Scale'!$A$2:$B$14, 2), "")</f>
        <v>F</v>
      </c>
      <c r="U163" s="7"/>
      <c r="V163" s="7"/>
      <c r="W163" s="7"/>
      <c r="X163" s="7"/>
      <c r="Y163" s="7"/>
      <c r="Z163" s="7"/>
      <c r="AA163" s="7"/>
      <c r="AB163" s="7"/>
      <c r="AC163" s="7"/>
      <c r="AD163" s="7"/>
      <c r="AE163" s="7"/>
      <c r="AF163" s="7"/>
      <c r="AG163" s="7"/>
      <c r="AH163" s="7"/>
      <c r="AI163" s="7"/>
      <c r="AJ163" s="7"/>
    </row>
    <row r="164">
      <c r="A164" s="4">
        <v>42398.0</v>
      </c>
      <c r="B164" s="5" t="s">
        <v>294</v>
      </c>
      <c r="C164" s="5" t="s">
        <v>21</v>
      </c>
      <c r="D164" s="6" t="str">
        <f>IF(NOT(ISBLANK(C164)), VLOOKUP(C164,'Dataset Descriptions'!$A$2:$B$10, 2, FALSE), "")</f>
        <v>The geographic coordinates for physical addresses.</v>
      </c>
      <c r="E164" s="5" t="s">
        <v>25</v>
      </c>
      <c r="F164" s="5" t="s">
        <v>25</v>
      </c>
      <c r="G164" s="5" t="s">
        <v>25</v>
      </c>
      <c r="H164" s="5" t="s">
        <v>25</v>
      </c>
      <c r="I164" s="5" t="s">
        <v>25</v>
      </c>
      <c r="J164" s="5" t="s">
        <v>25</v>
      </c>
      <c r="K164" s="5" t="s">
        <v>25</v>
      </c>
      <c r="L164" s="5" t="s">
        <v>23</v>
      </c>
      <c r="M164" s="5" t="s">
        <v>25</v>
      </c>
      <c r="N164" s="5" t="s">
        <v>23</v>
      </c>
      <c r="O164" s="5" t="s">
        <v>23</v>
      </c>
      <c r="P164" s="5" t="s">
        <v>25</v>
      </c>
      <c r="Q164" s="9" t="s">
        <v>295</v>
      </c>
      <c r="R164" s="8"/>
      <c r="S164" s="6">
        <f>IF(NOT(ISBLANK(E164)), ROUND(((IF(E164="yes",1,0)*'Grading Scale'!E$2)+(IF(F164="yes",1,0)*'Grading Scale'!E$3)+(IF(G164="yes",1,0)*'Grading Scale'!E$4)+(IF(H164="yes",1,0)*'Grading Scale'!E$5)+(IF(I164="yes",1,0)*'Grading Scale'!E$6)+(IF(J164="yes",1,0)*'Grading Scale'!E$7)+(IF(K164="yes",1,0)*'Grading Scale'!E$8)+(IF(L164="yes",1,0)*'Grading Scale'!E$9)+(IF(M164="yes",1,0)*'Grading Scale'!E$10)+(IF(N164="yes",1,0)*'Grading Scale'!E$11)+(IF(O164="yes",1,0)*'Grading Scale'!E$12)+(IF(P164="yes",1,0)*'Grading Scale'!E$13))/'Grading Scale'!E$14*100,0), "")</f>
        <v>85</v>
      </c>
      <c r="T164" s="6" t="str">
        <f>IF(ISNUMBER(S164),VLOOKUP(S164,'Grading Scale'!$A$2:$B$14, 2), "")</f>
        <v>B</v>
      </c>
      <c r="U164" s="7"/>
      <c r="V164" s="7"/>
      <c r="W164" s="7"/>
      <c r="X164" s="7"/>
      <c r="Y164" s="7"/>
      <c r="Z164" s="7"/>
      <c r="AA164" s="7"/>
      <c r="AB164" s="7"/>
      <c r="AC164" s="7"/>
      <c r="AD164" s="7"/>
      <c r="AE164" s="7"/>
      <c r="AF164" s="7"/>
      <c r="AG164" s="7"/>
      <c r="AH164" s="7"/>
      <c r="AI164" s="7"/>
      <c r="AJ164" s="7"/>
    </row>
    <row r="165">
      <c r="A165" s="4">
        <v>42402.0</v>
      </c>
      <c r="B165" s="5" t="s">
        <v>294</v>
      </c>
      <c r="C165" s="5" t="s">
        <v>24</v>
      </c>
      <c r="D165" s="6" t="str">
        <f>IF(NOT(ISBLANK(C165)), VLOOKUP(C165,'Dataset Descriptions'!$A$2:$B$10, 2, FALSE), "")</f>
        <v>Transaction-level, per-agency spending records.</v>
      </c>
      <c r="E165" s="5" t="s">
        <v>25</v>
      </c>
      <c r="F165" s="5" t="s">
        <v>25</v>
      </c>
      <c r="G165" s="5" t="s">
        <v>25</v>
      </c>
      <c r="H165" s="5" t="s">
        <v>25</v>
      </c>
      <c r="I165" s="5" t="s">
        <v>25</v>
      </c>
      <c r="J165" s="5" t="s">
        <v>25</v>
      </c>
      <c r="K165" s="5" t="s">
        <v>25</v>
      </c>
      <c r="L165" s="5" t="s">
        <v>23</v>
      </c>
      <c r="M165" s="5" t="s">
        <v>23</v>
      </c>
      <c r="N165" s="5" t="s">
        <v>25</v>
      </c>
      <c r="O165" s="5" t="s">
        <v>23</v>
      </c>
      <c r="P165" s="5" t="s">
        <v>23</v>
      </c>
      <c r="Q165" s="9" t="s">
        <v>296</v>
      </c>
      <c r="R165" s="6" t="s">
        <v>297</v>
      </c>
      <c r="S165" s="6">
        <f>IF(NOT(ISBLANK(E165)), ROUND(((IF(E165="yes",1,0)*'Grading Scale'!E$2)+(IF(F165="yes",1,0)*'Grading Scale'!E$3)+(IF(G165="yes",1,0)*'Grading Scale'!E$4)+(IF(H165="yes",1,0)*'Grading Scale'!E$5)+(IF(I165="yes",1,0)*'Grading Scale'!E$6)+(IF(J165="yes",1,0)*'Grading Scale'!E$7)+(IF(K165="yes",1,0)*'Grading Scale'!E$8)+(IF(L165="yes",1,0)*'Grading Scale'!E$9)+(IF(M165="yes",1,0)*'Grading Scale'!E$10)+(IF(N165="yes",1,0)*'Grading Scale'!E$11)+(IF(O165="yes",1,0)*'Grading Scale'!E$12)+(IF(P165="yes",1,0)*'Grading Scale'!E$13))/'Grading Scale'!E$14*100,0), "")</f>
        <v>80</v>
      </c>
      <c r="T165" s="6" t="str">
        <f>IF(ISNUMBER(S165),VLOOKUP(S165,'Grading Scale'!$A$2:$B$14, 2), "")</f>
        <v>B−</v>
      </c>
      <c r="U165" s="7"/>
      <c r="V165" s="7"/>
      <c r="W165" s="7"/>
      <c r="X165" s="7"/>
      <c r="Y165" s="7"/>
      <c r="Z165" s="7"/>
      <c r="AA165" s="7"/>
      <c r="AB165" s="7"/>
      <c r="AC165" s="7"/>
      <c r="AD165" s="7"/>
      <c r="AE165" s="7"/>
      <c r="AF165" s="7"/>
      <c r="AG165" s="7"/>
      <c r="AH165" s="7"/>
      <c r="AI165" s="7"/>
      <c r="AJ165" s="7"/>
    </row>
    <row r="166">
      <c r="A166" s="4">
        <v>42401.0</v>
      </c>
      <c r="B166" s="5" t="s">
        <v>294</v>
      </c>
      <c r="C166" s="5" t="s">
        <v>28</v>
      </c>
      <c r="D166" s="6" t="str">
        <f>IF(NOT(ISBLANK(C166)), VLOOKUP(C166,'Dataset Descriptions'!$A$2:$B$10, 2, FALSE), "")</f>
        <v>The register of all corporations that exist in the state.</v>
      </c>
      <c r="E166" s="5" t="s">
        <v>25</v>
      </c>
      <c r="F166" s="5" t="s">
        <v>25</v>
      </c>
      <c r="G166" s="5" t="s">
        <v>25</v>
      </c>
      <c r="H166" s="5" t="s">
        <v>23</v>
      </c>
      <c r="I166" s="5" t="s">
        <v>25</v>
      </c>
      <c r="J166" s="5" t="s">
        <v>25</v>
      </c>
      <c r="K166" s="5" t="s">
        <v>22</v>
      </c>
      <c r="L166" s="5" t="s">
        <v>22</v>
      </c>
      <c r="M166" s="5" t="s">
        <v>25</v>
      </c>
      <c r="N166" s="5" t="s">
        <v>23</v>
      </c>
      <c r="O166" s="5" t="s">
        <v>22</v>
      </c>
      <c r="P166" s="5" t="s">
        <v>22</v>
      </c>
      <c r="Q166" s="9" t="s">
        <v>298</v>
      </c>
      <c r="R166" s="6" t="s">
        <v>299</v>
      </c>
      <c r="S166" s="6">
        <f>IF(NOT(ISBLANK(E166)), ROUND(((IF(E166="yes",1,0)*'Grading Scale'!E$2)+(IF(F166="yes",1,0)*'Grading Scale'!E$3)+(IF(G166="yes",1,0)*'Grading Scale'!E$4)+(IF(H166="yes",1,0)*'Grading Scale'!E$5)+(IF(I166="yes",1,0)*'Grading Scale'!E$6)+(IF(J166="yes",1,0)*'Grading Scale'!E$7)+(IF(K166="yes",1,0)*'Grading Scale'!E$8)+(IF(L166="yes",1,0)*'Grading Scale'!E$9)+(IF(M166="yes",1,0)*'Grading Scale'!E$10)+(IF(N166="yes",1,0)*'Grading Scale'!E$11)+(IF(O166="yes",1,0)*'Grading Scale'!E$12)+(IF(P166="yes",1,0)*'Grading Scale'!E$13))/'Grading Scale'!E$14*100,0), "")</f>
        <v>60</v>
      </c>
      <c r="T166" s="6" t="str">
        <f>IF(ISNUMBER(S166),VLOOKUP(S166,'Grading Scale'!$A$2:$B$14, 2), "")</f>
        <v>D−</v>
      </c>
      <c r="U166" s="7"/>
      <c r="V166" s="7"/>
      <c r="W166" s="7"/>
      <c r="X166" s="7"/>
      <c r="Y166" s="7"/>
      <c r="Z166" s="7"/>
      <c r="AA166" s="7"/>
      <c r="AB166" s="7"/>
      <c r="AC166" s="7"/>
      <c r="AD166" s="7"/>
      <c r="AE166" s="7"/>
      <c r="AF166" s="7"/>
      <c r="AG166" s="7"/>
      <c r="AH166" s="7"/>
      <c r="AI166" s="7"/>
      <c r="AJ166" s="7"/>
    </row>
    <row r="167">
      <c r="A167" s="4">
        <v>42398.0</v>
      </c>
      <c r="B167" s="5" t="s">
        <v>294</v>
      </c>
      <c r="C167" s="5" t="s">
        <v>31</v>
      </c>
      <c r="D167" s="6" t="str">
        <f>IF(NOT(ISBLANK(C167)), VLOOKUP(C167,'Dataset Descriptions'!$A$2:$B$10, 2, FALSE), "")</f>
        <v>Per-facility inmate population records.</v>
      </c>
      <c r="E167" s="5" t="s">
        <v>22</v>
      </c>
      <c r="F167" s="5" t="s">
        <v>22</v>
      </c>
      <c r="G167" s="5" t="s">
        <v>22</v>
      </c>
      <c r="H167" s="5" t="s">
        <v>22</v>
      </c>
      <c r="I167" s="5" t="s">
        <v>23</v>
      </c>
      <c r="J167" s="5" t="s">
        <v>22</v>
      </c>
      <c r="K167" s="5" t="s">
        <v>22</v>
      </c>
      <c r="L167" s="5" t="s">
        <v>22</v>
      </c>
      <c r="M167" s="5" t="s">
        <v>22</v>
      </c>
      <c r="N167" s="5" t="s">
        <v>23</v>
      </c>
      <c r="O167" s="5" t="s">
        <v>22</v>
      </c>
      <c r="P167" s="5" t="s">
        <v>22</v>
      </c>
      <c r="R167" s="6" t="s">
        <v>300</v>
      </c>
      <c r="S167" s="6">
        <f>IF(NOT(ISBLANK(E167)), ROUND(((IF(E167="yes",1,0)*'Grading Scale'!E$2)+(IF(F167="yes",1,0)*'Grading Scale'!E$3)+(IF(G167="yes",1,0)*'Grading Scale'!E$4)+(IF(H167="yes",1,0)*'Grading Scale'!E$5)+(IF(I167="yes",1,0)*'Grading Scale'!E$6)+(IF(J167="yes",1,0)*'Grading Scale'!E$7)+(IF(K167="yes",1,0)*'Grading Scale'!E$8)+(IF(L167="yes",1,0)*'Grading Scale'!E$9)+(IF(M167="yes",1,0)*'Grading Scale'!E$10)+(IF(N167="yes",1,0)*'Grading Scale'!E$11)+(IF(O167="yes",1,0)*'Grading Scale'!E$12)+(IF(P167="yes",1,0)*'Grading Scale'!E$13))/'Grading Scale'!E$14*100,0), "")</f>
        <v>0</v>
      </c>
      <c r="T167" s="6" t="str">
        <f>IF(ISNUMBER(S167),VLOOKUP(S167,'Grading Scale'!$A$2:$B$14, 2), "")</f>
        <v>F</v>
      </c>
      <c r="U167" s="7"/>
      <c r="V167" s="7"/>
      <c r="W167" s="7"/>
      <c r="X167" s="7"/>
      <c r="Y167" s="7"/>
      <c r="Z167" s="7"/>
      <c r="AA167" s="7"/>
      <c r="AB167" s="7"/>
      <c r="AC167" s="7"/>
      <c r="AD167" s="7"/>
      <c r="AE167" s="7"/>
      <c r="AF167" s="7"/>
      <c r="AG167" s="7"/>
      <c r="AH167" s="7"/>
      <c r="AI167" s="7"/>
      <c r="AJ167" s="7"/>
    </row>
    <row r="168">
      <c r="A168" s="4">
        <v>42402.0</v>
      </c>
      <c r="B168" s="5" t="s">
        <v>294</v>
      </c>
      <c r="C168" s="5" t="s">
        <v>34</v>
      </c>
      <c r="D168" s="6" t="str">
        <f>IF(NOT(ISBLANK(C168)), VLOOKUP(C168,'Dataset Descriptions'!$A$2:$B$10, 2, FALSE), "")</f>
        <v>Bills before the legislature, and the legislators that comprise it.</v>
      </c>
      <c r="E168" s="5" t="s">
        <v>25</v>
      </c>
      <c r="F168" s="5" t="s">
        <v>25</v>
      </c>
      <c r="G168" s="5" t="s">
        <v>25</v>
      </c>
      <c r="H168" s="5" t="s">
        <v>25</v>
      </c>
      <c r="I168" s="5" t="s">
        <v>25</v>
      </c>
      <c r="J168" s="5" t="s">
        <v>23</v>
      </c>
      <c r="K168" s="5" t="s">
        <v>23</v>
      </c>
      <c r="L168" s="5" t="s">
        <v>25</v>
      </c>
      <c r="M168" s="5" t="s">
        <v>25</v>
      </c>
      <c r="N168" s="5" t="s">
        <v>23</v>
      </c>
      <c r="O168" s="5" t="s">
        <v>23</v>
      </c>
      <c r="P168" s="5" t="s">
        <v>25</v>
      </c>
      <c r="Q168" s="9" t="s">
        <v>301</v>
      </c>
      <c r="R168" s="8"/>
      <c r="S168" s="6">
        <f>IF(NOT(ISBLANK(E168)), ROUND(((IF(E168="yes",1,0)*'Grading Scale'!E$2)+(IF(F168="yes",1,0)*'Grading Scale'!E$3)+(IF(G168="yes",1,0)*'Grading Scale'!E$4)+(IF(H168="yes",1,0)*'Grading Scale'!E$5)+(IF(I168="yes",1,0)*'Grading Scale'!E$6)+(IF(J168="yes",1,0)*'Grading Scale'!E$7)+(IF(K168="yes",1,0)*'Grading Scale'!E$8)+(IF(L168="yes",1,0)*'Grading Scale'!E$9)+(IF(M168="yes",1,0)*'Grading Scale'!E$10)+(IF(N168="yes",1,0)*'Grading Scale'!E$11)+(IF(O168="yes",1,0)*'Grading Scale'!E$12)+(IF(P168="yes",1,0)*'Grading Scale'!E$13))/'Grading Scale'!E$14*100,0), "")</f>
        <v>45</v>
      </c>
      <c r="T168" s="6" t="str">
        <f>IF(ISNUMBER(S168),VLOOKUP(S168,'Grading Scale'!$A$2:$B$14, 2), "")</f>
        <v>F</v>
      </c>
      <c r="U168" s="7"/>
      <c r="V168" s="7"/>
      <c r="W168" s="7"/>
      <c r="X168" s="7"/>
      <c r="Y168" s="7"/>
      <c r="Z168" s="7"/>
      <c r="AA168" s="7"/>
      <c r="AB168" s="7"/>
      <c r="AC168" s="7"/>
      <c r="AD168" s="7"/>
      <c r="AE168" s="7"/>
      <c r="AF168" s="7"/>
      <c r="AG168" s="7"/>
      <c r="AH168" s="7"/>
      <c r="AI168" s="7"/>
      <c r="AJ168" s="7"/>
    </row>
    <row r="169">
      <c r="A169" s="4">
        <v>42402.0</v>
      </c>
      <c r="B169" s="5" t="s">
        <v>294</v>
      </c>
      <c r="C169" s="6" t="s">
        <v>37</v>
      </c>
      <c r="D169" s="6" t="str">
        <f>IF(NOT(ISBLANK(C169)), VLOOKUP(C169,'Dataset Descriptions'!$A$2:$B$10, 2, FALSE), "")</f>
        <v>Forecasts of municipal-level changes in population over coming years.</v>
      </c>
      <c r="E169" s="5" t="s">
        <v>25</v>
      </c>
      <c r="F169" s="5" t="s">
        <v>25</v>
      </c>
      <c r="G169" s="5" t="s">
        <v>25</v>
      </c>
      <c r="H169" s="5" t="s">
        <v>25</v>
      </c>
      <c r="I169" s="5" t="s">
        <v>25</v>
      </c>
      <c r="J169" s="5" t="s">
        <v>25</v>
      </c>
      <c r="K169" s="5" t="s">
        <v>25</v>
      </c>
      <c r="L169" s="5" t="s">
        <v>25</v>
      </c>
      <c r="M169" s="5" t="s">
        <v>25</v>
      </c>
      <c r="N169" s="5" t="s">
        <v>23</v>
      </c>
      <c r="O169" s="5" t="s">
        <v>23</v>
      </c>
      <c r="P169" s="5" t="s">
        <v>25</v>
      </c>
      <c r="Q169" s="9" t="s">
        <v>302</v>
      </c>
      <c r="R169" s="6" t="s">
        <v>303</v>
      </c>
      <c r="S169" s="6">
        <f>IF(NOT(ISBLANK(E169)), ROUND(((IF(E169="yes",1,0)*'Grading Scale'!E$2)+(IF(F169="yes",1,0)*'Grading Scale'!E$3)+(IF(G169="yes",1,0)*'Grading Scale'!E$4)+(IF(H169="yes",1,0)*'Grading Scale'!E$5)+(IF(I169="yes",1,0)*'Grading Scale'!E$6)+(IF(J169="yes",1,0)*'Grading Scale'!E$7)+(IF(K169="yes",1,0)*'Grading Scale'!E$8)+(IF(L169="yes",1,0)*'Grading Scale'!E$9)+(IF(M169="yes",1,0)*'Grading Scale'!E$10)+(IF(N169="yes",1,0)*'Grading Scale'!E$11)+(IF(O169="yes",1,0)*'Grading Scale'!E$12)+(IF(P169="yes",1,0)*'Grading Scale'!E$13))/'Grading Scale'!E$14*100,0), "")</f>
        <v>90</v>
      </c>
      <c r="T169" s="6" t="str">
        <f>IF(ISNUMBER(S169),VLOOKUP(S169,'Grading Scale'!$A$2:$B$14, 2), "")</f>
        <v>A−</v>
      </c>
      <c r="U169" s="7"/>
      <c r="V169" s="7"/>
      <c r="W169" s="7"/>
      <c r="X169" s="7"/>
      <c r="Y169" s="7"/>
      <c r="Z169" s="7"/>
      <c r="AA169" s="7"/>
      <c r="AB169" s="7"/>
      <c r="AC169" s="7"/>
      <c r="AD169" s="7"/>
      <c r="AE169" s="7"/>
      <c r="AF169" s="7"/>
      <c r="AG169" s="7"/>
      <c r="AH169" s="7"/>
      <c r="AI169" s="7"/>
      <c r="AJ169" s="7"/>
    </row>
    <row r="170">
      <c r="A170" s="4">
        <v>42398.0</v>
      </c>
      <c r="B170" s="5" t="s">
        <v>294</v>
      </c>
      <c r="C170" s="5" t="s">
        <v>40</v>
      </c>
      <c r="D170" s="6" t="str">
        <f>IF(NOT(ISBLANK(C170)), VLOOKUP(C170,'Dataset Descriptions'!$A$2:$B$10, 2, FALSE), "")</f>
        <v>State-owned land and buildings.</v>
      </c>
      <c r="E170" s="5" t="s">
        <v>22</v>
      </c>
      <c r="F170" s="5" t="s">
        <v>22</v>
      </c>
      <c r="G170" s="5" t="s">
        <v>22</v>
      </c>
      <c r="H170" s="5" t="s">
        <v>22</v>
      </c>
      <c r="I170" s="5" t="s">
        <v>23</v>
      </c>
      <c r="J170" s="5" t="s">
        <v>22</v>
      </c>
      <c r="K170" s="5" t="s">
        <v>22</v>
      </c>
      <c r="L170" s="5" t="s">
        <v>22</v>
      </c>
      <c r="M170" s="5" t="s">
        <v>22</v>
      </c>
      <c r="N170" s="5" t="s">
        <v>23</v>
      </c>
      <c r="O170" s="5" t="s">
        <v>22</v>
      </c>
      <c r="P170" s="5" t="s">
        <v>22</v>
      </c>
      <c r="Q170" s="7"/>
      <c r="R170" s="6" t="s">
        <v>304</v>
      </c>
      <c r="S170" s="6">
        <f>IF(NOT(ISBLANK(E170)), ROUND(((IF(E170="yes",1,0)*'Grading Scale'!E$2)+(IF(F170="yes",1,0)*'Grading Scale'!E$3)+(IF(G170="yes",1,0)*'Grading Scale'!E$4)+(IF(H170="yes",1,0)*'Grading Scale'!E$5)+(IF(I170="yes",1,0)*'Grading Scale'!E$6)+(IF(J170="yes",1,0)*'Grading Scale'!E$7)+(IF(K170="yes",1,0)*'Grading Scale'!E$8)+(IF(L170="yes",1,0)*'Grading Scale'!E$9)+(IF(M170="yes",1,0)*'Grading Scale'!E$10)+(IF(N170="yes",1,0)*'Grading Scale'!E$11)+(IF(O170="yes",1,0)*'Grading Scale'!E$12)+(IF(P170="yes",1,0)*'Grading Scale'!E$13))/'Grading Scale'!E$14*100,0), "")</f>
        <v>0</v>
      </c>
      <c r="T170" s="6" t="str">
        <f>IF(ISNUMBER(S170),VLOOKUP(S170,'Grading Scale'!$A$2:$B$14, 2), "")</f>
        <v>F</v>
      </c>
      <c r="U170" s="7"/>
      <c r="V170" s="7"/>
      <c r="W170" s="7"/>
      <c r="X170" s="7"/>
      <c r="Y170" s="7"/>
      <c r="Z170" s="7"/>
      <c r="AA170" s="7"/>
      <c r="AB170" s="7"/>
      <c r="AC170" s="7"/>
      <c r="AD170" s="7"/>
      <c r="AE170" s="7"/>
      <c r="AF170" s="7"/>
      <c r="AG170" s="7"/>
      <c r="AH170" s="7"/>
      <c r="AI170" s="7"/>
      <c r="AJ170" s="7"/>
    </row>
    <row r="171">
      <c r="A171" s="4">
        <v>42401.0</v>
      </c>
      <c r="B171" s="5" t="s">
        <v>294</v>
      </c>
      <c r="C171" s="5" t="s">
        <v>43</v>
      </c>
      <c r="D171" s="6" t="str">
        <f>IF(NOT(ISBLANK(C171)), VLOOKUP(C171,'Dataset Descriptions'!$A$2:$B$10, 2, FALSE), "")</f>
        <v>Health inspections of establishments that serve food to the public.</v>
      </c>
      <c r="E171" s="5" t="s">
        <v>22</v>
      </c>
      <c r="F171" s="5" t="s">
        <v>22</v>
      </c>
      <c r="G171" s="5" t="s">
        <v>22</v>
      </c>
      <c r="H171" s="5" t="s">
        <v>22</v>
      </c>
      <c r="I171" s="5" t="s">
        <v>23</v>
      </c>
      <c r="J171" s="5" t="s">
        <v>22</v>
      </c>
      <c r="K171" s="5" t="s">
        <v>22</v>
      </c>
      <c r="L171" s="5" t="s">
        <v>22</v>
      </c>
      <c r="M171" s="5" t="s">
        <v>22</v>
      </c>
      <c r="N171" s="5" t="s">
        <v>23</v>
      </c>
      <c r="O171" s="5" t="s">
        <v>22</v>
      </c>
      <c r="P171" s="5" t="s">
        <v>22</v>
      </c>
      <c r="Q171" s="7"/>
      <c r="R171" s="6" t="s">
        <v>305</v>
      </c>
      <c r="S171" s="6">
        <f>IF(NOT(ISBLANK(E171)), ROUND(((IF(E171="yes",1,0)*'Grading Scale'!E$2)+(IF(F171="yes",1,0)*'Grading Scale'!E$3)+(IF(G171="yes",1,0)*'Grading Scale'!E$4)+(IF(H171="yes",1,0)*'Grading Scale'!E$5)+(IF(I171="yes",1,0)*'Grading Scale'!E$6)+(IF(J171="yes",1,0)*'Grading Scale'!E$7)+(IF(K171="yes",1,0)*'Grading Scale'!E$8)+(IF(L171="yes",1,0)*'Grading Scale'!E$9)+(IF(M171="yes",1,0)*'Grading Scale'!E$10)+(IF(N171="yes",1,0)*'Grading Scale'!E$11)+(IF(O171="yes",1,0)*'Grading Scale'!E$12)+(IF(P171="yes",1,0)*'Grading Scale'!E$13))/'Grading Scale'!E$14*100,0), "")</f>
        <v>0</v>
      </c>
      <c r="T171" s="6" t="str">
        <f>IF(ISNUMBER(S171),VLOOKUP(S171,'Grading Scale'!$A$2:$B$14, 2), "")</f>
        <v>F</v>
      </c>
      <c r="U171" s="7"/>
      <c r="V171" s="7"/>
      <c r="W171" s="7"/>
      <c r="X171" s="7"/>
      <c r="Y171" s="7"/>
      <c r="Z171" s="7"/>
      <c r="AA171" s="7"/>
      <c r="AB171" s="7"/>
      <c r="AC171" s="7"/>
      <c r="AD171" s="7"/>
      <c r="AE171" s="7"/>
      <c r="AF171" s="7"/>
      <c r="AG171" s="7"/>
      <c r="AH171" s="7"/>
      <c r="AI171" s="7"/>
      <c r="AJ171" s="7"/>
    </row>
    <row r="172">
      <c r="A172" s="4">
        <v>42402.0</v>
      </c>
      <c r="B172" s="5" t="s">
        <v>294</v>
      </c>
      <c r="C172" s="5" t="s">
        <v>46</v>
      </c>
      <c r="D172" s="6" t="str">
        <f>IF(NOT(ISBLANK(C172)), VLOOKUP(C172,'Dataset Descriptions'!$A$2:$B$10, 2, FALSE), "")</f>
        <v>Incident-level reportable motor vehicle crash records.</v>
      </c>
      <c r="E172" s="5" t="s">
        <v>25</v>
      </c>
      <c r="F172" s="5" t="s">
        <v>25</v>
      </c>
      <c r="G172" s="5" t="s">
        <v>25</v>
      </c>
      <c r="H172" s="5" t="s">
        <v>23</v>
      </c>
      <c r="I172" s="5" t="s">
        <v>25</v>
      </c>
      <c r="J172" s="5" t="s">
        <v>25</v>
      </c>
      <c r="K172" s="5" t="s">
        <v>25</v>
      </c>
      <c r="L172" s="5" t="s">
        <v>23</v>
      </c>
      <c r="M172" s="5" t="s">
        <v>25</v>
      </c>
      <c r="N172" s="5" t="s">
        <v>23</v>
      </c>
      <c r="O172" s="5" t="s">
        <v>23</v>
      </c>
      <c r="P172" s="5" t="s">
        <v>22</v>
      </c>
      <c r="Q172" s="9" t="s">
        <v>306</v>
      </c>
      <c r="R172" s="6" t="s">
        <v>307</v>
      </c>
      <c r="S172" s="6">
        <f>IF(NOT(ISBLANK(E172)), ROUND(((IF(E172="yes",1,0)*'Grading Scale'!E$2)+(IF(F172="yes",1,0)*'Grading Scale'!E$3)+(IF(G172="yes",1,0)*'Grading Scale'!E$4)+(IF(H172="yes",1,0)*'Grading Scale'!E$5)+(IF(I172="yes",1,0)*'Grading Scale'!E$6)+(IF(J172="yes",1,0)*'Grading Scale'!E$7)+(IF(K172="yes",1,0)*'Grading Scale'!E$8)+(IF(L172="yes",1,0)*'Grading Scale'!E$9)+(IF(M172="yes",1,0)*'Grading Scale'!E$10)+(IF(N172="yes",1,0)*'Grading Scale'!E$11)+(IF(O172="yes",1,0)*'Grading Scale'!E$12)+(IF(P172="yes",1,0)*'Grading Scale'!E$13))/'Grading Scale'!E$14*100,0), "")</f>
        <v>65</v>
      </c>
      <c r="T172" s="6" t="str">
        <f>IF(ISNUMBER(S172),VLOOKUP(S172,'Grading Scale'!$A$2:$B$14, 2), "")</f>
        <v>D</v>
      </c>
      <c r="U172" s="7"/>
      <c r="V172" s="7"/>
      <c r="W172" s="7"/>
      <c r="X172" s="7"/>
      <c r="Y172" s="7"/>
      <c r="Z172" s="7"/>
      <c r="AA172" s="7"/>
      <c r="AB172" s="7"/>
      <c r="AC172" s="7"/>
      <c r="AD172" s="7"/>
      <c r="AE172" s="7"/>
      <c r="AF172" s="7"/>
      <c r="AG172" s="7"/>
      <c r="AH172" s="7"/>
      <c r="AI172" s="7"/>
      <c r="AJ172" s="7"/>
    </row>
    <row r="173">
      <c r="A173" s="10">
        <v>42411.0</v>
      </c>
      <c r="B173" s="5" t="s">
        <v>308</v>
      </c>
      <c r="C173" s="5" t="s">
        <v>21</v>
      </c>
      <c r="D173" s="6" t="str">
        <f>IF(NOT(ISBLANK(C173)), VLOOKUP(C173,'Dataset Descriptions'!$A$2:$B$10, 2, FALSE), "")</f>
        <v>The geographic coordinates for physical addresses.</v>
      </c>
      <c r="E173" s="5" t="s">
        <v>25</v>
      </c>
      <c r="F173" s="5" t="s">
        <v>25</v>
      </c>
      <c r="G173" s="5" t="s">
        <v>25</v>
      </c>
      <c r="H173" s="5" t="s">
        <v>25</v>
      </c>
      <c r="I173" s="5" t="s">
        <v>25</v>
      </c>
      <c r="J173" s="5" t="s">
        <v>25</v>
      </c>
      <c r="K173" s="5" t="s">
        <v>25</v>
      </c>
      <c r="L173" s="5" t="s">
        <v>25</v>
      </c>
      <c r="M173" s="5" t="s">
        <v>25</v>
      </c>
      <c r="N173" s="5" t="s">
        <v>25</v>
      </c>
      <c r="O173" s="5" t="s">
        <v>23</v>
      </c>
      <c r="P173" s="5" t="s">
        <v>23</v>
      </c>
      <c r="Q173" s="9" t="s">
        <v>309</v>
      </c>
      <c r="R173" s="6" t="s">
        <v>310</v>
      </c>
      <c r="S173" s="6">
        <f>IF(NOT(ISBLANK(E173)), ROUND(((IF(E173="yes",1,0)*'Grading Scale'!E$2)+(IF(F173="yes",1,0)*'Grading Scale'!E$3)+(IF(G173="yes",1,0)*'Grading Scale'!E$4)+(IF(H173="yes",1,0)*'Grading Scale'!E$5)+(IF(I173="yes",1,0)*'Grading Scale'!E$6)+(IF(J173="yes",1,0)*'Grading Scale'!E$7)+(IF(K173="yes",1,0)*'Grading Scale'!E$8)+(IF(L173="yes",1,0)*'Grading Scale'!E$9)+(IF(M173="yes",1,0)*'Grading Scale'!E$10)+(IF(N173="yes",1,0)*'Grading Scale'!E$11)+(IF(O173="yes",1,0)*'Grading Scale'!E$12)+(IF(P173="yes",1,0)*'Grading Scale'!E$13))/'Grading Scale'!E$14*100,0), "")</f>
        <v>90</v>
      </c>
      <c r="T173" s="6" t="str">
        <f>IF(ISNUMBER(S173),VLOOKUP(S173,'Grading Scale'!$A$2:$B$14, 2), "")</f>
        <v>A−</v>
      </c>
      <c r="U173" s="7"/>
      <c r="V173" s="7"/>
      <c r="W173" s="7"/>
      <c r="X173" s="7"/>
      <c r="Y173" s="7"/>
      <c r="Z173" s="7"/>
      <c r="AA173" s="7"/>
      <c r="AB173" s="7"/>
      <c r="AC173" s="7"/>
      <c r="AD173" s="7"/>
      <c r="AE173" s="7"/>
      <c r="AF173" s="7"/>
      <c r="AG173" s="7"/>
      <c r="AH173" s="7"/>
      <c r="AI173" s="7"/>
      <c r="AJ173" s="7"/>
    </row>
    <row r="174">
      <c r="A174" s="10">
        <v>42434.0</v>
      </c>
      <c r="B174" s="5" t="s">
        <v>308</v>
      </c>
      <c r="C174" s="5" t="s">
        <v>24</v>
      </c>
      <c r="D174" s="6" t="str">
        <f>IF(NOT(ISBLANK(C174)), VLOOKUP(C174,'Dataset Descriptions'!$A$2:$B$10, 2, FALSE), "")</f>
        <v>Transaction-level, per-agency spending records.</v>
      </c>
      <c r="E174" s="5" t="s">
        <v>25</v>
      </c>
      <c r="F174" s="5" t="s">
        <v>25</v>
      </c>
      <c r="G174" s="5" t="s">
        <v>25</v>
      </c>
      <c r="H174" s="5" t="s">
        <v>25</v>
      </c>
      <c r="I174" s="5" t="s">
        <v>25</v>
      </c>
      <c r="J174" s="5" t="s">
        <v>25</v>
      </c>
      <c r="K174" s="5" t="s">
        <v>25</v>
      </c>
      <c r="L174" s="5" t="s">
        <v>25</v>
      </c>
      <c r="M174" s="5" t="s">
        <v>22</v>
      </c>
      <c r="N174" s="5" t="s">
        <v>25</v>
      </c>
      <c r="O174" s="5" t="s">
        <v>25</v>
      </c>
      <c r="P174" s="5" t="s">
        <v>23</v>
      </c>
      <c r="Q174" s="9" t="s">
        <v>311</v>
      </c>
      <c r="R174" s="6" t="s">
        <v>312</v>
      </c>
      <c r="S174" s="6">
        <f>IF(NOT(ISBLANK(E174)), ROUND(((IF(E174="yes",1,0)*'Grading Scale'!E$2)+(IF(F174="yes",1,0)*'Grading Scale'!E$3)+(IF(G174="yes",1,0)*'Grading Scale'!E$4)+(IF(H174="yes",1,0)*'Grading Scale'!E$5)+(IF(I174="yes",1,0)*'Grading Scale'!E$6)+(IF(J174="yes",1,0)*'Grading Scale'!E$7)+(IF(K174="yes",1,0)*'Grading Scale'!E$8)+(IF(L174="yes",1,0)*'Grading Scale'!E$9)+(IF(M174="yes",1,0)*'Grading Scale'!E$10)+(IF(N174="yes",1,0)*'Grading Scale'!E$11)+(IF(O174="yes",1,0)*'Grading Scale'!E$12)+(IF(P174="yes",1,0)*'Grading Scale'!E$13))/'Grading Scale'!E$14*100,0), "")</f>
        <v>90</v>
      </c>
      <c r="T174" s="6" t="str">
        <f>IF(ISNUMBER(S174),VLOOKUP(S174,'Grading Scale'!$A$2:$B$14, 2), "")</f>
        <v>A−</v>
      </c>
      <c r="U174" s="7"/>
      <c r="V174" s="7"/>
      <c r="W174" s="7"/>
      <c r="X174" s="7"/>
      <c r="Y174" s="7"/>
      <c r="Z174" s="7"/>
      <c r="AA174" s="7"/>
      <c r="AB174" s="7"/>
      <c r="AC174" s="7"/>
      <c r="AD174" s="7"/>
      <c r="AE174" s="7"/>
      <c r="AF174" s="7"/>
      <c r="AG174" s="7"/>
      <c r="AH174" s="7"/>
      <c r="AI174" s="7"/>
      <c r="AJ174" s="7"/>
    </row>
    <row r="175">
      <c r="A175" s="10">
        <v>42338.0</v>
      </c>
      <c r="B175" s="5" t="s">
        <v>308</v>
      </c>
      <c r="C175" s="5" t="s">
        <v>28</v>
      </c>
      <c r="D175" s="6" t="str">
        <f>IF(NOT(ISBLANK(C175)), VLOOKUP(C175,'Dataset Descriptions'!$A$2:$B$10, 2, FALSE), "")</f>
        <v>The register of all corporations that exist in the state.</v>
      </c>
      <c r="E175" s="5" t="s">
        <v>25</v>
      </c>
      <c r="F175" s="5" t="s">
        <v>25</v>
      </c>
      <c r="G175" s="5" t="s">
        <v>25</v>
      </c>
      <c r="H175" s="5" t="s">
        <v>23</v>
      </c>
      <c r="I175" s="5" t="s">
        <v>25</v>
      </c>
      <c r="J175" s="5" t="s">
        <v>25</v>
      </c>
      <c r="K175" s="5" t="s">
        <v>25</v>
      </c>
      <c r="L175" s="5" t="s">
        <v>25</v>
      </c>
      <c r="M175" s="5" t="s">
        <v>25</v>
      </c>
      <c r="N175" s="5" t="s">
        <v>23</v>
      </c>
      <c r="O175" s="5" t="s">
        <v>23</v>
      </c>
      <c r="P175" s="5" t="s">
        <v>23</v>
      </c>
      <c r="Q175" s="9" t="s">
        <v>313</v>
      </c>
      <c r="R175" s="6" t="s">
        <v>314</v>
      </c>
      <c r="S175" s="6">
        <f>IF(NOT(ISBLANK(E175)), ROUND(((IF(E175="yes",1,0)*'Grading Scale'!E$2)+(IF(F175="yes",1,0)*'Grading Scale'!E$3)+(IF(G175="yes",1,0)*'Grading Scale'!E$4)+(IF(H175="yes",1,0)*'Grading Scale'!E$5)+(IF(I175="yes",1,0)*'Grading Scale'!E$6)+(IF(J175="yes",1,0)*'Grading Scale'!E$7)+(IF(K175="yes",1,0)*'Grading Scale'!E$8)+(IF(L175="yes",1,0)*'Grading Scale'!E$9)+(IF(M175="yes",1,0)*'Grading Scale'!E$10)+(IF(N175="yes",1,0)*'Grading Scale'!E$11)+(IF(O175="yes",1,0)*'Grading Scale'!E$12)+(IF(P175="yes",1,0)*'Grading Scale'!E$13))/'Grading Scale'!E$14*100,0), "")</f>
        <v>70</v>
      </c>
      <c r="T175" s="6" t="str">
        <f>IF(ISNUMBER(S175),VLOOKUP(S175,'Grading Scale'!$A$2:$B$14, 2), "")</f>
        <v>C−</v>
      </c>
      <c r="U175" s="7"/>
      <c r="V175" s="7"/>
      <c r="W175" s="7"/>
      <c r="X175" s="7"/>
      <c r="Y175" s="7"/>
      <c r="Z175" s="7"/>
      <c r="AA175" s="7"/>
      <c r="AB175" s="7"/>
      <c r="AC175" s="7"/>
      <c r="AD175" s="7"/>
      <c r="AE175" s="7"/>
      <c r="AF175" s="7"/>
      <c r="AG175" s="7"/>
      <c r="AH175" s="7"/>
      <c r="AI175" s="7"/>
      <c r="AJ175" s="7"/>
    </row>
    <row r="176">
      <c r="A176" s="10">
        <v>42374.0</v>
      </c>
      <c r="B176" s="5" t="s">
        <v>308</v>
      </c>
      <c r="C176" s="5" t="s">
        <v>31</v>
      </c>
      <c r="D176" s="6" t="str">
        <f>IF(NOT(ISBLANK(C176)), VLOOKUP(C176,'Dataset Descriptions'!$A$2:$B$10, 2, FALSE), "")</f>
        <v>Per-facility inmate population records.</v>
      </c>
      <c r="E176" s="5" t="s">
        <v>25</v>
      </c>
      <c r="F176" s="5" t="s">
        <v>25</v>
      </c>
      <c r="G176" s="5" t="s">
        <v>25</v>
      </c>
      <c r="H176" s="5" t="s">
        <v>25</v>
      </c>
      <c r="I176" s="5" t="s">
        <v>25</v>
      </c>
      <c r="J176" s="5" t="s">
        <v>25</v>
      </c>
      <c r="K176" s="5" t="s">
        <v>25</v>
      </c>
      <c r="L176" s="5" t="s">
        <v>25</v>
      </c>
      <c r="M176" s="5" t="s">
        <v>25</v>
      </c>
      <c r="N176" s="5" t="s">
        <v>23</v>
      </c>
      <c r="O176" s="5" t="s">
        <v>23</v>
      </c>
      <c r="P176" s="5" t="s">
        <v>23</v>
      </c>
      <c r="Q176" s="9" t="s">
        <v>315</v>
      </c>
      <c r="R176" s="6" t="s">
        <v>316</v>
      </c>
      <c r="S176" s="6">
        <f>IF(NOT(ISBLANK(E176)), ROUND(((IF(E176="yes",1,0)*'Grading Scale'!E$2)+(IF(F176="yes",1,0)*'Grading Scale'!E$3)+(IF(G176="yes",1,0)*'Grading Scale'!E$4)+(IF(H176="yes",1,0)*'Grading Scale'!E$5)+(IF(I176="yes",1,0)*'Grading Scale'!E$6)+(IF(J176="yes",1,0)*'Grading Scale'!E$7)+(IF(K176="yes",1,0)*'Grading Scale'!E$8)+(IF(L176="yes",1,0)*'Grading Scale'!E$9)+(IF(M176="yes",1,0)*'Grading Scale'!E$10)+(IF(N176="yes",1,0)*'Grading Scale'!E$11)+(IF(O176="yes",1,0)*'Grading Scale'!E$12)+(IF(P176="yes",1,0)*'Grading Scale'!E$13))/'Grading Scale'!E$14*100,0), "")</f>
        <v>85</v>
      </c>
      <c r="T176" s="6" t="str">
        <f>IF(ISNUMBER(S176),VLOOKUP(S176,'Grading Scale'!$A$2:$B$14, 2), "")</f>
        <v>B</v>
      </c>
      <c r="U176" s="7"/>
      <c r="V176" s="7"/>
      <c r="W176" s="7"/>
      <c r="X176" s="7"/>
      <c r="Y176" s="7"/>
      <c r="Z176" s="7"/>
      <c r="AA176" s="7"/>
      <c r="AB176" s="7"/>
      <c r="AC176" s="7"/>
      <c r="AD176" s="7"/>
      <c r="AE176" s="7"/>
      <c r="AF176" s="7"/>
      <c r="AG176" s="7"/>
      <c r="AH176" s="7"/>
      <c r="AI176" s="7"/>
      <c r="AJ176" s="7"/>
    </row>
    <row r="177">
      <c r="A177" s="10">
        <v>42338.0</v>
      </c>
      <c r="B177" s="5" t="s">
        <v>308</v>
      </c>
      <c r="C177" s="5" t="s">
        <v>34</v>
      </c>
      <c r="D177" s="6" t="str">
        <f>IF(NOT(ISBLANK(C177)), VLOOKUP(C177,'Dataset Descriptions'!$A$2:$B$10, 2, FALSE), "")</f>
        <v>Bills before the legislature, and the legislators that comprise it.</v>
      </c>
      <c r="E177" s="5" t="s">
        <v>25</v>
      </c>
      <c r="F177" s="5" t="s">
        <v>25</v>
      </c>
      <c r="G177" s="5" t="s">
        <v>25</v>
      </c>
      <c r="H177" s="5" t="s">
        <v>25</v>
      </c>
      <c r="I177" s="5" t="s">
        <v>25</v>
      </c>
      <c r="J177" s="5" t="s">
        <v>25</v>
      </c>
      <c r="K177" s="5" t="s">
        <v>25</v>
      </c>
      <c r="L177" s="5" t="s">
        <v>25</v>
      </c>
      <c r="M177" s="5" t="s">
        <v>25</v>
      </c>
      <c r="N177" s="5" t="s">
        <v>23</v>
      </c>
      <c r="O177" s="5" t="s">
        <v>23</v>
      </c>
      <c r="P177" s="5" t="s">
        <v>23</v>
      </c>
      <c r="Q177" s="9" t="s">
        <v>317</v>
      </c>
      <c r="R177" s="6" t="s">
        <v>318</v>
      </c>
      <c r="S177" s="6">
        <f>IF(NOT(ISBLANK(E177)), ROUND(((IF(E177="yes",1,0)*'Grading Scale'!E$2)+(IF(F177="yes",1,0)*'Grading Scale'!E$3)+(IF(G177="yes",1,0)*'Grading Scale'!E$4)+(IF(H177="yes",1,0)*'Grading Scale'!E$5)+(IF(I177="yes",1,0)*'Grading Scale'!E$6)+(IF(J177="yes",1,0)*'Grading Scale'!E$7)+(IF(K177="yes",1,0)*'Grading Scale'!E$8)+(IF(L177="yes",1,0)*'Grading Scale'!E$9)+(IF(M177="yes",1,0)*'Grading Scale'!E$10)+(IF(N177="yes",1,0)*'Grading Scale'!E$11)+(IF(O177="yes",1,0)*'Grading Scale'!E$12)+(IF(P177="yes",1,0)*'Grading Scale'!E$13))/'Grading Scale'!E$14*100,0), "")</f>
        <v>85</v>
      </c>
      <c r="T177" s="6" t="str">
        <f>IF(ISNUMBER(S177),VLOOKUP(S177,'Grading Scale'!$A$2:$B$14, 2), "")</f>
        <v>B</v>
      </c>
      <c r="U177" s="7"/>
      <c r="V177" s="7"/>
      <c r="W177" s="7"/>
      <c r="X177" s="7"/>
      <c r="Y177" s="7"/>
      <c r="Z177" s="7"/>
      <c r="AA177" s="7"/>
      <c r="AB177" s="7"/>
      <c r="AC177" s="7"/>
      <c r="AD177" s="7"/>
      <c r="AE177" s="7"/>
      <c r="AF177" s="7"/>
      <c r="AG177" s="7"/>
      <c r="AH177" s="7"/>
      <c r="AI177" s="7"/>
      <c r="AJ177" s="7"/>
    </row>
    <row r="178">
      <c r="A178" s="10">
        <v>42339.0</v>
      </c>
      <c r="B178" s="5" t="s">
        <v>308</v>
      </c>
      <c r="C178" s="6" t="s">
        <v>37</v>
      </c>
      <c r="D178" s="6" t="str">
        <f>IF(NOT(ISBLANK(C178)), VLOOKUP(C178,'Dataset Descriptions'!$A$2:$B$10, 2, FALSE), "")</f>
        <v>Forecasts of municipal-level changes in population over coming years.</v>
      </c>
      <c r="E178" s="5" t="s">
        <v>25</v>
      </c>
      <c r="F178" s="5" t="s">
        <v>25</v>
      </c>
      <c r="G178" s="5" t="s">
        <v>25</v>
      </c>
      <c r="H178" s="5" t="s">
        <v>25</v>
      </c>
      <c r="I178" s="5" t="s">
        <v>25</v>
      </c>
      <c r="J178" s="5" t="s">
        <v>25</v>
      </c>
      <c r="K178" s="5" t="s">
        <v>25</v>
      </c>
      <c r="L178" s="5" t="s">
        <v>25</v>
      </c>
      <c r="M178" s="5" t="s">
        <v>25</v>
      </c>
      <c r="N178" s="5" t="s">
        <v>25</v>
      </c>
      <c r="O178" s="5" t="s">
        <v>25</v>
      </c>
      <c r="P178" s="5" t="s">
        <v>23</v>
      </c>
      <c r="Q178" s="9" t="s">
        <v>319</v>
      </c>
      <c r="R178" s="6" t="s">
        <v>320</v>
      </c>
      <c r="S178" s="6">
        <f>IF(NOT(ISBLANK(E178)), ROUND(((IF(E178="yes",1,0)*'Grading Scale'!E$2)+(IF(F178="yes",1,0)*'Grading Scale'!E$3)+(IF(G178="yes",1,0)*'Grading Scale'!E$4)+(IF(H178="yes",1,0)*'Grading Scale'!E$5)+(IF(I178="yes",1,0)*'Grading Scale'!E$6)+(IF(J178="yes",1,0)*'Grading Scale'!E$7)+(IF(K178="yes",1,0)*'Grading Scale'!E$8)+(IF(L178="yes",1,0)*'Grading Scale'!E$9)+(IF(M178="yes",1,0)*'Grading Scale'!E$10)+(IF(N178="yes",1,0)*'Grading Scale'!E$11)+(IF(O178="yes",1,0)*'Grading Scale'!E$12)+(IF(P178="yes",1,0)*'Grading Scale'!E$13))/'Grading Scale'!E$14*100,0), "")</f>
        <v>95</v>
      </c>
      <c r="T178" s="6" t="str">
        <f>IF(ISNUMBER(S178),VLOOKUP(S178,'Grading Scale'!$A$2:$B$14, 2), "")</f>
        <v>A</v>
      </c>
      <c r="U178" s="7"/>
      <c r="V178" s="7"/>
      <c r="W178" s="7"/>
      <c r="X178" s="7"/>
      <c r="Y178" s="7"/>
      <c r="Z178" s="7"/>
      <c r="AA178" s="7"/>
      <c r="AB178" s="7"/>
      <c r="AC178" s="7"/>
      <c r="AD178" s="7"/>
      <c r="AE178" s="7"/>
      <c r="AF178" s="7"/>
      <c r="AG178" s="7"/>
      <c r="AH178" s="7"/>
      <c r="AI178" s="7"/>
      <c r="AJ178" s="7"/>
    </row>
    <row r="179">
      <c r="A179" s="10">
        <v>42338.0</v>
      </c>
      <c r="B179" s="5" t="s">
        <v>308</v>
      </c>
      <c r="C179" s="5" t="s">
        <v>40</v>
      </c>
      <c r="D179" s="6" t="str">
        <f>IF(NOT(ISBLANK(C179)), VLOOKUP(C179,'Dataset Descriptions'!$A$2:$B$10, 2, FALSE), "")</f>
        <v>State-owned land and buildings.</v>
      </c>
      <c r="E179" s="5" t="s">
        <v>22</v>
      </c>
      <c r="F179" s="5" t="s">
        <v>22</v>
      </c>
      <c r="G179" s="5" t="s">
        <v>22</v>
      </c>
      <c r="H179" s="5" t="s">
        <v>22</v>
      </c>
      <c r="I179" s="5" t="s">
        <v>23</v>
      </c>
      <c r="J179" s="5" t="s">
        <v>22</v>
      </c>
      <c r="K179" s="5" t="s">
        <v>23</v>
      </c>
      <c r="L179" s="5" t="s">
        <v>22</v>
      </c>
      <c r="M179" s="5" t="s">
        <v>22</v>
      </c>
      <c r="N179" s="5" t="s">
        <v>23</v>
      </c>
      <c r="O179" s="5" t="s">
        <v>23</v>
      </c>
      <c r="P179" s="5" t="s">
        <v>22</v>
      </c>
      <c r="Q179" s="7"/>
      <c r="R179" s="6" t="s">
        <v>321</v>
      </c>
      <c r="S179" s="6">
        <f>IF(NOT(ISBLANK(E179)), ROUND(((IF(E179="yes",1,0)*'Grading Scale'!E$2)+(IF(F179="yes",1,0)*'Grading Scale'!E$3)+(IF(G179="yes",1,0)*'Grading Scale'!E$4)+(IF(H179="yes",1,0)*'Grading Scale'!E$5)+(IF(I179="yes",1,0)*'Grading Scale'!E$6)+(IF(J179="yes",1,0)*'Grading Scale'!E$7)+(IF(K179="yes",1,0)*'Grading Scale'!E$8)+(IF(L179="yes",1,0)*'Grading Scale'!E$9)+(IF(M179="yes",1,0)*'Grading Scale'!E$10)+(IF(N179="yes",1,0)*'Grading Scale'!E$11)+(IF(O179="yes",1,0)*'Grading Scale'!E$12)+(IF(P179="yes",1,0)*'Grading Scale'!E$13))/'Grading Scale'!E$14*100,0), "")</f>
        <v>0</v>
      </c>
      <c r="T179" s="6" t="str">
        <f>IF(ISNUMBER(S179),VLOOKUP(S179,'Grading Scale'!$A$2:$B$14, 2), "")</f>
        <v>F</v>
      </c>
      <c r="U179" s="7"/>
      <c r="V179" s="7"/>
      <c r="W179" s="7"/>
      <c r="X179" s="7"/>
      <c r="Y179" s="7"/>
      <c r="Z179" s="7"/>
      <c r="AA179" s="7"/>
      <c r="AB179" s="7"/>
      <c r="AC179" s="7"/>
      <c r="AD179" s="7"/>
      <c r="AE179" s="7"/>
      <c r="AF179" s="7"/>
      <c r="AG179" s="7"/>
      <c r="AH179" s="7"/>
      <c r="AI179" s="7"/>
      <c r="AJ179" s="7"/>
    </row>
    <row r="180">
      <c r="A180" s="10">
        <v>42339.0</v>
      </c>
      <c r="B180" s="5" t="s">
        <v>308</v>
      </c>
      <c r="C180" s="5" t="s">
        <v>43</v>
      </c>
      <c r="D180" s="6" t="str">
        <f>IF(NOT(ISBLANK(C180)), VLOOKUP(C180,'Dataset Descriptions'!$A$2:$B$10, 2, FALSE), "")</f>
        <v>Health inspections of establishments that serve food to the public.</v>
      </c>
      <c r="E180" s="5" t="s">
        <v>22</v>
      </c>
      <c r="F180" s="5" t="s">
        <v>22</v>
      </c>
      <c r="G180" s="5" t="s">
        <v>22</v>
      </c>
      <c r="H180" s="5" t="s">
        <v>22</v>
      </c>
      <c r="I180" s="5" t="s">
        <v>23</v>
      </c>
      <c r="J180" s="5" t="s">
        <v>22</v>
      </c>
      <c r="K180" s="5" t="s">
        <v>23</v>
      </c>
      <c r="L180" s="5" t="s">
        <v>22</v>
      </c>
      <c r="M180" s="5" t="s">
        <v>22</v>
      </c>
      <c r="N180" s="5" t="s">
        <v>23</v>
      </c>
      <c r="O180" s="5" t="s">
        <v>23</v>
      </c>
      <c r="P180" s="5" t="s">
        <v>22</v>
      </c>
      <c r="Q180" s="7"/>
      <c r="R180" s="6" t="s">
        <v>322</v>
      </c>
      <c r="S180" s="6">
        <f>IF(NOT(ISBLANK(E180)), ROUND(((IF(E180="yes",1,0)*'Grading Scale'!E$2)+(IF(F180="yes",1,0)*'Grading Scale'!E$3)+(IF(G180="yes",1,0)*'Grading Scale'!E$4)+(IF(H180="yes",1,0)*'Grading Scale'!E$5)+(IF(I180="yes",1,0)*'Grading Scale'!E$6)+(IF(J180="yes",1,0)*'Grading Scale'!E$7)+(IF(K180="yes",1,0)*'Grading Scale'!E$8)+(IF(L180="yes",1,0)*'Grading Scale'!E$9)+(IF(M180="yes",1,0)*'Grading Scale'!E$10)+(IF(N180="yes",1,0)*'Grading Scale'!E$11)+(IF(O180="yes",1,0)*'Grading Scale'!E$12)+(IF(P180="yes",1,0)*'Grading Scale'!E$13))/'Grading Scale'!E$14*100,0), "")</f>
        <v>0</v>
      </c>
      <c r="T180" s="6" t="str">
        <f>IF(ISNUMBER(S180),VLOOKUP(S180,'Grading Scale'!$A$2:$B$14, 2), "")</f>
        <v>F</v>
      </c>
      <c r="U180" s="7"/>
      <c r="V180" s="7"/>
      <c r="W180" s="7"/>
      <c r="X180" s="7"/>
      <c r="Y180" s="7"/>
      <c r="Z180" s="7"/>
      <c r="AA180" s="7"/>
      <c r="AB180" s="7"/>
      <c r="AC180" s="7"/>
      <c r="AD180" s="7"/>
      <c r="AE180" s="7"/>
      <c r="AF180" s="7"/>
      <c r="AG180" s="7"/>
      <c r="AH180" s="7"/>
      <c r="AI180" s="7"/>
      <c r="AJ180" s="7"/>
    </row>
    <row r="181">
      <c r="A181" s="10">
        <v>42345.0</v>
      </c>
      <c r="B181" s="5" t="s">
        <v>308</v>
      </c>
      <c r="C181" s="17" t="s">
        <v>46</v>
      </c>
      <c r="D181" s="6" t="str">
        <f>IF(NOT(ISBLANK(C181)), VLOOKUP(C181,'Dataset Descriptions'!$A$2:$B$10, 2, FALSE), "")</f>
        <v>Incident-level reportable motor vehicle crash records.</v>
      </c>
      <c r="E181" s="5" t="s">
        <v>25</v>
      </c>
      <c r="F181" s="5" t="s">
        <v>25</v>
      </c>
      <c r="G181" s="5" t="s">
        <v>22</v>
      </c>
      <c r="H181" s="5" t="s">
        <v>22</v>
      </c>
      <c r="I181" s="5" t="s">
        <v>22</v>
      </c>
      <c r="J181" s="5" t="s">
        <v>22</v>
      </c>
      <c r="K181" s="5" t="s">
        <v>23</v>
      </c>
      <c r="L181" s="5" t="s">
        <v>22</v>
      </c>
      <c r="M181" s="5" t="s">
        <v>22</v>
      </c>
      <c r="N181" s="5" t="s">
        <v>23</v>
      </c>
      <c r="O181" s="5" t="s">
        <v>23</v>
      </c>
      <c r="P181" s="5" t="s">
        <v>22</v>
      </c>
      <c r="Q181" s="9" t="s">
        <v>323</v>
      </c>
      <c r="R181" s="6" t="s">
        <v>324</v>
      </c>
      <c r="S181" s="6">
        <f>IF(NOT(ISBLANK(E181)), ROUND(((IF(E181="yes",1,0)*'Grading Scale'!E$2)+(IF(F181="yes",1,0)*'Grading Scale'!E$3)+(IF(G181="yes",1,0)*'Grading Scale'!E$4)+(IF(H181="yes",1,0)*'Grading Scale'!E$5)+(IF(I181="yes",1,0)*'Grading Scale'!E$6)+(IF(J181="yes",1,0)*'Grading Scale'!E$7)+(IF(K181="yes",1,0)*'Grading Scale'!E$8)+(IF(L181="yes",1,0)*'Grading Scale'!E$9)+(IF(M181="yes",1,0)*'Grading Scale'!E$10)+(IF(N181="yes",1,0)*'Grading Scale'!E$11)+(IF(O181="yes",1,0)*'Grading Scale'!E$12)+(IF(P181="yes",1,0)*'Grading Scale'!E$13))/'Grading Scale'!E$14*100,0), "")</f>
        <v>5</v>
      </c>
      <c r="T181" s="6" t="str">
        <f>IF(ISNUMBER(S181),VLOOKUP(S181,'Grading Scale'!$A$2:$B$14, 2), "")</f>
        <v>F</v>
      </c>
      <c r="U181" s="7"/>
      <c r="V181" s="7"/>
      <c r="W181" s="7"/>
      <c r="X181" s="7"/>
      <c r="Y181" s="7"/>
      <c r="Z181" s="7"/>
      <c r="AA181" s="7"/>
      <c r="AB181" s="7"/>
      <c r="AC181" s="7"/>
      <c r="AD181" s="7"/>
      <c r="AE181" s="7"/>
      <c r="AF181" s="7"/>
      <c r="AG181" s="7"/>
      <c r="AH181" s="7"/>
      <c r="AI181" s="7"/>
      <c r="AJ181" s="7"/>
    </row>
    <row r="182">
      <c r="A182" s="10">
        <v>42338.0</v>
      </c>
      <c r="B182" s="5" t="s">
        <v>325</v>
      </c>
      <c r="C182" s="5" t="s">
        <v>21</v>
      </c>
      <c r="D182" s="6" t="str">
        <f>IF(NOT(ISBLANK(C182)), VLOOKUP(C182,'Dataset Descriptions'!$A$2:$B$10, 2, FALSE), "")</f>
        <v>The geographic coordinates for physical addresses.</v>
      </c>
      <c r="E182" s="5" t="s">
        <v>25</v>
      </c>
      <c r="F182" s="5" t="s">
        <v>25</v>
      </c>
      <c r="G182" s="5" t="s">
        <v>25</v>
      </c>
      <c r="H182" s="5" t="s">
        <v>25</v>
      </c>
      <c r="I182" s="5" t="s">
        <v>25</v>
      </c>
      <c r="J182" s="5" t="s">
        <v>25</v>
      </c>
      <c r="K182" s="5" t="s">
        <v>25</v>
      </c>
      <c r="L182" s="5" t="s">
        <v>23</v>
      </c>
      <c r="M182" s="5" t="s">
        <v>25</v>
      </c>
      <c r="N182" s="5" t="s">
        <v>25</v>
      </c>
      <c r="O182" s="5" t="s">
        <v>23</v>
      </c>
      <c r="P182" s="5" t="s">
        <v>23</v>
      </c>
      <c r="Q182" s="9" t="s">
        <v>326</v>
      </c>
      <c r="R182" s="6" t="s">
        <v>327</v>
      </c>
      <c r="S182" s="6">
        <f>IF(NOT(ISBLANK(E182)), ROUND(((IF(E182="yes",1,0)*'Grading Scale'!E$2)+(IF(F182="yes",1,0)*'Grading Scale'!E$3)+(IF(G182="yes",1,0)*'Grading Scale'!E$4)+(IF(H182="yes",1,0)*'Grading Scale'!E$5)+(IF(I182="yes",1,0)*'Grading Scale'!E$6)+(IF(J182="yes",1,0)*'Grading Scale'!E$7)+(IF(K182="yes",1,0)*'Grading Scale'!E$8)+(IF(L182="yes",1,0)*'Grading Scale'!E$9)+(IF(M182="yes",1,0)*'Grading Scale'!E$10)+(IF(N182="yes",1,0)*'Grading Scale'!E$11)+(IF(O182="yes",1,0)*'Grading Scale'!E$12)+(IF(P182="yes",1,0)*'Grading Scale'!E$13))/'Grading Scale'!E$14*100,0), "")</f>
        <v>85</v>
      </c>
      <c r="T182" s="6" t="str">
        <f>IF(ISNUMBER(S182),VLOOKUP(S182,'Grading Scale'!$A$2:$B$14, 2), "")</f>
        <v>B</v>
      </c>
      <c r="U182" s="7"/>
      <c r="V182" s="7"/>
      <c r="W182" s="7"/>
      <c r="X182" s="7"/>
      <c r="Y182" s="7"/>
      <c r="Z182" s="7"/>
      <c r="AA182" s="7"/>
      <c r="AB182" s="7"/>
      <c r="AC182" s="7"/>
      <c r="AD182" s="7"/>
      <c r="AE182" s="7"/>
      <c r="AF182" s="7"/>
      <c r="AG182" s="7"/>
      <c r="AH182" s="7"/>
      <c r="AI182" s="7"/>
      <c r="AJ182" s="7"/>
    </row>
    <row r="183">
      <c r="A183" s="10">
        <v>42338.0</v>
      </c>
      <c r="B183" s="5" t="s">
        <v>325</v>
      </c>
      <c r="C183" s="5" t="s">
        <v>24</v>
      </c>
      <c r="D183" s="6" t="str">
        <f>IF(NOT(ISBLANK(C183)), VLOOKUP(C183,'Dataset Descriptions'!$A$2:$B$10, 2, FALSE), "")</f>
        <v>Transaction-level, per-agency spending records.</v>
      </c>
      <c r="E183" s="5" t="s">
        <v>25</v>
      </c>
      <c r="F183" s="5" t="s">
        <v>25</v>
      </c>
      <c r="G183" s="5" t="s">
        <v>25</v>
      </c>
      <c r="H183" s="5" t="s">
        <v>25</v>
      </c>
      <c r="I183" s="5" t="s">
        <v>25</v>
      </c>
      <c r="J183" s="5" t="s">
        <v>25</v>
      </c>
      <c r="K183" s="5" t="s">
        <v>25</v>
      </c>
      <c r="L183" s="5" t="s">
        <v>25</v>
      </c>
      <c r="M183" s="5" t="s">
        <v>25</v>
      </c>
      <c r="N183" s="5" t="s">
        <v>23</v>
      </c>
      <c r="O183" s="5" t="s">
        <v>23</v>
      </c>
      <c r="P183" s="5" t="s">
        <v>25</v>
      </c>
      <c r="Q183" s="9" t="s">
        <v>328</v>
      </c>
      <c r="R183" s="6" t="s">
        <v>329</v>
      </c>
      <c r="S183" s="6">
        <f>IF(NOT(ISBLANK(E183)), ROUND(((IF(E183="yes",1,0)*'Grading Scale'!E$2)+(IF(F183="yes",1,0)*'Grading Scale'!E$3)+(IF(G183="yes",1,0)*'Grading Scale'!E$4)+(IF(H183="yes",1,0)*'Grading Scale'!E$5)+(IF(I183="yes",1,0)*'Grading Scale'!E$6)+(IF(J183="yes",1,0)*'Grading Scale'!E$7)+(IF(K183="yes",1,0)*'Grading Scale'!E$8)+(IF(L183="yes",1,0)*'Grading Scale'!E$9)+(IF(M183="yes",1,0)*'Grading Scale'!E$10)+(IF(N183="yes",1,0)*'Grading Scale'!E$11)+(IF(O183="yes",1,0)*'Grading Scale'!E$12)+(IF(P183="yes",1,0)*'Grading Scale'!E$13))/'Grading Scale'!E$14*100,0), "")</f>
        <v>90</v>
      </c>
      <c r="T183" s="6" t="str">
        <f>IF(ISNUMBER(S183),VLOOKUP(S183,'Grading Scale'!$A$2:$B$14, 2), "")</f>
        <v>A−</v>
      </c>
      <c r="U183" s="7"/>
      <c r="V183" s="7"/>
      <c r="W183" s="7"/>
      <c r="X183" s="7"/>
      <c r="Y183" s="7"/>
      <c r="Z183" s="7"/>
      <c r="AA183" s="7"/>
      <c r="AB183" s="7"/>
      <c r="AC183" s="7"/>
      <c r="AD183" s="7"/>
      <c r="AE183" s="7"/>
      <c r="AF183" s="7"/>
      <c r="AG183" s="7"/>
      <c r="AH183" s="7"/>
      <c r="AI183" s="7"/>
      <c r="AJ183" s="7"/>
    </row>
    <row r="184">
      <c r="A184" s="10">
        <v>42338.0</v>
      </c>
      <c r="B184" s="5" t="s">
        <v>325</v>
      </c>
      <c r="C184" s="5" t="s">
        <v>28</v>
      </c>
      <c r="D184" s="6" t="str">
        <f>IF(NOT(ISBLANK(C184)), VLOOKUP(C184,'Dataset Descriptions'!$A$2:$B$10, 2, FALSE), "")</f>
        <v>The register of all corporations that exist in the state.</v>
      </c>
      <c r="E184" s="5" t="s">
        <v>25</v>
      </c>
      <c r="F184" s="5" t="s">
        <v>25</v>
      </c>
      <c r="G184" s="5" t="s">
        <v>25</v>
      </c>
      <c r="H184" s="5" t="s">
        <v>25</v>
      </c>
      <c r="I184" s="5" t="s">
        <v>25</v>
      </c>
      <c r="J184" s="5" t="s">
        <v>23</v>
      </c>
      <c r="K184" s="5" t="s">
        <v>23</v>
      </c>
      <c r="L184" s="5" t="s">
        <v>23</v>
      </c>
      <c r="M184" s="5" t="s">
        <v>25</v>
      </c>
      <c r="N184" s="5" t="s">
        <v>23</v>
      </c>
      <c r="O184" s="5" t="s">
        <v>23</v>
      </c>
      <c r="P184" s="5" t="s">
        <v>25</v>
      </c>
      <c r="Q184" s="9" t="s">
        <v>330</v>
      </c>
      <c r="R184" s="8"/>
      <c r="S184" s="6">
        <f>IF(NOT(ISBLANK(E184)), ROUND(((IF(E184="yes",1,0)*'Grading Scale'!E$2)+(IF(F184="yes",1,0)*'Grading Scale'!E$3)+(IF(G184="yes",1,0)*'Grading Scale'!E$4)+(IF(H184="yes",1,0)*'Grading Scale'!E$5)+(IF(I184="yes",1,0)*'Grading Scale'!E$6)+(IF(J184="yes",1,0)*'Grading Scale'!E$7)+(IF(K184="yes",1,0)*'Grading Scale'!E$8)+(IF(L184="yes",1,0)*'Grading Scale'!E$9)+(IF(M184="yes",1,0)*'Grading Scale'!E$10)+(IF(N184="yes",1,0)*'Grading Scale'!E$11)+(IF(O184="yes",1,0)*'Grading Scale'!E$12)+(IF(P184="yes",1,0)*'Grading Scale'!E$13))/'Grading Scale'!E$14*100,0), "")</f>
        <v>40</v>
      </c>
      <c r="T184" s="6" t="str">
        <f>IF(ISNUMBER(S184),VLOOKUP(S184,'Grading Scale'!$A$2:$B$14, 2), "")</f>
        <v>F</v>
      </c>
      <c r="U184" s="7"/>
      <c r="V184" s="7"/>
      <c r="W184" s="7"/>
      <c r="X184" s="7"/>
      <c r="Y184" s="7"/>
      <c r="Z184" s="7"/>
      <c r="AA184" s="7"/>
      <c r="AB184" s="7"/>
      <c r="AC184" s="7"/>
      <c r="AD184" s="7"/>
      <c r="AE184" s="7"/>
      <c r="AF184" s="7"/>
      <c r="AG184" s="7"/>
      <c r="AH184" s="7"/>
      <c r="AI184" s="7"/>
      <c r="AJ184" s="7"/>
    </row>
    <row r="185">
      <c r="A185" s="10">
        <v>42338.0</v>
      </c>
      <c r="B185" s="5" t="s">
        <v>325</v>
      </c>
      <c r="C185" s="5" t="s">
        <v>31</v>
      </c>
      <c r="D185" s="6" t="str">
        <f>IF(NOT(ISBLANK(C185)), VLOOKUP(C185,'Dataset Descriptions'!$A$2:$B$10, 2, FALSE), "")</f>
        <v>Per-facility inmate population records.</v>
      </c>
      <c r="E185" s="5" t="s">
        <v>25</v>
      </c>
      <c r="F185" s="5" t="s">
        <v>25</v>
      </c>
      <c r="G185" s="5" t="s">
        <v>25</v>
      </c>
      <c r="H185" s="5" t="s">
        <v>25</v>
      </c>
      <c r="I185" s="5" t="s">
        <v>25</v>
      </c>
      <c r="J185" s="5" t="s">
        <v>23</v>
      </c>
      <c r="K185" s="5" t="s">
        <v>23</v>
      </c>
      <c r="L185" s="5" t="s">
        <v>23</v>
      </c>
      <c r="M185" s="5" t="s">
        <v>23</v>
      </c>
      <c r="N185" s="5" t="s">
        <v>23</v>
      </c>
      <c r="O185" s="5" t="s">
        <v>23</v>
      </c>
      <c r="P185" s="5" t="s">
        <v>23</v>
      </c>
      <c r="Q185" s="9" t="s">
        <v>331</v>
      </c>
      <c r="R185" s="6" t="s">
        <v>332</v>
      </c>
      <c r="S185" s="6">
        <f>IF(NOT(ISBLANK(E185)), ROUND(((IF(E185="yes",1,0)*'Grading Scale'!E$2)+(IF(F185="yes",1,0)*'Grading Scale'!E$3)+(IF(G185="yes",1,0)*'Grading Scale'!E$4)+(IF(H185="yes",1,0)*'Grading Scale'!E$5)+(IF(I185="yes",1,0)*'Grading Scale'!E$6)+(IF(J185="yes",1,0)*'Grading Scale'!E$7)+(IF(K185="yes",1,0)*'Grading Scale'!E$8)+(IF(L185="yes",1,0)*'Grading Scale'!E$9)+(IF(M185="yes",1,0)*'Grading Scale'!E$10)+(IF(N185="yes",1,0)*'Grading Scale'!E$11)+(IF(O185="yes",1,0)*'Grading Scale'!E$12)+(IF(P185="yes",1,0)*'Grading Scale'!E$13))/'Grading Scale'!E$14*100,0), "")</f>
        <v>30</v>
      </c>
      <c r="T185" s="6" t="str">
        <f>IF(ISNUMBER(S185),VLOOKUP(S185,'Grading Scale'!$A$2:$B$14, 2), "")</f>
        <v>F</v>
      </c>
      <c r="U185" s="7"/>
      <c r="V185" s="7"/>
      <c r="W185" s="7"/>
      <c r="X185" s="7"/>
      <c r="Y185" s="7"/>
      <c r="Z185" s="7"/>
      <c r="AA185" s="7"/>
      <c r="AB185" s="7"/>
      <c r="AC185" s="7"/>
      <c r="AD185" s="7"/>
      <c r="AE185" s="7"/>
      <c r="AF185" s="7"/>
      <c r="AG185" s="7"/>
      <c r="AH185" s="7"/>
      <c r="AI185" s="7"/>
      <c r="AJ185" s="7"/>
    </row>
    <row r="186">
      <c r="A186" s="10">
        <v>42338.0</v>
      </c>
      <c r="B186" s="5" t="s">
        <v>325</v>
      </c>
      <c r="C186" s="5" t="s">
        <v>34</v>
      </c>
      <c r="D186" s="6" t="str">
        <f>IF(NOT(ISBLANK(C186)), VLOOKUP(C186,'Dataset Descriptions'!$A$2:$B$10, 2, FALSE), "")</f>
        <v>Bills before the legislature, and the legislators that comprise it.</v>
      </c>
      <c r="E186" s="5" t="s">
        <v>25</v>
      </c>
      <c r="F186" s="5" t="s">
        <v>25</v>
      </c>
      <c r="G186" s="5" t="s">
        <v>25</v>
      </c>
      <c r="H186" s="5" t="s">
        <v>25</v>
      </c>
      <c r="I186" s="5" t="s">
        <v>25</v>
      </c>
      <c r="J186" s="5" t="s">
        <v>23</v>
      </c>
      <c r="K186" s="5" t="s">
        <v>23</v>
      </c>
      <c r="L186" s="5" t="s">
        <v>23</v>
      </c>
      <c r="M186" s="5" t="s">
        <v>25</v>
      </c>
      <c r="N186" s="5" t="s">
        <v>23</v>
      </c>
      <c r="O186" s="5" t="s">
        <v>25</v>
      </c>
      <c r="P186" s="5" t="s">
        <v>25</v>
      </c>
      <c r="Q186" s="9" t="s">
        <v>333</v>
      </c>
      <c r="R186" s="6" t="s">
        <v>334</v>
      </c>
      <c r="S186" s="6">
        <f>IF(NOT(ISBLANK(E186)), ROUND(((IF(E186="yes",1,0)*'Grading Scale'!E$2)+(IF(F186="yes",1,0)*'Grading Scale'!E$3)+(IF(G186="yes",1,0)*'Grading Scale'!E$4)+(IF(H186="yes",1,0)*'Grading Scale'!E$5)+(IF(I186="yes",1,0)*'Grading Scale'!E$6)+(IF(J186="yes",1,0)*'Grading Scale'!E$7)+(IF(K186="yes",1,0)*'Grading Scale'!E$8)+(IF(L186="yes",1,0)*'Grading Scale'!E$9)+(IF(M186="yes",1,0)*'Grading Scale'!E$10)+(IF(N186="yes",1,0)*'Grading Scale'!E$11)+(IF(O186="yes",1,0)*'Grading Scale'!E$12)+(IF(P186="yes",1,0)*'Grading Scale'!E$13))/'Grading Scale'!E$14*100,0), "")</f>
        <v>45</v>
      </c>
      <c r="T186" s="6" t="str">
        <f>IF(ISNUMBER(S186),VLOOKUP(S186,'Grading Scale'!$A$2:$B$14, 2), "")</f>
        <v>F</v>
      </c>
      <c r="U186" s="7"/>
      <c r="V186" s="7"/>
      <c r="W186" s="7"/>
      <c r="X186" s="7"/>
      <c r="Y186" s="7"/>
      <c r="Z186" s="7"/>
      <c r="AA186" s="7"/>
      <c r="AB186" s="7"/>
      <c r="AC186" s="7"/>
      <c r="AD186" s="7"/>
      <c r="AE186" s="7"/>
      <c r="AF186" s="7"/>
      <c r="AG186" s="7"/>
      <c r="AH186" s="7"/>
      <c r="AI186" s="7"/>
      <c r="AJ186" s="7"/>
    </row>
    <row r="187">
      <c r="A187" s="10">
        <v>42338.0</v>
      </c>
      <c r="B187" s="5" t="s">
        <v>325</v>
      </c>
      <c r="C187" s="6" t="s">
        <v>37</v>
      </c>
      <c r="D187" s="6" t="str">
        <f>IF(NOT(ISBLANK(C187)), VLOOKUP(C187,'Dataset Descriptions'!$A$2:$B$10, 2, FALSE), "")</f>
        <v>Forecasts of municipal-level changes in population over coming years.</v>
      </c>
      <c r="E187" s="5" t="s">
        <v>25</v>
      </c>
      <c r="F187" s="5" t="s">
        <v>25</v>
      </c>
      <c r="G187" s="5" t="s">
        <v>25</v>
      </c>
      <c r="H187" s="5" t="s">
        <v>25</v>
      </c>
      <c r="I187" s="5" t="s">
        <v>25</v>
      </c>
      <c r="J187" s="5" t="s">
        <v>25</v>
      </c>
      <c r="K187" s="5" t="s">
        <v>25</v>
      </c>
      <c r="L187" s="5" t="s">
        <v>25</v>
      </c>
      <c r="M187" s="5" t="s">
        <v>25</v>
      </c>
      <c r="N187" s="5" t="s">
        <v>23</v>
      </c>
      <c r="O187" s="5" t="s">
        <v>23</v>
      </c>
      <c r="P187" s="5" t="s">
        <v>23</v>
      </c>
      <c r="Q187" s="9" t="s">
        <v>335</v>
      </c>
      <c r="R187" s="6" t="s">
        <v>336</v>
      </c>
      <c r="S187" s="6">
        <f>IF(NOT(ISBLANK(E187)), ROUND(((IF(E187="yes",1,0)*'Grading Scale'!E$2)+(IF(F187="yes",1,0)*'Grading Scale'!E$3)+(IF(G187="yes",1,0)*'Grading Scale'!E$4)+(IF(H187="yes",1,0)*'Grading Scale'!E$5)+(IF(I187="yes",1,0)*'Grading Scale'!E$6)+(IF(J187="yes",1,0)*'Grading Scale'!E$7)+(IF(K187="yes",1,0)*'Grading Scale'!E$8)+(IF(L187="yes",1,0)*'Grading Scale'!E$9)+(IF(M187="yes",1,0)*'Grading Scale'!E$10)+(IF(N187="yes",1,0)*'Grading Scale'!E$11)+(IF(O187="yes",1,0)*'Grading Scale'!E$12)+(IF(P187="yes",1,0)*'Grading Scale'!E$13))/'Grading Scale'!E$14*100,0), "")</f>
        <v>85</v>
      </c>
      <c r="T187" s="6" t="str">
        <f>IF(ISNUMBER(S187),VLOOKUP(S187,'Grading Scale'!$A$2:$B$14, 2), "")</f>
        <v>B</v>
      </c>
      <c r="U187" s="7"/>
      <c r="V187" s="7"/>
      <c r="W187" s="7"/>
      <c r="X187" s="7"/>
      <c r="Y187" s="7"/>
      <c r="Z187" s="7"/>
      <c r="AA187" s="7"/>
      <c r="AB187" s="7"/>
      <c r="AC187" s="7"/>
      <c r="AD187" s="7"/>
      <c r="AE187" s="7"/>
      <c r="AF187" s="7"/>
      <c r="AG187" s="7"/>
      <c r="AH187" s="7"/>
      <c r="AI187" s="7"/>
      <c r="AJ187" s="7"/>
    </row>
    <row r="188">
      <c r="A188" s="10">
        <v>42338.0</v>
      </c>
      <c r="B188" s="5" t="s">
        <v>325</v>
      </c>
      <c r="C188" s="5" t="s">
        <v>40</v>
      </c>
      <c r="D188" s="6" t="str">
        <f>IF(NOT(ISBLANK(C188)), VLOOKUP(C188,'Dataset Descriptions'!$A$2:$B$10, 2, FALSE), "")</f>
        <v>State-owned land and buildings.</v>
      </c>
      <c r="E188" s="5" t="s">
        <v>25</v>
      </c>
      <c r="F188" s="5" t="s">
        <v>25</v>
      </c>
      <c r="G188" s="5" t="s">
        <v>25</v>
      </c>
      <c r="H188" s="5" t="s">
        <v>25</v>
      </c>
      <c r="I188" s="5" t="s">
        <v>25</v>
      </c>
      <c r="J188" s="5" t="s">
        <v>23</v>
      </c>
      <c r="K188" s="5" t="s">
        <v>23</v>
      </c>
      <c r="L188" s="5" t="s">
        <v>23</v>
      </c>
      <c r="M188" s="5" t="s">
        <v>23</v>
      </c>
      <c r="N188" s="5" t="s">
        <v>23</v>
      </c>
      <c r="O188" s="5" t="s">
        <v>23</v>
      </c>
      <c r="P188" s="5" t="s">
        <v>23</v>
      </c>
      <c r="Q188" s="9" t="s">
        <v>337</v>
      </c>
      <c r="R188" s="6" t="s">
        <v>338</v>
      </c>
      <c r="S188" s="6">
        <f>IF(NOT(ISBLANK(E188)), ROUND(((IF(E188="yes",1,0)*'Grading Scale'!E$2)+(IF(F188="yes",1,0)*'Grading Scale'!E$3)+(IF(G188="yes",1,0)*'Grading Scale'!E$4)+(IF(H188="yes",1,0)*'Grading Scale'!E$5)+(IF(I188="yes",1,0)*'Grading Scale'!E$6)+(IF(J188="yes",1,0)*'Grading Scale'!E$7)+(IF(K188="yes",1,0)*'Grading Scale'!E$8)+(IF(L188="yes",1,0)*'Grading Scale'!E$9)+(IF(M188="yes",1,0)*'Grading Scale'!E$10)+(IF(N188="yes",1,0)*'Grading Scale'!E$11)+(IF(O188="yes",1,0)*'Grading Scale'!E$12)+(IF(P188="yes",1,0)*'Grading Scale'!E$13))/'Grading Scale'!E$14*100,0), "")</f>
        <v>30</v>
      </c>
      <c r="T188" s="6" t="str">
        <f>IF(ISNUMBER(S188),VLOOKUP(S188,'Grading Scale'!$A$2:$B$14, 2), "")</f>
        <v>F</v>
      </c>
      <c r="U188" s="7"/>
      <c r="V188" s="7"/>
      <c r="W188" s="7"/>
      <c r="X188" s="7"/>
      <c r="Y188" s="7"/>
      <c r="Z188" s="7"/>
      <c r="AA188" s="7"/>
      <c r="AB188" s="7"/>
      <c r="AC188" s="7"/>
      <c r="AD188" s="7"/>
      <c r="AE188" s="7"/>
      <c r="AF188" s="7"/>
      <c r="AG188" s="7"/>
      <c r="AH188" s="7"/>
      <c r="AI188" s="7"/>
      <c r="AJ188" s="7"/>
    </row>
    <row r="189">
      <c r="A189" s="10">
        <v>42338.0</v>
      </c>
      <c r="B189" s="5" t="s">
        <v>325</v>
      </c>
      <c r="C189" s="5" t="s">
        <v>43</v>
      </c>
      <c r="D189" s="6" t="str">
        <f>IF(NOT(ISBLANK(C189)), VLOOKUP(C189,'Dataset Descriptions'!$A$2:$B$10, 2, FALSE), "")</f>
        <v>Health inspections of establishments that serve food to the public.</v>
      </c>
      <c r="E189" s="5" t="s">
        <v>22</v>
      </c>
      <c r="F189" s="5" t="s">
        <v>22</v>
      </c>
      <c r="G189" s="5" t="s">
        <v>22</v>
      </c>
      <c r="H189" s="5" t="s">
        <v>22</v>
      </c>
      <c r="I189" s="5" t="s">
        <v>23</v>
      </c>
      <c r="J189" s="5" t="s">
        <v>22</v>
      </c>
      <c r="K189" s="5" t="s">
        <v>23</v>
      </c>
      <c r="L189" s="5" t="s">
        <v>22</v>
      </c>
      <c r="M189" s="5" t="s">
        <v>22</v>
      </c>
      <c r="N189" s="5" t="s">
        <v>23</v>
      </c>
      <c r="O189" s="5" t="s">
        <v>23</v>
      </c>
      <c r="P189" s="5" t="s">
        <v>22</v>
      </c>
      <c r="Q189" s="9" t="s">
        <v>339</v>
      </c>
      <c r="R189" s="6" t="s">
        <v>340</v>
      </c>
      <c r="S189" s="6">
        <f>IF(NOT(ISBLANK(E189)), ROUND(((IF(E189="yes",1,0)*'Grading Scale'!E$2)+(IF(F189="yes",1,0)*'Grading Scale'!E$3)+(IF(G189="yes",1,0)*'Grading Scale'!E$4)+(IF(H189="yes",1,0)*'Grading Scale'!E$5)+(IF(I189="yes",1,0)*'Grading Scale'!E$6)+(IF(J189="yes",1,0)*'Grading Scale'!E$7)+(IF(K189="yes",1,0)*'Grading Scale'!E$8)+(IF(L189="yes",1,0)*'Grading Scale'!E$9)+(IF(M189="yes",1,0)*'Grading Scale'!E$10)+(IF(N189="yes",1,0)*'Grading Scale'!E$11)+(IF(O189="yes",1,0)*'Grading Scale'!E$12)+(IF(P189="yes",1,0)*'Grading Scale'!E$13))/'Grading Scale'!E$14*100,0), "")</f>
        <v>0</v>
      </c>
      <c r="T189" s="6" t="str">
        <f>IF(ISNUMBER(S189),VLOOKUP(S189,'Grading Scale'!$A$2:$B$14, 2), "")</f>
        <v>F</v>
      </c>
      <c r="U189" s="7"/>
      <c r="V189" s="7"/>
      <c r="W189" s="7"/>
      <c r="X189" s="7"/>
      <c r="Y189" s="7"/>
      <c r="Z189" s="7"/>
      <c r="AA189" s="7"/>
      <c r="AB189" s="7"/>
      <c r="AC189" s="7"/>
      <c r="AD189" s="7"/>
      <c r="AE189" s="7"/>
      <c r="AF189" s="7"/>
      <c r="AG189" s="7"/>
      <c r="AH189" s="7"/>
      <c r="AI189" s="7"/>
      <c r="AJ189" s="7"/>
    </row>
    <row r="190">
      <c r="A190" s="10">
        <v>42338.0</v>
      </c>
      <c r="B190" s="5" t="s">
        <v>325</v>
      </c>
      <c r="C190" s="6" t="s">
        <v>46</v>
      </c>
      <c r="D190" s="6" t="str">
        <f>IF(NOT(ISBLANK(C190)), VLOOKUP(C190,'Dataset Descriptions'!$A$2:$B$10, 2, FALSE), "")</f>
        <v>Incident-level reportable motor vehicle crash records.</v>
      </c>
      <c r="E190" s="5" t="s">
        <v>25</v>
      </c>
      <c r="F190" s="5" t="s">
        <v>25</v>
      </c>
      <c r="G190" s="5" t="s">
        <v>25</v>
      </c>
      <c r="H190" s="5" t="s">
        <v>25</v>
      </c>
      <c r="I190" s="5" t="s">
        <v>25</v>
      </c>
      <c r="J190" s="5" t="s">
        <v>25</v>
      </c>
      <c r="K190" s="5" t="s">
        <v>23</v>
      </c>
      <c r="L190" s="5" t="s">
        <v>23</v>
      </c>
      <c r="M190" s="5" t="s">
        <v>23</v>
      </c>
      <c r="N190" s="5" t="s">
        <v>23</v>
      </c>
      <c r="O190" s="5" t="s">
        <v>23</v>
      </c>
      <c r="P190" s="5" t="s">
        <v>25</v>
      </c>
      <c r="Q190" s="9" t="s">
        <v>341</v>
      </c>
      <c r="R190" s="6" t="s">
        <v>342</v>
      </c>
      <c r="S190" s="6">
        <f>IF(NOT(ISBLANK(E190)), ROUND(((IF(E190="yes",1,0)*'Grading Scale'!E$2)+(IF(F190="yes",1,0)*'Grading Scale'!E$3)+(IF(G190="yes",1,0)*'Grading Scale'!E$4)+(IF(H190="yes",1,0)*'Grading Scale'!E$5)+(IF(I190="yes",1,0)*'Grading Scale'!E$6)+(IF(J190="yes",1,0)*'Grading Scale'!E$7)+(IF(K190="yes",1,0)*'Grading Scale'!E$8)+(IF(L190="yes",1,0)*'Grading Scale'!E$9)+(IF(M190="yes",1,0)*'Grading Scale'!E$10)+(IF(N190="yes",1,0)*'Grading Scale'!E$11)+(IF(O190="yes",1,0)*'Grading Scale'!E$12)+(IF(P190="yes",1,0)*'Grading Scale'!E$13))/'Grading Scale'!E$14*100,0), "")</f>
        <v>75</v>
      </c>
      <c r="T190" s="6" t="str">
        <f>IF(ISNUMBER(S190),VLOOKUP(S190,'Grading Scale'!$A$2:$B$14, 2), "")</f>
        <v>C</v>
      </c>
      <c r="U190" s="7"/>
      <c r="V190" s="7"/>
      <c r="W190" s="7"/>
      <c r="X190" s="7"/>
      <c r="Y190" s="7"/>
      <c r="Z190" s="7"/>
      <c r="AA190" s="7"/>
      <c r="AB190" s="7"/>
      <c r="AC190" s="7"/>
      <c r="AD190" s="7"/>
      <c r="AE190" s="7"/>
      <c r="AF190" s="7"/>
      <c r="AG190" s="7"/>
      <c r="AH190" s="7"/>
      <c r="AI190" s="7"/>
      <c r="AJ190" s="7"/>
    </row>
    <row r="191">
      <c r="A191" s="10">
        <v>42338.0</v>
      </c>
      <c r="B191" s="6" t="s">
        <v>343</v>
      </c>
      <c r="C191" s="6" t="s">
        <v>21</v>
      </c>
      <c r="D191" s="6" t="str">
        <f>IF(NOT(ISBLANK(C191)), VLOOKUP(C191,'Dataset Descriptions'!$A$2:$B$10, 2, FALSE), "")</f>
        <v>The geographic coordinates for physical addresses.</v>
      </c>
      <c r="E191" s="6" t="s">
        <v>23</v>
      </c>
      <c r="F191" s="6" t="s">
        <v>23</v>
      </c>
      <c r="G191" s="6" t="s">
        <v>23</v>
      </c>
      <c r="H191" s="6" t="s">
        <v>23</v>
      </c>
      <c r="I191" s="6" t="s">
        <v>23</v>
      </c>
      <c r="J191" s="6" t="s">
        <v>23</v>
      </c>
      <c r="K191" s="6" t="s">
        <v>23</v>
      </c>
      <c r="L191" s="6" t="s">
        <v>23</v>
      </c>
      <c r="M191" s="6" t="s">
        <v>23</v>
      </c>
      <c r="N191" s="6" t="s">
        <v>23</v>
      </c>
      <c r="O191" s="6" t="s">
        <v>23</v>
      </c>
      <c r="P191" s="6" t="s">
        <v>23</v>
      </c>
      <c r="Q191" s="8"/>
      <c r="R191" s="11"/>
      <c r="S191" s="6">
        <f>IF(NOT(ISBLANK(E191)), ROUND(((IF(E191="yes",1,0)*'Grading Scale'!E$2)+(IF(F191="yes",1,0)*'Grading Scale'!E$3)+(IF(G191="yes",1,0)*'Grading Scale'!E$4)+(IF(H191="yes",1,0)*'Grading Scale'!E$5)+(IF(I191="yes",1,0)*'Grading Scale'!E$6)+(IF(J191="yes",1,0)*'Grading Scale'!E$7)+(IF(K191="yes",1,0)*'Grading Scale'!E$8)+(IF(L191="yes",1,0)*'Grading Scale'!E$9)+(IF(M191="yes",1,0)*'Grading Scale'!E$10)+(IF(N191="yes",1,0)*'Grading Scale'!E$11)+(IF(O191="yes",1,0)*'Grading Scale'!E$12)+(IF(P191="yes",1,0)*'Grading Scale'!E$13))/'Grading Scale'!E$14*100,0), "")</f>
        <v>0</v>
      </c>
      <c r="T191" s="6" t="str">
        <f>IF(ISNUMBER(S191),VLOOKUP(S191,'Grading Scale'!$A$2:$B$14, 2), "")</f>
        <v>F</v>
      </c>
      <c r="U191" s="7"/>
      <c r="V191" s="7"/>
      <c r="W191" s="7"/>
      <c r="X191" s="7"/>
      <c r="Y191" s="7"/>
      <c r="Z191" s="7"/>
      <c r="AA191" s="7"/>
      <c r="AB191" s="7"/>
      <c r="AC191" s="7"/>
      <c r="AD191" s="7"/>
      <c r="AE191" s="7"/>
      <c r="AF191" s="7"/>
      <c r="AG191" s="7"/>
      <c r="AH191" s="7"/>
      <c r="AI191" s="7"/>
      <c r="AJ191" s="7"/>
    </row>
    <row r="192">
      <c r="A192" s="10">
        <v>42431.0</v>
      </c>
      <c r="B192" s="6" t="s">
        <v>343</v>
      </c>
      <c r="C192" s="6" t="s">
        <v>24</v>
      </c>
      <c r="D192" s="6" t="str">
        <f>IF(NOT(ISBLANK(C192)), VLOOKUP(C192,'Dataset Descriptions'!$A$2:$B$10, 2, FALSE), "")</f>
        <v>Transaction-level, per-agency spending records.</v>
      </c>
      <c r="E192" s="6" t="s">
        <v>25</v>
      </c>
      <c r="F192" s="6" t="s">
        <v>25</v>
      </c>
      <c r="G192" s="6" t="s">
        <v>25</v>
      </c>
      <c r="H192" s="6" t="s">
        <v>25</v>
      </c>
      <c r="I192" s="6" t="s">
        <v>25</v>
      </c>
      <c r="J192" s="6" t="s">
        <v>25</v>
      </c>
      <c r="K192" s="6" t="s">
        <v>25</v>
      </c>
      <c r="L192" s="6" t="s">
        <v>23</v>
      </c>
      <c r="M192" s="6" t="s">
        <v>23</v>
      </c>
      <c r="N192" s="6" t="s">
        <v>23</v>
      </c>
      <c r="O192" s="6" t="s">
        <v>25</v>
      </c>
      <c r="P192" s="6" t="s">
        <v>23</v>
      </c>
      <c r="Q192" s="15" t="s">
        <v>344</v>
      </c>
      <c r="R192" s="13" t="s">
        <v>345</v>
      </c>
      <c r="S192" s="6">
        <f>IF(NOT(ISBLANK(E192)), ROUND(((IF(E192="yes",1,0)*'Grading Scale'!E$2)+(IF(F192="yes",1,0)*'Grading Scale'!E$3)+(IF(G192="yes",1,0)*'Grading Scale'!E$4)+(IF(H192="yes",1,0)*'Grading Scale'!E$5)+(IF(I192="yes",1,0)*'Grading Scale'!E$6)+(IF(J192="yes",1,0)*'Grading Scale'!E$7)+(IF(K192="yes",1,0)*'Grading Scale'!E$8)+(IF(L192="yes",1,0)*'Grading Scale'!E$9)+(IF(M192="yes",1,0)*'Grading Scale'!E$10)+(IF(N192="yes",1,0)*'Grading Scale'!E$11)+(IF(O192="yes",1,0)*'Grading Scale'!E$12)+(IF(P192="yes",1,0)*'Grading Scale'!E$13))/'Grading Scale'!E$14*100,0), "")</f>
        <v>80</v>
      </c>
      <c r="T192" s="6" t="str">
        <f>IF(ISNUMBER(S192),VLOOKUP(S192,'Grading Scale'!$A$2:$B$14, 2), "")</f>
        <v>B−</v>
      </c>
      <c r="U192" s="7"/>
      <c r="V192" s="7"/>
      <c r="W192" s="7"/>
      <c r="X192" s="7"/>
      <c r="Y192" s="7"/>
      <c r="Z192" s="7"/>
      <c r="AA192" s="7"/>
      <c r="AB192" s="7"/>
      <c r="AC192" s="7"/>
      <c r="AD192" s="7"/>
      <c r="AE192" s="7"/>
      <c r="AF192" s="7"/>
      <c r="AG192" s="7"/>
      <c r="AH192" s="7"/>
      <c r="AI192" s="7"/>
      <c r="AJ192" s="7"/>
    </row>
    <row r="193">
      <c r="A193" s="10">
        <v>42338.0</v>
      </c>
      <c r="B193" s="6" t="s">
        <v>343</v>
      </c>
      <c r="C193" s="6" t="s">
        <v>28</v>
      </c>
      <c r="D193" s="6" t="str">
        <f>IF(NOT(ISBLANK(C193)), VLOOKUP(C193,'Dataset Descriptions'!$A$2:$B$10, 2, FALSE), "")</f>
        <v>The register of all corporations that exist in the state.</v>
      </c>
      <c r="E193" s="6" t="s">
        <v>25</v>
      </c>
      <c r="F193" s="6" t="s">
        <v>25</v>
      </c>
      <c r="G193" s="6" t="s">
        <v>25</v>
      </c>
      <c r="H193" s="6" t="s">
        <v>25</v>
      </c>
      <c r="I193" s="6" t="s">
        <v>25</v>
      </c>
      <c r="J193" s="6" t="s">
        <v>23</v>
      </c>
      <c r="K193" s="6" t="s">
        <v>23</v>
      </c>
      <c r="L193" s="6" t="s">
        <v>23</v>
      </c>
      <c r="M193" s="6" t="s">
        <v>25</v>
      </c>
      <c r="N193" s="6" t="s">
        <v>23</v>
      </c>
      <c r="O193" s="6" t="s">
        <v>23</v>
      </c>
      <c r="P193" s="6" t="s">
        <v>25</v>
      </c>
      <c r="Q193" s="15" t="s">
        <v>346</v>
      </c>
      <c r="R193" s="11"/>
      <c r="S193" s="6">
        <f>IF(NOT(ISBLANK(E193)), ROUND(((IF(E193="yes",1,0)*'Grading Scale'!E$2)+(IF(F193="yes",1,0)*'Grading Scale'!E$3)+(IF(G193="yes",1,0)*'Grading Scale'!E$4)+(IF(H193="yes",1,0)*'Grading Scale'!E$5)+(IF(I193="yes",1,0)*'Grading Scale'!E$6)+(IF(J193="yes",1,0)*'Grading Scale'!E$7)+(IF(K193="yes",1,0)*'Grading Scale'!E$8)+(IF(L193="yes",1,0)*'Grading Scale'!E$9)+(IF(M193="yes",1,0)*'Grading Scale'!E$10)+(IF(N193="yes",1,0)*'Grading Scale'!E$11)+(IF(O193="yes",1,0)*'Grading Scale'!E$12)+(IF(P193="yes",1,0)*'Grading Scale'!E$13))/'Grading Scale'!E$14*100,0), "")</f>
        <v>40</v>
      </c>
      <c r="T193" s="6" t="str">
        <f>IF(ISNUMBER(S193),VLOOKUP(S193,'Grading Scale'!$A$2:$B$14, 2), "")</f>
        <v>F</v>
      </c>
      <c r="U193" s="7"/>
      <c r="V193" s="7"/>
      <c r="W193" s="7"/>
      <c r="X193" s="7"/>
      <c r="Y193" s="7"/>
      <c r="Z193" s="7"/>
      <c r="AA193" s="7"/>
      <c r="AB193" s="7"/>
      <c r="AC193" s="7"/>
      <c r="AD193" s="7"/>
      <c r="AE193" s="7"/>
      <c r="AF193" s="7"/>
      <c r="AG193" s="7"/>
      <c r="AH193" s="7"/>
      <c r="AI193" s="7"/>
      <c r="AJ193" s="7"/>
    </row>
    <row r="194">
      <c r="A194" s="10">
        <v>42431.0</v>
      </c>
      <c r="B194" s="6" t="s">
        <v>343</v>
      </c>
      <c r="C194" s="6" t="s">
        <v>31</v>
      </c>
      <c r="D194" s="6" t="str">
        <f>IF(NOT(ISBLANK(C194)), VLOOKUP(C194,'Dataset Descriptions'!$A$2:$B$10, 2, FALSE), "")</f>
        <v>Per-facility inmate population records.</v>
      </c>
      <c r="E194" s="6" t="s">
        <v>25</v>
      </c>
      <c r="F194" s="6" t="s">
        <v>25</v>
      </c>
      <c r="G194" s="6" t="s">
        <v>25</v>
      </c>
      <c r="H194" s="6" t="s">
        <v>25</v>
      </c>
      <c r="I194" s="6" t="s">
        <v>25</v>
      </c>
      <c r="J194" s="6" t="s">
        <v>23</v>
      </c>
      <c r="K194" s="6" t="s">
        <v>23</v>
      </c>
      <c r="L194" s="6" t="s">
        <v>23</v>
      </c>
      <c r="M194" s="6" t="s">
        <v>25</v>
      </c>
      <c r="N194" s="6" t="s">
        <v>23</v>
      </c>
      <c r="O194" s="6" t="s">
        <v>25</v>
      </c>
      <c r="P194" s="6" t="s">
        <v>25</v>
      </c>
      <c r="Q194" s="15" t="s">
        <v>347</v>
      </c>
      <c r="R194" s="14" t="s">
        <v>348</v>
      </c>
      <c r="S194" s="6">
        <f>IF(NOT(ISBLANK(E194)), ROUND(((IF(E194="yes",1,0)*'Grading Scale'!E$2)+(IF(F194="yes",1,0)*'Grading Scale'!E$3)+(IF(G194="yes",1,0)*'Grading Scale'!E$4)+(IF(H194="yes",1,0)*'Grading Scale'!E$5)+(IF(I194="yes",1,0)*'Grading Scale'!E$6)+(IF(J194="yes",1,0)*'Grading Scale'!E$7)+(IF(K194="yes",1,0)*'Grading Scale'!E$8)+(IF(L194="yes",1,0)*'Grading Scale'!E$9)+(IF(M194="yes",1,0)*'Grading Scale'!E$10)+(IF(N194="yes",1,0)*'Grading Scale'!E$11)+(IF(O194="yes",1,0)*'Grading Scale'!E$12)+(IF(P194="yes",1,0)*'Grading Scale'!E$13))/'Grading Scale'!E$14*100,0), "")</f>
        <v>45</v>
      </c>
      <c r="T194" s="6" t="str">
        <f>IF(ISNUMBER(S194),VLOOKUP(S194,'Grading Scale'!$A$2:$B$14, 2), "")</f>
        <v>F</v>
      </c>
      <c r="U194" s="7"/>
      <c r="V194" s="7"/>
      <c r="W194" s="7"/>
      <c r="X194" s="7"/>
      <c r="Y194" s="7"/>
      <c r="Z194" s="7"/>
      <c r="AA194" s="7"/>
      <c r="AB194" s="7"/>
      <c r="AC194" s="7"/>
      <c r="AD194" s="7"/>
      <c r="AE194" s="7"/>
      <c r="AF194" s="7"/>
      <c r="AG194" s="7"/>
      <c r="AH194" s="7"/>
      <c r="AI194" s="7"/>
      <c r="AJ194" s="7"/>
    </row>
    <row r="195">
      <c r="A195" s="10">
        <v>42338.0</v>
      </c>
      <c r="B195" s="6" t="s">
        <v>343</v>
      </c>
      <c r="C195" s="6" t="s">
        <v>34</v>
      </c>
      <c r="D195" s="6" t="str">
        <f>IF(NOT(ISBLANK(C195)), VLOOKUP(C195,'Dataset Descriptions'!$A$2:$B$10, 2, FALSE), "")</f>
        <v>Bills before the legislature, and the legislators that comprise it.</v>
      </c>
      <c r="E195" s="6" t="s">
        <v>25</v>
      </c>
      <c r="F195" s="6" t="s">
        <v>25</v>
      </c>
      <c r="G195" s="6" t="s">
        <v>25</v>
      </c>
      <c r="H195" s="6" t="s">
        <v>25</v>
      </c>
      <c r="I195" s="6" t="s">
        <v>25</v>
      </c>
      <c r="J195" s="6" t="s">
        <v>23</v>
      </c>
      <c r="K195" s="6" t="s">
        <v>23</v>
      </c>
      <c r="L195" s="6" t="s">
        <v>23</v>
      </c>
      <c r="M195" s="6" t="s">
        <v>25</v>
      </c>
      <c r="N195" s="6" t="s">
        <v>23</v>
      </c>
      <c r="O195" s="6" t="s">
        <v>23</v>
      </c>
      <c r="P195" s="6" t="s">
        <v>25</v>
      </c>
      <c r="Q195" s="15" t="s">
        <v>349</v>
      </c>
      <c r="R195" s="14" t="s">
        <v>350</v>
      </c>
      <c r="S195" s="6">
        <f>IF(NOT(ISBLANK(E195)), ROUND(((IF(E195="yes",1,0)*'Grading Scale'!E$2)+(IF(F195="yes",1,0)*'Grading Scale'!E$3)+(IF(G195="yes",1,0)*'Grading Scale'!E$4)+(IF(H195="yes",1,0)*'Grading Scale'!E$5)+(IF(I195="yes",1,0)*'Grading Scale'!E$6)+(IF(J195="yes",1,0)*'Grading Scale'!E$7)+(IF(K195="yes",1,0)*'Grading Scale'!E$8)+(IF(L195="yes",1,0)*'Grading Scale'!E$9)+(IF(M195="yes",1,0)*'Grading Scale'!E$10)+(IF(N195="yes",1,0)*'Grading Scale'!E$11)+(IF(O195="yes",1,0)*'Grading Scale'!E$12)+(IF(P195="yes",1,0)*'Grading Scale'!E$13))/'Grading Scale'!E$14*100,0), "")</f>
        <v>40</v>
      </c>
      <c r="T195" s="6" t="str">
        <f>IF(ISNUMBER(S195),VLOOKUP(S195,'Grading Scale'!$A$2:$B$14, 2), "")</f>
        <v>F</v>
      </c>
      <c r="U195" s="7"/>
      <c r="V195" s="7"/>
      <c r="W195" s="7"/>
      <c r="X195" s="7"/>
      <c r="Y195" s="7"/>
      <c r="Z195" s="7"/>
      <c r="AA195" s="7"/>
      <c r="AB195" s="7"/>
      <c r="AC195" s="7"/>
      <c r="AD195" s="7"/>
      <c r="AE195" s="7"/>
      <c r="AF195" s="7"/>
      <c r="AG195" s="7"/>
      <c r="AH195" s="7"/>
      <c r="AI195" s="7"/>
      <c r="AJ195" s="7"/>
    </row>
    <row r="196">
      <c r="A196" s="10">
        <v>42338.0</v>
      </c>
      <c r="B196" s="6" t="s">
        <v>343</v>
      </c>
      <c r="C196" s="6" t="s">
        <v>37</v>
      </c>
      <c r="D196" s="6" t="str">
        <f>IF(NOT(ISBLANK(C196)), VLOOKUP(C196,'Dataset Descriptions'!$A$2:$B$10, 2, FALSE), "")</f>
        <v>Forecasts of municipal-level changes in population over coming years.</v>
      </c>
      <c r="E196" s="6" t="s">
        <v>25</v>
      </c>
      <c r="F196" s="6" t="s">
        <v>25</v>
      </c>
      <c r="G196" s="6" t="s">
        <v>25</v>
      </c>
      <c r="H196" s="6" t="s">
        <v>25</v>
      </c>
      <c r="I196" s="6" t="s">
        <v>25</v>
      </c>
      <c r="J196" s="6" t="s">
        <v>25</v>
      </c>
      <c r="K196" s="6" t="s">
        <v>25</v>
      </c>
      <c r="L196" s="6" t="s">
        <v>23</v>
      </c>
      <c r="M196" s="6" t="s">
        <v>23</v>
      </c>
      <c r="N196" s="6" t="s">
        <v>23</v>
      </c>
      <c r="O196" s="6" t="s">
        <v>23</v>
      </c>
      <c r="P196" s="6" t="s">
        <v>23</v>
      </c>
      <c r="Q196" s="15" t="s">
        <v>351</v>
      </c>
      <c r="R196" s="11"/>
      <c r="S196" s="6">
        <f>IF(NOT(ISBLANK(E196)), ROUND(((IF(E196="yes",1,0)*'Grading Scale'!E$2)+(IF(F196="yes",1,0)*'Grading Scale'!E$3)+(IF(G196="yes",1,0)*'Grading Scale'!E$4)+(IF(H196="yes",1,0)*'Grading Scale'!E$5)+(IF(I196="yes",1,0)*'Grading Scale'!E$6)+(IF(J196="yes",1,0)*'Grading Scale'!E$7)+(IF(K196="yes",1,0)*'Grading Scale'!E$8)+(IF(L196="yes",1,0)*'Grading Scale'!E$9)+(IF(M196="yes",1,0)*'Grading Scale'!E$10)+(IF(N196="yes",1,0)*'Grading Scale'!E$11)+(IF(O196="yes",1,0)*'Grading Scale'!E$12)+(IF(P196="yes",1,0)*'Grading Scale'!E$13))/'Grading Scale'!E$14*100,0), "")</f>
        <v>75</v>
      </c>
      <c r="T196" s="6" t="str">
        <f>IF(ISNUMBER(S196),VLOOKUP(S196,'Grading Scale'!$A$2:$B$14, 2), "")</f>
        <v>C</v>
      </c>
      <c r="U196" s="7"/>
      <c r="V196" s="7"/>
      <c r="W196" s="7"/>
      <c r="X196" s="7"/>
      <c r="Y196" s="7"/>
      <c r="Z196" s="7"/>
      <c r="AA196" s="7"/>
      <c r="AB196" s="7"/>
      <c r="AC196" s="7"/>
      <c r="AD196" s="7"/>
      <c r="AE196" s="7"/>
      <c r="AF196" s="7"/>
      <c r="AG196" s="7"/>
      <c r="AH196" s="7"/>
      <c r="AI196" s="7"/>
      <c r="AJ196" s="7"/>
    </row>
    <row r="197">
      <c r="A197" s="10">
        <v>42338.0</v>
      </c>
      <c r="B197" s="6" t="s">
        <v>343</v>
      </c>
      <c r="C197" s="6" t="s">
        <v>40</v>
      </c>
      <c r="D197" s="6" t="str">
        <f>IF(NOT(ISBLANK(C197)), VLOOKUP(C197,'Dataset Descriptions'!$A$2:$B$10, 2, FALSE), "")</f>
        <v>State-owned land and buildings.</v>
      </c>
      <c r="E197" s="6" t="s">
        <v>23</v>
      </c>
      <c r="F197" s="6" t="s">
        <v>23</v>
      </c>
      <c r="G197" s="6" t="s">
        <v>23</v>
      </c>
      <c r="H197" s="6" t="s">
        <v>23</v>
      </c>
      <c r="I197" s="6" t="s">
        <v>23</v>
      </c>
      <c r="J197" s="6" t="s">
        <v>23</v>
      </c>
      <c r="K197" s="6" t="s">
        <v>23</v>
      </c>
      <c r="L197" s="6" t="s">
        <v>23</v>
      </c>
      <c r="M197" s="6" t="s">
        <v>23</v>
      </c>
      <c r="N197" s="6" t="s">
        <v>23</v>
      </c>
      <c r="O197" s="6" t="s">
        <v>23</v>
      </c>
      <c r="P197" s="6" t="s">
        <v>23</v>
      </c>
      <c r="Q197" s="8"/>
      <c r="R197" s="11"/>
      <c r="S197" s="6">
        <f>IF(NOT(ISBLANK(E197)), ROUND(((IF(E197="yes",1,0)*'Grading Scale'!E$2)+(IF(F197="yes",1,0)*'Grading Scale'!E$3)+(IF(G197="yes",1,0)*'Grading Scale'!E$4)+(IF(H197="yes",1,0)*'Grading Scale'!E$5)+(IF(I197="yes",1,0)*'Grading Scale'!E$6)+(IF(J197="yes",1,0)*'Grading Scale'!E$7)+(IF(K197="yes",1,0)*'Grading Scale'!E$8)+(IF(L197="yes",1,0)*'Grading Scale'!E$9)+(IF(M197="yes",1,0)*'Grading Scale'!E$10)+(IF(N197="yes",1,0)*'Grading Scale'!E$11)+(IF(O197="yes",1,0)*'Grading Scale'!E$12)+(IF(P197="yes",1,0)*'Grading Scale'!E$13))/'Grading Scale'!E$14*100,0), "")</f>
        <v>0</v>
      </c>
      <c r="T197" s="6" t="str">
        <f>IF(ISNUMBER(S197),VLOOKUP(S197,'Grading Scale'!$A$2:$B$14, 2), "")</f>
        <v>F</v>
      </c>
      <c r="U197" s="7"/>
      <c r="V197" s="7"/>
      <c r="W197" s="7"/>
      <c r="X197" s="7"/>
      <c r="Y197" s="7"/>
      <c r="Z197" s="7"/>
      <c r="AA197" s="7"/>
      <c r="AB197" s="7"/>
      <c r="AC197" s="7"/>
      <c r="AD197" s="7"/>
      <c r="AE197" s="7"/>
      <c r="AF197" s="7"/>
      <c r="AG197" s="7"/>
      <c r="AH197" s="7"/>
      <c r="AI197" s="7"/>
      <c r="AJ197" s="7"/>
    </row>
    <row r="198">
      <c r="A198" s="10">
        <v>42338.0</v>
      </c>
      <c r="B198" s="6" t="s">
        <v>343</v>
      </c>
      <c r="C198" s="6" t="s">
        <v>43</v>
      </c>
      <c r="D198" s="6" t="str">
        <f>IF(NOT(ISBLANK(C198)), VLOOKUP(C198,'Dataset Descriptions'!$A$2:$B$10, 2, FALSE), "")</f>
        <v>Health inspections of establishments that serve food to the public.</v>
      </c>
      <c r="E198" s="6" t="s">
        <v>23</v>
      </c>
      <c r="F198" s="6" t="s">
        <v>23</v>
      </c>
      <c r="G198" s="6" t="s">
        <v>23</v>
      </c>
      <c r="H198" s="6" t="s">
        <v>23</v>
      </c>
      <c r="I198" s="6" t="s">
        <v>23</v>
      </c>
      <c r="J198" s="6" t="s">
        <v>23</v>
      </c>
      <c r="K198" s="6" t="s">
        <v>23</v>
      </c>
      <c r="L198" s="6" t="s">
        <v>23</v>
      </c>
      <c r="M198" s="6" t="s">
        <v>23</v>
      </c>
      <c r="N198" s="6" t="s">
        <v>23</v>
      </c>
      <c r="O198" s="6" t="s">
        <v>23</v>
      </c>
      <c r="P198" s="6" t="s">
        <v>23</v>
      </c>
      <c r="Q198" s="8"/>
      <c r="R198" s="11"/>
      <c r="S198" s="6">
        <f>IF(NOT(ISBLANK(E198)), ROUND(((IF(E198="yes",1,0)*'Grading Scale'!E$2)+(IF(F198="yes",1,0)*'Grading Scale'!E$3)+(IF(G198="yes",1,0)*'Grading Scale'!E$4)+(IF(H198="yes",1,0)*'Grading Scale'!E$5)+(IF(I198="yes",1,0)*'Grading Scale'!E$6)+(IF(J198="yes",1,0)*'Grading Scale'!E$7)+(IF(K198="yes",1,0)*'Grading Scale'!E$8)+(IF(L198="yes",1,0)*'Grading Scale'!E$9)+(IF(M198="yes",1,0)*'Grading Scale'!E$10)+(IF(N198="yes",1,0)*'Grading Scale'!E$11)+(IF(O198="yes",1,0)*'Grading Scale'!E$12)+(IF(P198="yes",1,0)*'Grading Scale'!E$13))/'Grading Scale'!E$14*100,0), "")</f>
        <v>0</v>
      </c>
      <c r="T198" s="6" t="str">
        <f>IF(ISNUMBER(S198),VLOOKUP(S198,'Grading Scale'!$A$2:$B$14, 2), "")</f>
        <v>F</v>
      </c>
      <c r="U198" s="7"/>
      <c r="V198" s="7"/>
      <c r="W198" s="7"/>
      <c r="X198" s="7"/>
      <c r="Y198" s="7"/>
      <c r="Z198" s="7"/>
      <c r="AA198" s="7"/>
      <c r="AB198" s="7"/>
      <c r="AC198" s="7"/>
      <c r="AD198" s="7"/>
      <c r="AE198" s="7"/>
      <c r="AF198" s="7"/>
      <c r="AG198" s="7"/>
      <c r="AH198" s="7"/>
      <c r="AI198" s="7"/>
      <c r="AJ198" s="7"/>
    </row>
    <row r="199">
      <c r="A199" s="10">
        <v>42354.0</v>
      </c>
      <c r="B199" s="6" t="s">
        <v>343</v>
      </c>
      <c r="C199" s="6" t="s">
        <v>46</v>
      </c>
      <c r="D199" s="6" t="str">
        <f>IF(NOT(ISBLANK(C199)), VLOOKUP(C199,'Dataset Descriptions'!$A$2:$B$10, 2, FALSE), "")</f>
        <v>Incident-level reportable motor vehicle crash records.</v>
      </c>
      <c r="E199" s="6" t="s">
        <v>25</v>
      </c>
      <c r="F199" s="6" t="s">
        <v>25</v>
      </c>
      <c r="G199" s="6" t="s">
        <v>25</v>
      </c>
      <c r="H199" s="6" t="s">
        <v>25</v>
      </c>
      <c r="I199" s="6" t="s">
        <v>25</v>
      </c>
      <c r="J199" s="6" t="s">
        <v>23</v>
      </c>
      <c r="K199" s="6" t="s">
        <v>23</v>
      </c>
      <c r="L199" s="6" t="s">
        <v>23</v>
      </c>
      <c r="M199" s="6" t="s">
        <v>25</v>
      </c>
      <c r="N199" s="6" t="s">
        <v>25</v>
      </c>
      <c r="O199" s="6" t="s">
        <v>23</v>
      </c>
      <c r="P199" s="6" t="s">
        <v>25</v>
      </c>
      <c r="Q199" s="15" t="s">
        <v>352</v>
      </c>
      <c r="R199" s="13" t="s">
        <v>353</v>
      </c>
      <c r="S199" s="6">
        <f>IF(NOT(ISBLANK(E199)), ROUND(((IF(E199="yes",1,0)*'Grading Scale'!E$2)+(IF(F199="yes",1,0)*'Grading Scale'!E$3)+(IF(G199="yes",1,0)*'Grading Scale'!E$4)+(IF(H199="yes",1,0)*'Grading Scale'!E$5)+(IF(I199="yes",1,0)*'Grading Scale'!E$6)+(IF(J199="yes",1,0)*'Grading Scale'!E$7)+(IF(K199="yes",1,0)*'Grading Scale'!E$8)+(IF(L199="yes",1,0)*'Grading Scale'!E$9)+(IF(M199="yes",1,0)*'Grading Scale'!E$10)+(IF(N199="yes",1,0)*'Grading Scale'!E$11)+(IF(O199="yes",1,0)*'Grading Scale'!E$12)+(IF(P199="yes",1,0)*'Grading Scale'!E$13))/'Grading Scale'!E$14*100,0), "")</f>
        <v>45</v>
      </c>
      <c r="T199" s="6" t="str">
        <f>IF(ISNUMBER(S199),VLOOKUP(S199,'Grading Scale'!$A$2:$B$14, 2), "")</f>
        <v>F</v>
      </c>
      <c r="U199" s="7"/>
      <c r="V199" s="7"/>
      <c r="W199" s="7"/>
      <c r="X199" s="7"/>
      <c r="Y199" s="7"/>
      <c r="Z199" s="7"/>
      <c r="AA199" s="7"/>
      <c r="AB199" s="7"/>
      <c r="AC199" s="7"/>
      <c r="AD199" s="7"/>
      <c r="AE199" s="7"/>
      <c r="AF199" s="7"/>
      <c r="AG199" s="7"/>
      <c r="AH199" s="7"/>
      <c r="AI199" s="7"/>
      <c r="AJ199" s="7"/>
    </row>
    <row r="200">
      <c r="A200" s="4">
        <v>42345.0</v>
      </c>
      <c r="B200" s="5" t="s">
        <v>354</v>
      </c>
      <c r="C200" s="5" t="s">
        <v>21</v>
      </c>
      <c r="D200" s="6" t="str">
        <f>IF(NOT(ISBLANK(C200)), VLOOKUP(C200,'Dataset Descriptions'!$A$2:$B$10, 2, FALSE), "")</f>
        <v>The geographic coordinates for physical addresses.</v>
      </c>
      <c r="E200" s="5" t="s">
        <v>22</v>
      </c>
      <c r="F200" s="5" t="s">
        <v>22</v>
      </c>
      <c r="G200" s="5" t="s">
        <v>22</v>
      </c>
      <c r="H200" s="5" t="s">
        <v>22</v>
      </c>
      <c r="I200" s="5" t="s">
        <v>23</v>
      </c>
      <c r="J200" s="5" t="s">
        <v>22</v>
      </c>
      <c r="K200" s="5" t="s">
        <v>23</v>
      </c>
      <c r="L200" s="5" t="s">
        <v>22</v>
      </c>
      <c r="M200" s="5" t="s">
        <v>22</v>
      </c>
      <c r="N200" s="5" t="s">
        <v>23</v>
      </c>
      <c r="O200" s="5" t="s">
        <v>23</v>
      </c>
      <c r="P200" s="5" t="s">
        <v>22</v>
      </c>
      <c r="Q200" s="7"/>
      <c r="R200" s="6" t="s">
        <v>355</v>
      </c>
      <c r="S200" s="6">
        <f>IF(NOT(ISBLANK(E200)), ROUND(((IF(E200="yes",1,0)*'Grading Scale'!E$2)+(IF(F200="yes",1,0)*'Grading Scale'!E$3)+(IF(G200="yes",1,0)*'Grading Scale'!E$4)+(IF(H200="yes",1,0)*'Grading Scale'!E$5)+(IF(I200="yes",1,0)*'Grading Scale'!E$6)+(IF(J200="yes",1,0)*'Grading Scale'!E$7)+(IF(K200="yes",1,0)*'Grading Scale'!E$8)+(IF(L200="yes",1,0)*'Grading Scale'!E$9)+(IF(M200="yes",1,0)*'Grading Scale'!E$10)+(IF(N200="yes",1,0)*'Grading Scale'!E$11)+(IF(O200="yes",1,0)*'Grading Scale'!E$12)+(IF(P200="yes",1,0)*'Grading Scale'!E$13))/'Grading Scale'!E$14*100,0), "")</f>
        <v>0</v>
      </c>
      <c r="T200" s="6" t="str">
        <f>IF(ISNUMBER(S200),VLOOKUP(S200,'Grading Scale'!$A$2:$B$14, 2), "")</f>
        <v>F</v>
      </c>
      <c r="U200" s="7"/>
      <c r="V200" s="7"/>
      <c r="W200" s="7"/>
      <c r="X200" s="7"/>
      <c r="Y200" s="7"/>
      <c r="Z200" s="7"/>
      <c r="AA200" s="7"/>
      <c r="AB200" s="7"/>
      <c r="AC200" s="7"/>
      <c r="AD200" s="7"/>
      <c r="AE200" s="7"/>
      <c r="AF200" s="7"/>
      <c r="AG200" s="7"/>
      <c r="AH200" s="7"/>
      <c r="AI200" s="7"/>
      <c r="AJ200" s="7"/>
    </row>
    <row r="201">
      <c r="A201" s="4">
        <v>42345.0</v>
      </c>
      <c r="B201" s="5" t="s">
        <v>354</v>
      </c>
      <c r="C201" s="5" t="s">
        <v>24</v>
      </c>
      <c r="D201" s="6" t="str">
        <f>IF(NOT(ISBLANK(C201)), VLOOKUP(C201,'Dataset Descriptions'!$A$2:$B$10, 2, FALSE), "")</f>
        <v>Transaction-level, per-agency spending records.</v>
      </c>
      <c r="E201" s="5" t="s">
        <v>25</v>
      </c>
      <c r="F201" s="5" t="s">
        <v>25</v>
      </c>
      <c r="G201" s="5" t="s">
        <v>25</v>
      </c>
      <c r="H201" s="5" t="s">
        <v>25</v>
      </c>
      <c r="I201" s="5" t="s">
        <v>25</v>
      </c>
      <c r="J201" s="5" t="s">
        <v>25</v>
      </c>
      <c r="K201" s="5" t="s">
        <v>23</v>
      </c>
      <c r="L201" s="5" t="s">
        <v>25</v>
      </c>
      <c r="M201" s="5" t="s">
        <v>22</v>
      </c>
      <c r="N201" s="5" t="s">
        <v>23</v>
      </c>
      <c r="O201" s="5" t="s">
        <v>23</v>
      </c>
      <c r="P201" s="5" t="s">
        <v>23</v>
      </c>
      <c r="Q201" s="9" t="s">
        <v>356</v>
      </c>
      <c r="R201" s="6" t="s">
        <v>357</v>
      </c>
      <c r="S201" s="6">
        <f>IF(NOT(ISBLANK(E201)), ROUND(((IF(E201="yes",1,0)*'Grading Scale'!E$2)+(IF(F201="yes",1,0)*'Grading Scale'!E$3)+(IF(G201="yes",1,0)*'Grading Scale'!E$4)+(IF(H201="yes",1,0)*'Grading Scale'!E$5)+(IF(I201="yes",1,0)*'Grading Scale'!E$6)+(IF(J201="yes",1,0)*'Grading Scale'!E$7)+(IF(K201="yes",1,0)*'Grading Scale'!E$8)+(IF(L201="yes",1,0)*'Grading Scale'!E$9)+(IF(M201="yes",1,0)*'Grading Scale'!E$10)+(IF(N201="yes",1,0)*'Grading Scale'!E$11)+(IF(O201="yes",1,0)*'Grading Scale'!E$12)+(IF(P201="yes",1,0)*'Grading Scale'!E$13))/'Grading Scale'!E$14*100,0), "")</f>
        <v>75</v>
      </c>
      <c r="T201" s="6" t="str">
        <f>IF(ISNUMBER(S201),VLOOKUP(S201,'Grading Scale'!$A$2:$B$14, 2), "")</f>
        <v>C</v>
      </c>
      <c r="U201" s="7"/>
      <c r="V201" s="7"/>
      <c r="W201" s="7"/>
      <c r="X201" s="7"/>
      <c r="Y201" s="7"/>
      <c r="Z201" s="7"/>
      <c r="AA201" s="7"/>
      <c r="AB201" s="7"/>
      <c r="AC201" s="7"/>
      <c r="AD201" s="7"/>
      <c r="AE201" s="7"/>
      <c r="AF201" s="7"/>
      <c r="AG201" s="7"/>
      <c r="AH201" s="7"/>
      <c r="AI201" s="7"/>
      <c r="AJ201" s="7"/>
    </row>
    <row r="202">
      <c r="A202" s="4">
        <v>42376.0</v>
      </c>
      <c r="B202" s="5" t="s">
        <v>354</v>
      </c>
      <c r="C202" s="5" t="s">
        <v>28</v>
      </c>
      <c r="D202" s="6" t="str">
        <f>IF(NOT(ISBLANK(C202)), VLOOKUP(C202,'Dataset Descriptions'!$A$2:$B$10, 2, FALSE), "")</f>
        <v>The register of all corporations that exist in the state.</v>
      </c>
      <c r="E202" s="5" t="s">
        <v>25</v>
      </c>
      <c r="F202" s="5" t="s">
        <v>25</v>
      </c>
      <c r="G202" s="5" t="s">
        <v>25</v>
      </c>
      <c r="H202" s="5" t="s">
        <v>23</v>
      </c>
      <c r="I202" s="5" t="s">
        <v>25</v>
      </c>
      <c r="J202" s="5" t="s">
        <v>25</v>
      </c>
      <c r="K202" s="5" t="s">
        <v>25</v>
      </c>
      <c r="L202" s="5" t="s">
        <v>23</v>
      </c>
      <c r="M202" s="5" t="s">
        <v>25</v>
      </c>
      <c r="N202" s="5" t="s">
        <v>23</v>
      </c>
      <c r="O202" s="5" t="s">
        <v>25</v>
      </c>
      <c r="P202" s="5" t="s">
        <v>25</v>
      </c>
      <c r="Q202" s="9" t="s">
        <v>358</v>
      </c>
      <c r="R202" s="6" t="s">
        <v>359</v>
      </c>
      <c r="S202" s="6">
        <f>IF(NOT(ISBLANK(E202)), ROUND(((IF(E202="yes",1,0)*'Grading Scale'!E$2)+(IF(F202="yes",1,0)*'Grading Scale'!E$3)+(IF(G202="yes",1,0)*'Grading Scale'!E$4)+(IF(H202="yes",1,0)*'Grading Scale'!E$5)+(IF(I202="yes",1,0)*'Grading Scale'!E$6)+(IF(J202="yes",1,0)*'Grading Scale'!E$7)+(IF(K202="yes",1,0)*'Grading Scale'!E$8)+(IF(L202="yes",1,0)*'Grading Scale'!E$9)+(IF(M202="yes",1,0)*'Grading Scale'!E$10)+(IF(N202="yes",1,0)*'Grading Scale'!E$11)+(IF(O202="yes",1,0)*'Grading Scale'!E$12)+(IF(P202="yes",1,0)*'Grading Scale'!E$13))/'Grading Scale'!E$14*100,0), "")</f>
        <v>75</v>
      </c>
      <c r="T202" s="6" t="str">
        <f>IF(ISNUMBER(S202),VLOOKUP(S202,'Grading Scale'!$A$2:$B$14, 2), "")</f>
        <v>C</v>
      </c>
      <c r="U202" s="7"/>
      <c r="V202" s="7"/>
      <c r="W202" s="7"/>
      <c r="X202" s="7"/>
      <c r="Y202" s="7"/>
      <c r="Z202" s="7"/>
      <c r="AA202" s="7"/>
      <c r="AB202" s="7"/>
      <c r="AC202" s="7"/>
      <c r="AD202" s="7"/>
      <c r="AE202" s="7"/>
      <c r="AF202" s="7"/>
      <c r="AG202" s="7"/>
      <c r="AH202" s="7"/>
      <c r="AI202" s="7"/>
      <c r="AJ202" s="7"/>
    </row>
    <row r="203">
      <c r="A203" s="4">
        <v>42345.0</v>
      </c>
      <c r="B203" s="5" t="s">
        <v>354</v>
      </c>
      <c r="C203" s="5" t="s">
        <v>31</v>
      </c>
      <c r="D203" s="6" t="str">
        <f>IF(NOT(ISBLANK(C203)), VLOOKUP(C203,'Dataset Descriptions'!$A$2:$B$10, 2, FALSE), "")</f>
        <v>Per-facility inmate population records.</v>
      </c>
      <c r="E203" s="5" t="s">
        <v>25</v>
      </c>
      <c r="F203" s="5" t="s">
        <v>25</v>
      </c>
      <c r="G203" s="5" t="s">
        <v>25</v>
      </c>
      <c r="H203" s="5" t="s">
        <v>25</v>
      </c>
      <c r="I203" s="5" t="s">
        <v>25</v>
      </c>
      <c r="J203" s="5" t="s">
        <v>23</v>
      </c>
      <c r="K203" s="5" t="s">
        <v>25</v>
      </c>
      <c r="L203" s="5" t="s">
        <v>25</v>
      </c>
      <c r="M203" s="5" t="s">
        <v>25</v>
      </c>
      <c r="N203" s="5" t="s">
        <v>23</v>
      </c>
      <c r="O203" s="5" t="s">
        <v>23</v>
      </c>
      <c r="P203" s="5" t="s">
        <v>25</v>
      </c>
      <c r="Q203" s="9" t="s">
        <v>360</v>
      </c>
      <c r="R203" s="6" t="s">
        <v>361</v>
      </c>
      <c r="S203" s="6">
        <f>IF(NOT(ISBLANK(E203)), ROUND(((IF(E203="yes",1,0)*'Grading Scale'!E$2)+(IF(F203="yes",1,0)*'Grading Scale'!E$3)+(IF(G203="yes",1,0)*'Grading Scale'!E$4)+(IF(H203="yes",1,0)*'Grading Scale'!E$5)+(IF(I203="yes",1,0)*'Grading Scale'!E$6)+(IF(J203="yes",1,0)*'Grading Scale'!E$7)+(IF(K203="yes",1,0)*'Grading Scale'!E$8)+(IF(L203="yes",1,0)*'Grading Scale'!E$9)+(IF(M203="yes",1,0)*'Grading Scale'!E$10)+(IF(N203="yes",1,0)*'Grading Scale'!E$11)+(IF(O203="yes",1,0)*'Grading Scale'!E$12)+(IF(P203="yes",1,0)*'Grading Scale'!E$13))/'Grading Scale'!E$14*100,0), "")</f>
        <v>50</v>
      </c>
      <c r="T203" s="6" t="str">
        <f>IF(ISNUMBER(S203),VLOOKUP(S203,'Grading Scale'!$A$2:$B$14, 2), "")</f>
        <v>F</v>
      </c>
      <c r="U203" s="7"/>
      <c r="V203" s="7"/>
      <c r="W203" s="7"/>
      <c r="X203" s="7"/>
      <c r="Y203" s="7"/>
      <c r="Z203" s="7"/>
      <c r="AA203" s="7"/>
      <c r="AB203" s="7"/>
      <c r="AC203" s="7"/>
      <c r="AD203" s="7"/>
      <c r="AE203" s="7"/>
      <c r="AF203" s="7"/>
      <c r="AG203" s="7"/>
      <c r="AH203" s="7"/>
      <c r="AI203" s="7"/>
      <c r="AJ203" s="7"/>
    </row>
    <row r="204">
      <c r="A204" s="4">
        <v>42345.0</v>
      </c>
      <c r="B204" s="5" t="s">
        <v>354</v>
      </c>
      <c r="C204" s="5" t="s">
        <v>34</v>
      </c>
      <c r="D204" s="6" t="str">
        <f>IF(NOT(ISBLANK(C204)), VLOOKUP(C204,'Dataset Descriptions'!$A$2:$B$10, 2, FALSE), "")</f>
        <v>Bills before the legislature, and the legislators that comprise it.</v>
      </c>
      <c r="E204" s="5" t="s">
        <v>25</v>
      </c>
      <c r="F204" s="5" t="s">
        <v>25</v>
      </c>
      <c r="G204" s="5" t="s">
        <v>25</v>
      </c>
      <c r="H204" s="5" t="s">
        <v>25</v>
      </c>
      <c r="I204" s="5" t="s">
        <v>25</v>
      </c>
      <c r="J204" s="5" t="s">
        <v>23</v>
      </c>
      <c r="K204" s="5" t="s">
        <v>23</v>
      </c>
      <c r="L204" s="5" t="s">
        <v>25</v>
      </c>
      <c r="M204" s="5" t="s">
        <v>25</v>
      </c>
      <c r="N204" s="5" t="s">
        <v>23</v>
      </c>
      <c r="O204" s="5" t="s">
        <v>25</v>
      </c>
      <c r="P204" s="5" t="s">
        <v>23</v>
      </c>
      <c r="Q204" s="9" t="s">
        <v>362</v>
      </c>
      <c r="R204" s="6" t="s">
        <v>363</v>
      </c>
      <c r="S204" s="6">
        <f>IF(NOT(ISBLANK(E204)), ROUND(((IF(E204="yes",1,0)*'Grading Scale'!E$2)+(IF(F204="yes",1,0)*'Grading Scale'!E$3)+(IF(G204="yes",1,0)*'Grading Scale'!E$4)+(IF(H204="yes",1,0)*'Grading Scale'!E$5)+(IF(I204="yes",1,0)*'Grading Scale'!E$6)+(IF(J204="yes",1,0)*'Grading Scale'!E$7)+(IF(K204="yes",1,0)*'Grading Scale'!E$8)+(IF(L204="yes",1,0)*'Grading Scale'!E$9)+(IF(M204="yes",1,0)*'Grading Scale'!E$10)+(IF(N204="yes",1,0)*'Grading Scale'!E$11)+(IF(O204="yes",1,0)*'Grading Scale'!E$12)+(IF(P204="yes",1,0)*'Grading Scale'!E$13))/'Grading Scale'!E$14*100,0), "")</f>
        <v>45</v>
      </c>
      <c r="T204" s="6" t="str">
        <f>IF(ISNUMBER(S204),VLOOKUP(S204,'Grading Scale'!$A$2:$B$14, 2), "")</f>
        <v>F</v>
      </c>
      <c r="U204" s="7"/>
      <c r="V204" s="7"/>
      <c r="W204" s="7"/>
      <c r="X204" s="7"/>
      <c r="Y204" s="7"/>
      <c r="Z204" s="7"/>
      <c r="AA204" s="7"/>
      <c r="AB204" s="7"/>
      <c r="AC204" s="7"/>
      <c r="AD204" s="7"/>
      <c r="AE204" s="7"/>
      <c r="AF204" s="7"/>
      <c r="AG204" s="7"/>
      <c r="AH204" s="7"/>
      <c r="AI204" s="7"/>
      <c r="AJ204" s="7"/>
    </row>
    <row r="205">
      <c r="A205" s="4">
        <v>42345.0</v>
      </c>
      <c r="B205" s="5" t="s">
        <v>354</v>
      </c>
      <c r="C205" s="6" t="s">
        <v>37</v>
      </c>
      <c r="D205" s="6" t="str">
        <f>IF(NOT(ISBLANK(C205)), VLOOKUP(C205,'Dataset Descriptions'!$A$2:$B$10, 2, FALSE), "")</f>
        <v>Forecasts of municipal-level changes in population over coming years.</v>
      </c>
      <c r="E205" s="5" t="s">
        <v>25</v>
      </c>
      <c r="F205" s="5" t="s">
        <v>25</v>
      </c>
      <c r="G205" s="5" t="s">
        <v>25</v>
      </c>
      <c r="H205" s="5" t="s">
        <v>25</v>
      </c>
      <c r="I205" s="5" t="s">
        <v>25</v>
      </c>
      <c r="J205" s="5" t="s">
        <v>25</v>
      </c>
      <c r="K205" s="5" t="s">
        <v>25</v>
      </c>
      <c r="L205" s="5" t="s">
        <v>25</v>
      </c>
      <c r="M205" s="5" t="s">
        <v>25</v>
      </c>
      <c r="N205" s="5" t="s">
        <v>23</v>
      </c>
      <c r="O205" s="5" t="s">
        <v>25</v>
      </c>
      <c r="P205" s="5" t="s">
        <v>25</v>
      </c>
      <c r="Q205" s="9" t="s">
        <v>364</v>
      </c>
      <c r="R205" s="8"/>
      <c r="S205" s="6">
        <f>IF(NOT(ISBLANK(E205)), ROUND(((IF(E205="yes",1,0)*'Grading Scale'!E$2)+(IF(F205="yes",1,0)*'Grading Scale'!E$3)+(IF(G205="yes",1,0)*'Grading Scale'!E$4)+(IF(H205="yes",1,0)*'Grading Scale'!E$5)+(IF(I205="yes",1,0)*'Grading Scale'!E$6)+(IF(J205="yes",1,0)*'Grading Scale'!E$7)+(IF(K205="yes",1,0)*'Grading Scale'!E$8)+(IF(L205="yes",1,0)*'Grading Scale'!E$9)+(IF(M205="yes",1,0)*'Grading Scale'!E$10)+(IF(N205="yes",1,0)*'Grading Scale'!E$11)+(IF(O205="yes",1,0)*'Grading Scale'!E$12)+(IF(P205="yes",1,0)*'Grading Scale'!E$13))/'Grading Scale'!E$14*100,0), "")</f>
        <v>95</v>
      </c>
      <c r="T205" s="6" t="str">
        <f>IF(ISNUMBER(S205),VLOOKUP(S205,'Grading Scale'!$A$2:$B$14, 2), "")</f>
        <v>A</v>
      </c>
      <c r="U205" s="7"/>
      <c r="V205" s="7"/>
      <c r="W205" s="7"/>
      <c r="X205" s="7"/>
      <c r="Y205" s="7"/>
      <c r="Z205" s="7"/>
      <c r="AA205" s="7"/>
      <c r="AB205" s="7"/>
      <c r="AC205" s="7"/>
      <c r="AD205" s="7"/>
      <c r="AE205" s="7"/>
      <c r="AF205" s="7"/>
      <c r="AG205" s="7"/>
      <c r="AH205" s="7"/>
      <c r="AI205" s="7"/>
      <c r="AJ205" s="7"/>
    </row>
    <row r="206">
      <c r="A206" s="4">
        <v>42345.0</v>
      </c>
      <c r="B206" s="5" t="s">
        <v>354</v>
      </c>
      <c r="C206" s="5" t="s">
        <v>40</v>
      </c>
      <c r="D206" s="6" t="str">
        <f>IF(NOT(ISBLANK(C206)), VLOOKUP(C206,'Dataset Descriptions'!$A$2:$B$10, 2, FALSE), "")</f>
        <v>State-owned land and buildings.</v>
      </c>
      <c r="E206" s="5" t="s">
        <v>25</v>
      </c>
      <c r="F206" s="5" t="s">
        <v>22</v>
      </c>
      <c r="G206" s="5" t="s">
        <v>22</v>
      </c>
      <c r="H206" s="5" t="s">
        <v>22</v>
      </c>
      <c r="I206" s="5" t="s">
        <v>23</v>
      </c>
      <c r="J206" s="5" t="s">
        <v>22</v>
      </c>
      <c r="K206" s="5" t="s">
        <v>23</v>
      </c>
      <c r="L206" s="5" t="s">
        <v>22</v>
      </c>
      <c r="M206" s="5" t="s">
        <v>22</v>
      </c>
      <c r="N206" s="5" t="s">
        <v>23</v>
      </c>
      <c r="O206" s="5" t="s">
        <v>23</v>
      </c>
      <c r="P206" s="5" t="s">
        <v>23</v>
      </c>
      <c r="Q206" s="9" t="s">
        <v>365</v>
      </c>
      <c r="R206" s="6"/>
      <c r="S206" s="6">
        <f>IF(NOT(ISBLANK(E206)), ROUND(((IF(E206="yes",1,0)*'Grading Scale'!E$2)+(IF(F206="yes",1,0)*'Grading Scale'!E$3)+(IF(G206="yes",1,0)*'Grading Scale'!E$4)+(IF(H206="yes",1,0)*'Grading Scale'!E$5)+(IF(I206="yes",1,0)*'Grading Scale'!E$6)+(IF(J206="yes",1,0)*'Grading Scale'!E$7)+(IF(K206="yes",1,0)*'Grading Scale'!E$8)+(IF(L206="yes",1,0)*'Grading Scale'!E$9)+(IF(M206="yes",1,0)*'Grading Scale'!E$10)+(IF(N206="yes",1,0)*'Grading Scale'!E$11)+(IF(O206="yes",1,0)*'Grading Scale'!E$12)+(IF(P206="yes",1,0)*'Grading Scale'!E$13))/'Grading Scale'!E$14*100,0), "")</f>
        <v>0</v>
      </c>
      <c r="T206" s="6" t="str">
        <f>IF(ISNUMBER(S206),VLOOKUP(S206,'Grading Scale'!$A$2:$B$14, 2), "")</f>
        <v>F</v>
      </c>
      <c r="U206" s="7"/>
      <c r="V206" s="7"/>
      <c r="W206" s="7"/>
      <c r="X206" s="7"/>
      <c r="Y206" s="7"/>
      <c r="Z206" s="7"/>
      <c r="AA206" s="7"/>
      <c r="AB206" s="7"/>
      <c r="AC206" s="7"/>
      <c r="AD206" s="7"/>
      <c r="AE206" s="7"/>
      <c r="AF206" s="7"/>
      <c r="AG206" s="7"/>
      <c r="AH206" s="7"/>
      <c r="AI206" s="7"/>
      <c r="AJ206" s="7"/>
    </row>
    <row r="207">
      <c r="A207" s="4">
        <v>42345.0</v>
      </c>
      <c r="B207" s="5" t="s">
        <v>354</v>
      </c>
      <c r="C207" s="5" t="s">
        <v>43</v>
      </c>
      <c r="D207" s="6" t="str">
        <f>IF(NOT(ISBLANK(C207)), VLOOKUP(C207,'Dataset Descriptions'!$A$2:$B$10, 2, FALSE), "")</f>
        <v>Health inspections of establishments that serve food to the public.</v>
      </c>
      <c r="E207" s="5" t="s">
        <v>23</v>
      </c>
      <c r="F207" s="5" t="s">
        <v>23</v>
      </c>
      <c r="G207" s="5" t="s">
        <v>23</v>
      </c>
      <c r="H207" s="5" t="s">
        <v>23</v>
      </c>
      <c r="I207" s="5" t="s">
        <v>23</v>
      </c>
      <c r="J207" s="5" t="s">
        <v>23</v>
      </c>
      <c r="K207" s="5" t="s">
        <v>23</v>
      </c>
      <c r="L207" s="5" t="s">
        <v>23</v>
      </c>
      <c r="M207" s="5" t="s">
        <v>23</v>
      </c>
      <c r="N207" s="5" t="s">
        <v>23</v>
      </c>
      <c r="O207" s="5" t="s">
        <v>23</v>
      </c>
      <c r="P207" s="5" t="s">
        <v>23</v>
      </c>
      <c r="Q207" s="7"/>
      <c r="R207" s="6" t="s">
        <v>366</v>
      </c>
      <c r="S207" s="6">
        <f>IF(NOT(ISBLANK(E207)), ROUND(((IF(E207="yes",1,0)*'Grading Scale'!E$2)+(IF(F207="yes",1,0)*'Grading Scale'!E$3)+(IF(G207="yes",1,0)*'Grading Scale'!E$4)+(IF(H207="yes",1,0)*'Grading Scale'!E$5)+(IF(I207="yes",1,0)*'Grading Scale'!E$6)+(IF(J207="yes",1,0)*'Grading Scale'!E$7)+(IF(K207="yes",1,0)*'Grading Scale'!E$8)+(IF(L207="yes",1,0)*'Grading Scale'!E$9)+(IF(M207="yes",1,0)*'Grading Scale'!E$10)+(IF(N207="yes",1,0)*'Grading Scale'!E$11)+(IF(O207="yes",1,0)*'Grading Scale'!E$12)+(IF(P207="yes",1,0)*'Grading Scale'!E$13))/'Grading Scale'!E$14*100,0), "")</f>
        <v>0</v>
      </c>
      <c r="T207" s="6" t="str">
        <f>IF(ISNUMBER(S207),VLOOKUP(S207,'Grading Scale'!$A$2:$B$14, 2), "")</f>
        <v>F</v>
      </c>
      <c r="U207" s="7"/>
      <c r="V207" s="7"/>
      <c r="W207" s="7"/>
      <c r="X207" s="7"/>
      <c r="Y207" s="7"/>
      <c r="Z207" s="7"/>
      <c r="AA207" s="7"/>
      <c r="AB207" s="7"/>
      <c r="AC207" s="7"/>
      <c r="AD207" s="7"/>
      <c r="AE207" s="7"/>
      <c r="AF207" s="7"/>
      <c r="AG207" s="7"/>
      <c r="AH207" s="7"/>
      <c r="AI207" s="7"/>
      <c r="AJ207" s="7"/>
    </row>
    <row r="208">
      <c r="A208" s="4">
        <v>42345.0</v>
      </c>
      <c r="B208" s="5" t="s">
        <v>354</v>
      </c>
      <c r="C208" s="5" t="s">
        <v>46</v>
      </c>
      <c r="D208" s="6" t="str">
        <f>IF(NOT(ISBLANK(C208)), VLOOKUP(C208,'Dataset Descriptions'!$A$2:$B$10, 2, FALSE), "")</f>
        <v>Incident-level reportable motor vehicle crash records.</v>
      </c>
      <c r="E208" s="5" t="s">
        <v>25</v>
      </c>
      <c r="F208" s="5" t="s">
        <v>25</v>
      </c>
      <c r="G208" s="5" t="s">
        <v>25</v>
      </c>
      <c r="H208" s="5" t="s">
        <v>25</v>
      </c>
      <c r="I208" s="5" t="s">
        <v>25</v>
      </c>
      <c r="J208" s="5" t="s">
        <v>23</v>
      </c>
      <c r="K208" s="5" t="s">
        <v>23</v>
      </c>
      <c r="L208" s="5" t="s">
        <v>23</v>
      </c>
      <c r="M208" s="5" t="s">
        <v>23</v>
      </c>
      <c r="N208" s="5" t="s">
        <v>23</v>
      </c>
      <c r="O208" s="5" t="s">
        <v>25</v>
      </c>
      <c r="P208" s="5" t="s">
        <v>23</v>
      </c>
      <c r="Q208" s="9" t="s">
        <v>367</v>
      </c>
      <c r="R208" s="6" t="s">
        <v>368</v>
      </c>
      <c r="S208" s="6">
        <f>IF(NOT(ISBLANK(E208)), ROUND(((IF(E208="yes",1,0)*'Grading Scale'!E$2)+(IF(F208="yes",1,0)*'Grading Scale'!E$3)+(IF(G208="yes",1,0)*'Grading Scale'!E$4)+(IF(H208="yes",1,0)*'Grading Scale'!E$5)+(IF(I208="yes",1,0)*'Grading Scale'!E$6)+(IF(J208="yes",1,0)*'Grading Scale'!E$7)+(IF(K208="yes",1,0)*'Grading Scale'!E$8)+(IF(L208="yes",1,0)*'Grading Scale'!E$9)+(IF(M208="yes",1,0)*'Grading Scale'!E$10)+(IF(N208="yes",1,0)*'Grading Scale'!E$11)+(IF(O208="yes",1,0)*'Grading Scale'!E$12)+(IF(P208="yes",1,0)*'Grading Scale'!E$13))/'Grading Scale'!E$14*100,0), "")</f>
        <v>35</v>
      </c>
      <c r="T208" s="6" t="str">
        <f>IF(ISNUMBER(S208),VLOOKUP(S208,'Grading Scale'!$A$2:$B$14, 2), "")</f>
        <v>F</v>
      </c>
      <c r="U208" s="7"/>
      <c r="V208" s="7"/>
      <c r="W208" s="7"/>
      <c r="X208" s="7"/>
      <c r="Y208" s="7"/>
      <c r="Z208" s="7"/>
      <c r="AA208" s="7"/>
      <c r="AB208" s="7"/>
      <c r="AC208" s="7"/>
      <c r="AD208" s="7"/>
      <c r="AE208" s="7"/>
      <c r="AF208" s="7"/>
      <c r="AG208" s="7"/>
      <c r="AH208" s="7"/>
      <c r="AI208" s="7"/>
      <c r="AJ208" s="7"/>
    </row>
    <row r="209">
      <c r="A209" s="4">
        <v>42425.0</v>
      </c>
      <c r="B209" s="5" t="s">
        <v>369</v>
      </c>
      <c r="C209" s="5" t="s">
        <v>21</v>
      </c>
      <c r="D209" s="6" t="str">
        <f>IF(NOT(ISBLANK(C209)), VLOOKUP(C209,'Dataset Descriptions'!$A$2:$B$10, 2, FALSE), "")</f>
        <v>The geographic coordinates for physical addresses.</v>
      </c>
      <c r="E209" s="5" t="s">
        <v>22</v>
      </c>
      <c r="F209" s="5" t="s">
        <v>22</v>
      </c>
      <c r="G209" s="5" t="s">
        <v>22</v>
      </c>
      <c r="H209" s="5" t="s">
        <v>22</v>
      </c>
      <c r="I209" s="5" t="s">
        <v>23</v>
      </c>
      <c r="J209" s="5" t="s">
        <v>22</v>
      </c>
      <c r="K209" s="5" t="s">
        <v>22</v>
      </c>
      <c r="L209" s="5" t="s">
        <v>22</v>
      </c>
      <c r="M209" s="5" t="s">
        <v>22</v>
      </c>
      <c r="N209" s="5" t="s">
        <v>23</v>
      </c>
      <c r="O209" s="5" t="s">
        <v>22</v>
      </c>
      <c r="P209" s="5" t="s">
        <v>22</v>
      </c>
      <c r="Q209" s="7"/>
      <c r="R209" s="8"/>
      <c r="S209" s="6">
        <f>IF(NOT(ISBLANK(E209)), ROUND(((IF(E209="yes",1,0)*'Grading Scale'!E$2)+(IF(F209="yes",1,0)*'Grading Scale'!E$3)+(IF(G209="yes",1,0)*'Grading Scale'!E$4)+(IF(H209="yes",1,0)*'Grading Scale'!E$5)+(IF(I209="yes",1,0)*'Grading Scale'!E$6)+(IF(J209="yes",1,0)*'Grading Scale'!E$7)+(IF(K209="yes",1,0)*'Grading Scale'!E$8)+(IF(L209="yes",1,0)*'Grading Scale'!E$9)+(IF(M209="yes",1,0)*'Grading Scale'!E$10)+(IF(N209="yes",1,0)*'Grading Scale'!E$11)+(IF(O209="yes",1,0)*'Grading Scale'!E$12)+(IF(P209="yes",1,0)*'Grading Scale'!E$13))/'Grading Scale'!E$14*100,0), "")</f>
        <v>0</v>
      </c>
      <c r="T209" s="6" t="str">
        <f>IF(ISNUMBER(S209),VLOOKUP(S209,'Grading Scale'!$A$2:$B$14, 2), "")</f>
        <v>F</v>
      </c>
      <c r="U209" s="7"/>
      <c r="V209" s="7"/>
      <c r="W209" s="7"/>
      <c r="X209" s="7"/>
      <c r="Y209" s="7"/>
      <c r="Z209" s="7"/>
      <c r="AA209" s="7"/>
      <c r="AB209" s="7"/>
      <c r="AC209" s="7"/>
      <c r="AD209" s="7"/>
      <c r="AE209" s="7"/>
      <c r="AF209" s="7"/>
      <c r="AG209" s="7"/>
      <c r="AH209" s="7"/>
      <c r="AI209" s="7"/>
      <c r="AJ209" s="7"/>
    </row>
    <row r="210">
      <c r="A210" s="4">
        <v>42425.0</v>
      </c>
      <c r="B210" s="5" t="s">
        <v>369</v>
      </c>
      <c r="C210" s="5" t="s">
        <v>24</v>
      </c>
      <c r="D210" s="6" t="str">
        <f>IF(NOT(ISBLANK(C210)), VLOOKUP(C210,'Dataset Descriptions'!$A$2:$B$10, 2, FALSE), "")</f>
        <v>Transaction-level, per-agency spending records.</v>
      </c>
      <c r="E210" s="5" t="s">
        <v>25</v>
      </c>
      <c r="F210" s="5" t="s">
        <v>25</v>
      </c>
      <c r="G210" s="5" t="s">
        <v>25</v>
      </c>
      <c r="H210" s="5" t="s">
        <v>25</v>
      </c>
      <c r="I210" s="5" t="s">
        <v>25</v>
      </c>
      <c r="J210" s="5" t="s">
        <v>25</v>
      </c>
      <c r="K210" s="5" t="s">
        <v>23</v>
      </c>
      <c r="L210" s="5" t="s">
        <v>25</v>
      </c>
      <c r="M210" s="5" t="s">
        <v>23</v>
      </c>
      <c r="N210" s="5" t="s">
        <v>23</v>
      </c>
      <c r="O210" s="5" t="s">
        <v>25</v>
      </c>
      <c r="P210" s="5" t="s">
        <v>23</v>
      </c>
      <c r="Q210" s="9" t="s">
        <v>370</v>
      </c>
      <c r="R210" s="6" t="s">
        <v>371</v>
      </c>
      <c r="S210" s="6">
        <f>IF(NOT(ISBLANK(E210)), ROUND(((IF(E210="yes",1,0)*'Grading Scale'!E$2)+(IF(F210="yes",1,0)*'Grading Scale'!E$3)+(IF(G210="yes",1,0)*'Grading Scale'!E$4)+(IF(H210="yes",1,0)*'Grading Scale'!E$5)+(IF(I210="yes",1,0)*'Grading Scale'!E$6)+(IF(J210="yes",1,0)*'Grading Scale'!E$7)+(IF(K210="yes",1,0)*'Grading Scale'!E$8)+(IF(L210="yes",1,0)*'Grading Scale'!E$9)+(IF(M210="yes",1,0)*'Grading Scale'!E$10)+(IF(N210="yes",1,0)*'Grading Scale'!E$11)+(IF(O210="yes",1,0)*'Grading Scale'!E$12)+(IF(P210="yes",1,0)*'Grading Scale'!E$13))/'Grading Scale'!E$14*100,0), "")</f>
        <v>80</v>
      </c>
      <c r="T210" s="6" t="str">
        <f>IF(ISNUMBER(S210),VLOOKUP(S210,'Grading Scale'!$A$2:$B$14, 2), "")</f>
        <v>B−</v>
      </c>
      <c r="U210" s="7"/>
      <c r="V210" s="7"/>
      <c r="W210" s="7"/>
      <c r="X210" s="7"/>
      <c r="Y210" s="7"/>
      <c r="Z210" s="7"/>
      <c r="AA210" s="7"/>
      <c r="AB210" s="7"/>
      <c r="AC210" s="7"/>
      <c r="AD210" s="7"/>
      <c r="AE210" s="7"/>
      <c r="AF210" s="7"/>
      <c r="AG210" s="7"/>
      <c r="AH210" s="7"/>
      <c r="AI210" s="7"/>
      <c r="AJ210" s="7"/>
    </row>
    <row r="211">
      <c r="A211" s="4">
        <v>42425.0</v>
      </c>
      <c r="B211" s="5" t="s">
        <v>369</v>
      </c>
      <c r="C211" s="5" t="s">
        <v>28</v>
      </c>
      <c r="D211" s="6" t="str">
        <f>IF(NOT(ISBLANK(C211)), VLOOKUP(C211,'Dataset Descriptions'!$A$2:$B$10, 2, FALSE), "")</f>
        <v>The register of all corporations that exist in the state.</v>
      </c>
      <c r="E211" s="5" t="s">
        <v>25</v>
      </c>
      <c r="F211" s="5" t="s">
        <v>25</v>
      </c>
      <c r="G211" s="5" t="s">
        <v>25</v>
      </c>
      <c r="H211" s="5" t="s">
        <v>25</v>
      </c>
      <c r="I211" s="5" t="s">
        <v>25</v>
      </c>
      <c r="J211" s="5" t="s">
        <v>23</v>
      </c>
      <c r="K211" s="5" t="s">
        <v>23</v>
      </c>
      <c r="L211" s="5" t="s">
        <v>25</v>
      </c>
      <c r="M211" s="5" t="s">
        <v>25</v>
      </c>
      <c r="N211" s="5" t="s">
        <v>23</v>
      </c>
      <c r="O211" s="5" t="s">
        <v>25</v>
      </c>
      <c r="P211" s="5" t="s">
        <v>25</v>
      </c>
      <c r="Q211" s="9" t="s">
        <v>372</v>
      </c>
      <c r="R211" s="8"/>
      <c r="S211" s="6">
        <f>IF(NOT(ISBLANK(E211)), ROUND(((IF(E211="yes",1,0)*'Grading Scale'!E$2)+(IF(F211="yes",1,0)*'Grading Scale'!E$3)+(IF(G211="yes",1,0)*'Grading Scale'!E$4)+(IF(H211="yes",1,0)*'Grading Scale'!E$5)+(IF(I211="yes",1,0)*'Grading Scale'!E$6)+(IF(J211="yes",1,0)*'Grading Scale'!E$7)+(IF(K211="yes",1,0)*'Grading Scale'!E$8)+(IF(L211="yes",1,0)*'Grading Scale'!E$9)+(IF(M211="yes",1,0)*'Grading Scale'!E$10)+(IF(N211="yes",1,0)*'Grading Scale'!E$11)+(IF(O211="yes",1,0)*'Grading Scale'!E$12)+(IF(P211="yes",1,0)*'Grading Scale'!E$13))/'Grading Scale'!E$14*100,0), "")</f>
        <v>50</v>
      </c>
      <c r="T211" s="6" t="str">
        <f>IF(ISNUMBER(S211),VLOOKUP(S211,'Grading Scale'!$A$2:$B$14, 2), "")</f>
        <v>F</v>
      </c>
      <c r="U211" s="7"/>
      <c r="V211" s="7"/>
      <c r="W211" s="7"/>
      <c r="X211" s="7"/>
      <c r="Y211" s="7"/>
      <c r="Z211" s="7"/>
      <c r="AA211" s="7"/>
      <c r="AB211" s="7"/>
      <c r="AC211" s="7"/>
      <c r="AD211" s="7"/>
      <c r="AE211" s="7"/>
      <c r="AF211" s="7"/>
      <c r="AG211" s="7"/>
      <c r="AH211" s="7"/>
      <c r="AI211" s="7"/>
      <c r="AJ211" s="7"/>
    </row>
    <row r="212">
      <c r="A212" s="4">
        <v>42425.0</v>
      </c>
      <c r="B212" s="5" t="s">
        <v>369</v>
      </c>
      <c r="C212" s="5" t="s">
        <v>31</v>
      </c>
      <c r="D212" s="6" t="str">
        <f>IF(NOT(ISBLANK(C212)), VLOOKUP(C212,'Dataset Descriptions'!$A$2:$B$10, 2, FALSE), "")</f>
        <v>Per-facility inmate population records.</v>
      </c>
      <c r="E212" s="5" t="s">
        <v>25</v>
      </c>
      <c r="F212" s="5" t="s">
        <v>25</v>
      </c>
      <c r="G212" s="5" t="s">
        <v>25</v>
      </c>
      <c r="H212" s="5" t="s">
        <v>25</v>
      </c>
      <c r="I212" s="5" t="s">
        <v>25</v>
      </c>
      <c r="J212" s="5" t="s">
        <v>23</v>
      </c>
      <c r="K212" s="5" t="s">
        <v>25</v>
      </c>
      <c r="L212" s="5" t="s">
        <v>23</v>
      </c>
      <c r="M212" s="5" t="s">
        <v>25</v>
      </c>
      <c r="N212" s="5" t="s">
        <v>23</v>
      </c>
      <c r="O212" s="5" t="s">
        <v>23</v>
      </c>
      <c r="P212" s="5" t="s">
        <v>25</v>
      </c>
      <c r="Q212" s="9" t="s">
        <v>373</v>
      </c>
      <c r="R212" s="8"/>
      <c r="S212" s="6">
        <f>IF(NOT(ISBLANK(E212)), ROUND(((IF(E212="yes",1,0)*'Grading Scale'!E$2)+(IF(F212="yes",1,0)*'Grading Scale'!E$3)+(IF(G212="yes",1,0)*'Grading Scale'!E$4)+(IF(H212="yes",1,0)*'Grading Scale'!E$5)+(IF(I212="yes",1,0)*'Grading Scale'!E$6)+(IF(J212="yes",1,0)*'Grading Scale'!E$7)+(IF(K212="yes",1,0)*'Grading Scale'!E$8)+(IF(L212="yes",1,0)*'Grading Scale'!E$9)+(IF(M212="yes",1,0)*'Grading Scale'!E$10)+(IF(N212="yes",1,0)*'Grading Scale'!E$11)+(IF(O212="yes",1,0)*'Grading Scale'!E$12)+(IF(P212="yes",1,0)*'Grading Scale'!E$13))/'Grading Scale'!E$14*100,0), "")</f>
        <v>45</v>
      </c>
      <c r="T212" s="6" t="str">
        <f>IF(ISNUMBER(S212),VLOOKUP(S212,'Grading Scale'!$A$2:$B$14, 2), "")</f>
        <v>F</v>
      </c>
      <c r="U212" s="7"/>
      <c r="V212" s="7"/>
      <c r="W212" s="7"/>
      <c r="X212" s="7"/>
      <c r="Y212" s="7"/>
      <c r="Z212" s="7"/>
      <c r="AA212" s="7"/>
      <c r="AB212" s="7"/>
      <c r="AC212" s="7"/>
      <c r="AD212" s="7"/>
      <c r="AE212" s="7"/>
      <c r="AF212" s="7"/>
      <c r="AG212" s="7"/>
      <c r="AH212" s="7"/>
      <c r="AI212" s="7"/>
      <c r="AJ212" s="7"/>
    </row>
    <row r="213">
      <c r="A213" s="4">
        <v>42425.0</v>
      </c>
      <c r="B213" s="5" t="s">
        <v>369</v>
      </c>
      <c r="C213" s="5" t="s">
        <v>34</v>
      </c>
      <c r="D213" s="6" t="str">
        <f>IF(NOT(ISBLANK(C213)), VLOOKUP(C213,'Dataset Descriptions'!$A$2:$B$10, 2, FALSE), "")</f>
        <v>Bills before the legislature, and the legislators that comprise it.</v>
      </c>
      <c r="E213" s="5" t="s">
        <v>25</v>
      </c>
      <c r="F213" s="5" t="s">
        <v>25</v>
      </c>
      <c r="G213" s="5" t="s">
        <v>25</v>
      </c>
      <c r="H213" s="5" t="s">
        <v>25</v>
      </c>
      <c r="I213" s="5" t="s">
        <v>25</v>
      </c>
      <c r="J213" s="5" t="s">
        <v>25</v>
      </c>
      <c r="K213" s="5" t="s">
        <v>23</v>
      </c>
      <c r="L213" s="5" t="s">
        <v>23</v>
      </c>
      <c r="M213" s="5" t="s">
        <v>25</v>
      </c>
      <c r="N213" s="5" t="s">
        <v>23</v>
      </c>
      <c r="O213" s="5" t="s">
        <v>23</v>
      </c>
      <c r="P213" s="5" t="s">
        <v>25</v>
      </c>
      <c r="Q213" s="9" t="s">
        <v>374</v>
      </c>
      <c r="R213" s="6" t="s">
        <v>375</v>
      </c>
      <c r="S213" s="6">
        <f>IF(NOT(ISBLANK(E213)), ROUND(((IF(E213="yes",1,0)*'Grading Scale'!E$2)+(IF(F213="yes",1,0)*'Grading Scale'!E$3)+(IF(G213="yes",1,0)*'Grading Scale'!E$4)+(IF(H213="yes",1,0)*'Grading Scale'!E$5)+(IF(I213="yes",1,0)*'Grading Scale'!E$6)+(IF(J213="yes",1,0)*'Grading Scale'!E$7)+(IF(K213="yes",1,0)*'Grading Scale'!E$8)+(IF(L213="yes",1,0)*'Grading Scale'!E$9)+(IF(M213="yes",1,0)*'Grading Scale'!E$10)+(IF(N213="yes",1,0)*'Grading Scale'!E$11)+(IF(O213="yes",1,0)*'Grading Scale'!E$12)+(IF(P213="yes",1,0)*'Grading Scale'!E$13))/'Grading Scale'!E$14*100,0), "")</f>
        <v>80</v>
      </c>
      <c r="T213" s="6" t="str">
        <f>IF(ISNUMBER(S213),VLOOKUP(S213,'Grading Scale'!$A$2:$B$14, 2), "")</f>
        <v>B−</v>
      </c>
      <c r="U213" s="7"/>
      <c r="V213" s="7"/>
      <c r="W213" s="7"/>
      <c r="X213" s="7"/>
      <c r="Y213" s="7"/>
      <c r="Z213" s="7"/>
      <c r="AA213" s="7"/>
      <c r="AB213" s="7"/>
      <c r="AC213" s="7"/>
      <c r="AD213" s="7"/>
      <c r="AE213" s="7"/>
      <c r="AF213" s="7"/>
      <c r="AG213" s="7"/>
      <c r="AH213" s="7"/>
      <c r="AI213" s="7"/>
      <c r="AJ213" s="7"/>
    </row>
    <row r="214">
      <c r="A214" s="4">
        <v>42425.0</v>
      </c>
      <c r="B214" s="5" t="s">
        <v>369</v>
      </c>
      <c r="C214" s="6" t="s">
        <v>37</v>
      </c>
      <c r="D214" s="6" t="str">
        <f>IF(NOT(ISBLANK(C214)), VLOOKUP(C214,'Dataset Descriptions'!$A$2:$B$10, 2, FALSE), "")</f>
        <v>Forecasts of municipal-level changes in population over coming years.</v>
      </c>
      <c r="E214" s="5" t="s">
        <v>25</v>
      </c>
      <c r="F214" s="5" t="s">
        <v>25</v>
      </c>
      <c r="G214" s="5" t="s">
        <v>25</v>
      </c>
      <c r="H214" s="5" t="s">
        <v>25</v>
      </c>
      <c r="I214" s="5" t="s">
        <v>25</v>
      </c>
      <c r="J214" s="5" t="s">
        <v>23</v>
      </c>
      <c r="K214" s="5" t="s">
        <v>23</v>
      </c>
      <c r="L214" s="5" t="s">
        <v>23</v>
      </c>
      <c r="M214" s="5" t="s">
        <v>25</v>
      </c>
      <c r="N214" s="5" t="s">
        <v>23</v>
      </c>
      <c r="O214" s="5" t="s">
        <v>23</v>
      </c>
      <c r="P214" s="5" t="s">
        <v>23</v>
      </c>
      <c r="Q214" s="9" t="s">
        <v>376</v>
      </c>
      <c r="R214" s="6" t="s">
        <v>377</v>
      </c>
      <c r="S214" s="6">
        <f>IF(NOT(ISBLANK(E214)), ROUND(((IF(E214="yes",1,0)*'Grading Scale'!E$2)+(IF(F214="yes",1,0)*'Grading Scale'!E$3)+(IF(G214="yes",1,0)*'Grading Scale'!E$4)+(IF(H214="yes",1,0)*'Grading Scale'!E$5)+(IF(I214="yes",1,0)*'Grading Scale'!E$6)+(IF(J214="yes",1,0)*'Grading Scale'!E$7)+(IF(K214="yes",1,0)*'Grading Scale'!E$8)+(IF(L214="yes",1,0)*'Grading Scale'!E$9)+(IF(M214="yes",1,0)*'Grading Scale'!E$10)+(IF(N214="yes",1,0)*'Grading Scale'!E$11)+(IF(O214="yes",1,0)*'Grading Scale'!E$12)+(IF(P214="yes",1,0)*'Grading Scale'!E$13))/'Grading Scale'!E$14*100,0), "")</f>
        <v>35</v>
      </c>
      <c r="T214" s="6" t="str">
        <f>IF(ISNUMBER(S214),VLOOKUP(S214,'Grading Scale'!$A$2:$B$14, 2), "")</f>
        <v>F</v>
      </c>
      <c r="U214" s="7"/>
      <c r="V214" s="7"/>
      <c r="W214" s="7"/>
      <c r="X214" s="7"/>
      <c r="Y214" s="7"/>
      <c r="Z214" s="7"/>
      <c r="AA214" s="7"/>
      <c r="AB214" s="7"/>
      <c r="AC214" s="7"/>
      <c r="AD214" s="7"/>
      <c r="AE214" s="7"/>
      <c r="AF214" s="7"/>
      <c r="AG214" s="7"/>
      <c r="AH214" s="7"/>
      <c r="AI214" s="7"/>
      <c r="AJ214" s="7"/>
    </row>
    <row r="215">
      <c r="A215" s="4">
        <v>42425.0</v>
      </c>
      <c r="B215" s="5" t="s">
        <v>369</v>
      </c>
      <c r="C215" s="5" t="s">
        <v>40</v>
      </c>
      <c r="D215" s="6" t="str">
        <f>IF(NOT(ISBLANK(C215)), VLOOKUP(C215,'Dataset Descriptions'!$A$2:$B$10, 2, FALSE), "")</f>
        <v>State-owned land and buildings.</v>
      </c>
      <c r="E215" s="5" t="s">
        <v>25</v>
      </c>
      <c r="F215" s="5" t="s">
        <v>22</v>
      </c>
      <c r="G215" s="5" t="s">
        <v>22</v>
      </c>
      <c r="H215" s="5" t="s">
        <v>22</v>
      </c>
      <c r="I215" s="5" t="s">
        <v>22</v>
      </c>
      <c r="J215" s="5" t="s">
        <v>22</v>
      </c>
      <c r="K215" s="5" t="s">
        <v>22</v>
      </c>
      <c r="L215" s="5" t="s">
        <v>22</v>
      </c>
      <c r="M215" s="5" t="s">
        <v>22</v>
      </c>
      <c r="N215" s="5" t="s">
        <v>23</v>
      </c>
      <c r="O215" s="5" t="s">
        <v>22</v>
      </c>
      <c r="P215" s="5" t="s">
        <v>22</v>
      </c>
      <c r="Q215" s="7"/>
      <c r="R215" s="6" t="s">
        <v>378</v>
      </c>
      <c r="S215" s="6">
        <f>IF(NOT(ISBLANK(E215)), ROUND(((IF(E215="yes",1,0)*'Grading Scale'!E$2)+(IF(F215="yes",1,0)*'Grading Scale'!E$3)+(IF(G215="yes",1,0)*'Grading Scale'!E$4)+(IF(H215="yes",1,0)*'Grading Scale'!E$5)+(IF(I215="yes",1,0)*'Grading Scale'!E$6)+(IF(J215="yes",1,0)*'Grading Scale'!E$7)+(IF(K215="yes",1,0)*'Grading Scale'!E$8)+(IF(L215="yes",1,0)*'Grading Scale'!E$9)+(IF(M215="yes",1,0)*'Grading Scale'!E$10)+(IF(N215="yes",1,0)*'Grading Scale'!E$11)+(IF(O215="yes",1,0)*'Grading Scale'!E$12)+(IF(P215="yes",1,0)*'Grading Scale'!E$13))/'Grading Scale'!E$14*100,0), "")</f>
        <v>0</v>
      </c>
      <c r="T215" s="6" t="str">
        <f>IF(ISNUMBER(S215),VLOOKUP(S215,'Grading Scale'!$A$2:$B$14, 2), "")</f>
        <v>F</v>
      </c>
      <c r="U215" s="7"/>
      <c r="V215" s="7"/>
      <c r="W215" s="7"/>
      <c r="X215" s="7"/>
      <c r="Y215" s="7"/>
      <c r="Z215" s="7"/>
      <c r="AA215" s="7"/>
      <c r="AB215" s="7"/>
      <c r="AC215" s="7"/>
      <c r="AD215" s="7"/>
      <c r="AE215" s="7"/>
      <c r="AF215" s="7"/>
      <c r="AG215" s="7"/>
      <c r="AH215" s="7"/>
      <c r="AI215" s="7"/>
      <c r="AJ215" s="7"/>
    </row>
    <row r="216">
      <c r="A216" s="4">
        <v>42425.0</v>
      </c>
      <c r="B216" s="5" t="s">
        <v>369</v>
      </c>
      <c r="C216" s="5" t="s">
        <v>43</v>
      </c>
      <c r="D216" s="6" t="str">
        <f>IF(NOT(ISBLANK(C216)), VLOOKUP(C216,'Dataset Descriptions'!$A$2:$B$10, 2, FALSE), "")</f>
        <v>Health inspections of establishments that serve food to the public.</v>
      </c>
      <c r="E216" s="5" t="s">
        <v>25</v>
      </c>
      <c r="F216" s="5" t="s">
        <v>25</v>
      </c>
      <c r="G216" s="5" t="s">
        <v>25</v>
      </c>
      <c r="H216" s="5" t="s">
        <v>25</v>
      </c>
      <c r="I216" s="5" t="s">
        <v>25</v>
      </c>
      <c r="J216" s="5" t="s">
        <v>23</v>
      </c>
      <c r="K216" s="5" t="s">
        <v>23</v>
      </c>
      <c r="L216" s="5" t="s">
        <v>25</v>
      </c>
      <c r="M216" s="5" t="s">
        <v>25</v>
      </c>
      <c r="N216" s="5" t="s">
        <v>23</v>
      </c>
      <c r="O216" s="5" t="s">
        <v>23</v>
      </c>
      <c r="P216" s="5" t="s">
        <v>25</v>
      </c>
      <c r="Q216" s="9" t="s">
        <v>379</v>
      </c>
      <c r="R216" s="8"/>
      <c r="S216" s="6">
        <f>IF(NOT(ISBLANK(E216)), ROUND(((IF(E216="yes",1,0)*'Grading Scale'!E$2)+(IF(F216="yes",1,0)*'Grading Scale'!E$3)+(IF(G216="yes",1,0)*'Grading Scale'!E$4)+(IF(H216="yes",1,0)*'Grading Scale'!E$5)+(IF(I216="yes",1,0)*'Grading Scale'!E$6)+(IF(J216="yes",1,0)*'Grading Scale'!E$7)+(IF(K216="yes",1,0)*'Grading Scale'!E$8)+(IF(L216="yes",1,0)*'Grading Scale'!E$9)+(IF(M216="yes",1,0)*'Grading Scale'!E$10)+(IF(N216="yes",1,0)*'Grading Scale'!E$11)+(IF(O216="yes",1,0)*'Grading Scale'!E$12)+(IF(P216="yes",1,0)*'Grading Scale'!E$13))/'Grading Scale'!E$14*100,0), "")</f>
        <v>45</v>
      </c>
      <c r="T216" s="6" t="str">
        <f>IF(ISNUMBER(S216),VLOOKUP(S216,'Grading Scale'!$A$2:$B$14, 2), "")</f>
        <v>F</v>
      </c>
      <c r="U216" s="7"/>
      <c r="V216" s="7"/>
      <c r="W216" s="7"/>
      <c r="X216" s="7"/>
      <c r="Y216" s="7"/>
      <c r="Z216" s="7"/>
      <c r="AA216" s="7"/>
      <c r="AB216" s="7"/>
      <c r="AC216" s="7"/>
      <c r="AD216" s="7"/>
      <c r="AE216" s="7"/>
      <c r="AF216" s="7"/>
      <c r="AG216" s="7"/>
      <c r="AH216" s="7"/>
      <c r="AI216" s="7"/>
      <c r="AJ216" s="7"/>
    </row>
    <row r="217">
      <c r="A217" s="4">
        <v>42426.0</v>
      </c>
      <c r="B217" s="5" t="s">
        <v>369</v>
      </c>
      <c r="C217" s="5" t="s">
        <v>46</v>
      </c>
      <c r="D217" s="6" t="str">
        <f>IF(NOT(ISBLANK(C217)), VLOOKUP(C217,'Dataset Descriptions'!$A$2:$B$10, 2, FALSE), "")</f>
        <v>Incident-level reportable motor vehicle crash records.</v>
      </c>
      <c r="E217" s="5" t="s">
        <v>22</v>
      </c>
      <c r="F217" s="5" t="s">
        <v>22</v>
      </c>
      <c r="G217" s="5" t="s">
        <v>22</v>
      </c>
      <c r="H217" s="5" t="s">
        <v>22</v>
      </c>
      <c r="I217" s="5" t="s">
        <v>23</v>
      </c>
      <c r="J217" s="5" t="s">
        <v>22</v>
      </c>
      <c r="K217" s="5" t="s">
        <v>22</v>
      </c>
      <c r="L217" s="5" t="s">
        <v>22</v>
      </c>
      <c r="M217" s="5" t="s">
        <v>22</v>
      </c>
      <c r="N217" s="5" t="s">
        <v>23</v>
      </c>
      <c r="O217" s="5" t="s">
        <v>22</v>
      </c>
      <c r="P217" s="5" t="s">
        <v>22</v>
      </c>
      <c r="R217" s="6" t="s">
        <v>380</v>
      </c>
      <c r="S217" s="6">
        <f>IF(NOT(ISBLANK(E217)), ROUND(((IF(E217="yes",1,0)*'Grading Scale'!E$2)+(IF(F217="yes",1,0)*'Grading Scale'!E$3)+(IF(G217="yes",1,0)*'Grading Scale'!E$4)+(IF(H217="yes",1,0)*'Grading Scale'!E$5)+(IF(I217="yes",1,0)*'Grading Scale'!E$6)+(IF(J217="yes",1,0)*'Grading Scale'!E$7)+(IF(K217="yes",1,0)*'Grading Scale'!E$8)+(IF(L217="yes",1,0)*'Grading Scale'!E$9)+(IF(M217="yes",1,0)*'Grading Scale'!E$10)+(IF(N217="yes",1,0)*'Grading Scale'!E$11)+(IF(O217="yes",1,0)*'Grading Scale'!E$12)+(IF(P217="yes",1,0)*'Grading Scale'!E$13))/'Grading Scale'!E$14*100,0), "")</f>
        <v>0</v>
      </c>
      <c r="T217" s="6" t="str">
        <f>IF(ISNUMBER(S217),VLOOKUP(S217,'Grading Scale'!$A$2:$B$14, 2), "")</f>
        <v>F</v>
      </c>
      <c r="U217" s="7"/>
      <c r="V217" s="7"/>
      <c r="W217" s="7"/>
      <c r="X217" s="7"/>
      <c r="Y217" s="7"/>
      <c r="Z217" s="7"/>
      <c r="AA217" s="7"/>
      <c r="AB217" s="7"/>
      <c r="AC217" s="7"/>
      <c r="AD217" s="7"/>
      <c r="AE217" s="7"/>
      <c r="AF217" s="7"/>
      <c r="AG217" s="7"/>
      <c r="AH217" s="7"/>
      <c r="AI217" s="7"/>
      <c r="AJ217" s="7"/>
    </row>
    <row r="218">
      <c r="A218" s="10">
        <v>42338.0</v>
      </c>
      <c r="B218" s="5" t="s">
        <v>381</v>
      </c>
      <c r="C218" s="5" t="s">
        <v>21</v>
      </c>
      <c r="D218" s="6" t="str">
        <f>IF(NOT(ISBLANK(C218)), VLOOKUP(C218,'Dataset Descriptions'!$A$2:$B$10, 2, FALSE), "")</f>
        <v>The geographic coordinates for physical addresses.</v>
      </c>
      <c r="E218" s="5" t="s">
        <v>22</v>
      </c>
      <c r="F218" s="5" t="s">
        <v>22</v>
      </c>
      <c r="G218" s="5" t="s">
        <v>22</v>
      </c>
      <c r="H218" s="5" t="s">
        <v>22</v>
      </c>
      <c r="I218" s="5" t="s">
        <v>23</v>
      </c>
      <c r="J218" s="5" t="s">
        <v>22</v>
      </c>
      <c r="K218" s="5" t="s">
        <v>23</v>
      </c>
      <c r="L218" s="5" t="s">
        <v>22</v>
      </c>
      <c r="M218" s="5" t="s">
        <v>22</v>
      </c>
      <c r="N218" s="5" t="s">
        <v>23</v>
      </c>
      <c r="O218" s="5" t="s">
        <v>23</v>
      </c>
      <c r="P218" s="5" t="s">
        <v>22</v>
      </c>
      <c r="Q218" s="7"/>
      <c r="R218" s="6" t="s">
        <v>321</v>
      </c>
      <c r="S218" s="6">
        <f>IF(NOT(ISBLANK(E218)), ROUND(((IF(E218="yes",1,0)*'Grading Scale'!E$2)+(IF(F218="yes",1,0)*'Grading Scale'!E$3)+(IF(G218="yes",1,0)*'Grading Scale'!E$4)+(IF(H218="yes",1,0)*'Grading Scale'!E$5)+(IF(I218="yes",1,0)*'Grading Scale'!E$6)+(IF(J218="yes",1,0)*'Grading Scale'!E$7)+(IF(K218="yes",1,0)*'Grading Scale'!E$8)+(IF(L218="yes",1,0)*'Grading Scale'!E$9)+(IF(M218="yes",1,0)*'Grading Scale'!E$10)+(IF(N218="yes",1,0)*'Grading Scale'!E$11)+(IF(O218="yes",1,0)*'Grading Scale'!E$12)+(IF(P218="yes",1,0)*'Grading Scale'!E$13))/'Grading Scale'!E$14*100,0), "")</f>
        <v>0</v>
      </c>
      <c r="T218" s="6" t="str">
        <f>IF(ISNUMBER(S218),VLOOKUP(S218,'Grading Scale'!$A$2:$B$14, 2), "")</f>
        <v>F</v>
      </c>
      <c r="U218" s="7"/>
      <c r="V218" s="7"/>
      <c r="W218" s="7"/>
      <c r="X218" s="7"/>
      <c r="Y218" s="7"/>
      <c r="Z218" s="7"/>
      <c r="AA218" s="7"/>
      <c r="AB218" s="7"/>
      <c r="AC218" s="7"/>
      <c r="AD218" s="7"/>
      <c r="AE218" s="7"/>
      <c r="AF218" s="7"/>
      <c r="AG218" s="7"/>
      <c r="AH218" s="7"/>
      <c r="AI218" s="7"/>
      <c r="AJ218" s="7"/>
    </row>
    <row r="219">
      <c r="A219" s="10">
        <v>42374.0</v>
      </c>
      <c r="B219" s="5" t="s">
        <v>381</v>
      </c>
      <c r="C219" s="5" t="s">
        <v>24</v>
      </c>
      <c r="D219" s="6" t="str">
        <f>IF(NOT(ISBLANK(C219)), VLOOKUP(C219,'Dataset Descriptions'!$A$2:$B$10, 2, FALSE), "")</f>
        <v>Transaction-level, per-agency spending records.</v>
      </c>
      <c r="E219" s="5" t="s">
        <v>25</v>
      </c>
      <c r="F219" s="5" t="s">
        <v>25</v>
      </c>
      <c r="G219" s="5" t="s">
        <v>25</v>
      </c>
      <c r="H219" s="5" t="s">
        <v>25</v>
      </c>
      <c r="I219" s="5" t="s">
        <v>25</v>
      </c>
      <c r="J219" s="5" t="s">
        <v>25</v>
      </c>
      <c r="K219" s="5" t="s">
        <v>25</v>
      </c>
      <c r="L219" s="5" t="s">
        <v>25</v>
      </c>
      <c r="M219" s="5" t="s">
        <v>25</v>
      </c>
      <c r="N219" s="5" t="s">
        <v>25</v>
      </c>
      <c r="O219" s="5" t="s">
        <v>25</v>
      </c>
      <c r="P219" s="5" t="s">
        <v>23</v>
      </c>
      <c r="Q219" s="9" t="s">
        <v>382</v>
      </c>
      <c r="R219" s="6" t="s">
        <v>383</v>
      </c>
      <c r="S219" s="6">
        <f>IF(NOT(ISBLANK(E219)), ROUND(((IF(E219="yes",1,0)*'Grading Scale'!E$2)+(IF(F219="yes",1,0)*'Grading Scale'!E$3)+(IF(G219="yes",1,0)*'Grading Scale'!E$4)+(IF(H219="yes",1,0)*'Grading Scale'!E$5)+(IF(I219="yes",1,0)*'Grading Scale'!E$6)+(IF(J219="yes",1,0)*'Grading Scale'!E$7)+(IF(K219="yes",1,0)*'Grading Scale'!E$8)+(IF(L219="yes",1,0)*'Grading Scale'!E$9)+(IF(M219="yes",1,0)*'Grading Scale'!E$10)+(IF(N219="yes",1,0)*'Grading Scale'!E$11)+(IF(O219="yes",1,0)*'Grading Scale'!E$12)+(IF(P219="yes",1,0)*'Grading Scale'!E$13))/'Grading Scale'!E$14*100,0), "")</f>
        <v>95</v>
      </c>
      <c r="T219" s="6" t="str">
        <f>IF(ISNUMBER(S219),VLOOKUP(S219,'Grading Scale'!$A$2:$B$14, 2), "")</f>
        <v>A</v>
      </c>
      <c r="U219" s="7"/>
      <c r="V219" s="7"/>
      <c r="W219" s="7"/>
      <c r="X219" s="7"/>
      <c r="Y219" s="7"/>
      <c r="Z219" s="7"/>
      <c r="AA219" s="7"/>
      <c r="AB219" s="7"/>
      <c r="AC219" s="7"/>
      <c r="AD219" s="7"/>
      <c r="AE219" s="7"/>
      <c r="AF219" s="7"/>
      <c r="AG219" s="7"/>
      <c r="AH219" s="7"/>
      <c r="AI219" s="7"/>
      <c r="AJ219" s="7"/>
    </row>
    <row r="220">
      <c r="A220" s="10">
        <v>42338.0</v>
      </c>
      <c r="B220" s="5" t="s">
        <v>381</v>
      </c>
      <c r="C220" s="5" t="s">
        <v>28</v>
      </c>
      <c r="D220" s="6" t="str">
        <f>IF(NOT(ISBLANK(C220)), VLOOKUP(C220,'Dataset Descriptions'!$A$2:$B$10, 2, FALSE), "")</f>
        <v>The register of all corporations that exist in the state.</v>
      </c>
      <c r="E220" s="5" t="s">
        <v>25</v>
      </c>
      <c r="F220" s="5" t="s">
        <v>25</v>
      </c>
      <c r="G220" s="5" t="s">
        <v>25</v>
      </c>
      <c r="H220" s="5" t="s">
        <v>25</v>
      </c>
      <c r="I220" s="5" t="s">
        <v>25</v>
      </c>
      <c r="J220" s="5" t="s">
        <v>23</v>
      </c>
      <c r="K220" s="5" t="s">
        <v>23</v>
      </c>
      <c r="L220" s="5" t="s">
        <v>25</v>
      </c>
      <c r="M220" s="5" t="s">
        <v>25</v>
      </c>
      <c r="N220" s="5" t="s">
        <v>23</v>
      </c>
      <c r="O220" s="5" t="s">
        <v>25</v>
      </c>
      <c r="P220" s="5" t="s">
        <v>25</v>
      </c>
      <c r="Q220" s="9" t="s">
        <v>384</v>
      </c>
      <c r="R220" s="8"/>
      <c r="S220" s="6">
        <f>IF(NOT(ISBLANK(E220)), ROUND(((IF(E220="yes",1,0)*'Grading Scale'!E$2)+(IF(F220="yes",1,0)*'Grading Scale'!E$3)+(IF(G220="yes",1,0)*'Grading Scale'!E$4)+(IF(H220="yes",1,0)*'Grading Scale'!E$5)+(IF(I220="yes",1,0)*'Grading Scale'!E$6)+(IF(J220="yes",1,0)*'Grading Scale'!E$7)+(IF(K220="yes",1,0)*'Grading Scale'!E$8)+(IF(L220="yes",1,0)*'Grading Scale'!E$9)+(IF(M220="yes",1,0)*'Grading Scale'!E$10)+(IF(N220="yes",1,0)*'Grading Scale'!E$11)+(IF(O220="yes",1,0)*'Grading Scale'!E$12)+(IF(P220="yes",1,0)*'Grading Scale'!E$13))/'Grading Scale'!E$14*100,0), "")</f>
        <v>50</v>
      </c>
      <c r="T220" s="6" t="str">
        <f>IF(ISNUMBER(S220),VLOOKUP(S220,'Grading Scale'!$A$2:$B$14, 2), "")</f>
        <v>F</v>
      </c>
      <c r="U220" s="7"/>
      <c r="V220" s="7"/>
      <c r="W220" s="7"/>
      <c r="X220" s="7"/>
      <c r="Y220" s="7"/>
      <c r="Z220" s="7"/>
      <c r="AA220" s="7"/>
      <c r="AB220" s="7"/>
      <c r="AC220" s="7"/>
      <c r="AD220" s="7"/>
      <c r="AE220" s="7"/>
      <c r="AF220" s="7"/>
      <c r="AG220" s="7"/>
      <c r="AH220" s="7"/>
      <c r="AI220" s="7"/>
      <c r="AJ220" s="7"/>
    </row>
    <row r="221">
      <c r="A221" s="10">
        <v>42401.0</v>
      </c>
      <c r="B221" s="5" t="s">
        <v>381</v>
      </c>
      <c r="C221" s="5" t="s">
        <v>31</v>
      </c>
      <c r="D221" s="6" t="str">
        <f>IF(NOT(ISBLANK(C221)), VLOOKUP(C221,'Dataset Descriptions'!$A$2:$B$10, 2, FALSE), "")</f>
        <v>Per-facility inmate population records.</v>
      </c>
      <c r="E221" s="5" t="s">
        <v>25</v>
      </c>
      <c r="F221" s="5" t="s">
        <v>25</v>
      </c>
      <c r="G221" s="5" t="s">
        <v>25</v>
      </c>
      <c r="H221" s="5" t="s">
        <v>25</v>
      </c>
      <c r="I221" s="5" t="s">
        <v>25</v>
      </c>
      <c r="J221" s="5" t="s">
        <v>25</v>
      </c>
      <c r="K221" s="5" t="s">
        <v>25</v>
      </c>
      <c r="L221" s="5" t="s">
        <v>25</v>
      </c>
      <c r="M221" s="5" t="s">
        <v>25</v>
      </c>
      <c r="N221" s="5" t="s">
        <v>23</v>
      </c>
      <c r="O221" s="5" t="s">
        <v>23</v>
      </c>
      <c r="P221" s="5" t="s">
        <v>23</v>
      </c>
      <c r="Q221" s="9" t="s">
        <v>315</v>
      </c>
      <c r="R221" s="6" t="s">
        <v>385</v>
      </c>
      <c r="S221" s="6">
        <f>IF(NOT(ISBLANK(E221)), ROUND(((IF(E221="yes",1,0)*'Grading Scale'!E$2)+(IF(F221="yes",1,0)*'Grading Scale'!E$3)+(IF(G221="yes",1,0)*'Grading Scale'!E$4)+(IF(H221="yes",1,0)*'Grading Scale'!E$5)+(IF(I221="yes",1,0)*'Grading Scale'!E$6)+(IF(J221="yes",1,0)*'Grading Scale'!E$7)+(IF(K221="yes",1,0)*'Grading Scale'!E$8)+(IF(L221="yes",1,0)*'Grading Scale'!E$9)+(IF(M221="yes",1,0)*'Grading Scale'!E$10)+(IF(N221="yes",1,0)*'Grading Scale'!E$11)+(IF(O221="yes",1,0)*'Grading Scale'!E$12)+(IF(P221="yes",1,0)*'Grading Scale'!E$13))/'Grading Scale'!E$14*100,0), "")</f>
        <v>85</v>
      </c>
      <c r="T221" s="6" t="str">
        <f>IF(ISNUMBER(S221),VLOOKUP(S221,'Grading Scale'!$A$2:$B$14, 2), "")</f>
        <v>B</v>
      </c>
      <c r="U221" s="7"/>
      <c r="V221" s="7"/>
      <c r="W221" s="7"/>
      <c r="X221" s="7"/>
      <c r="Y221" s="7"/>
      <c r="Z221" s="7"/>
      <c r="AA221" s="7"/>
      <c r="AB221" s="7"/>
      <c r="AC221" s="7"/>
      <c r="AD221" s="7"/>
      <c r="AE221" s="7"/>
      <c r="AF221" s="7"/>
      <c r="AG221" s="7"/>
      <c r="AH221" s="7"/>
      <c r="AI221" s="7"/>
      <c r="AJ221" s="7"/>
    </row>
    <row r="222">
      <c r="A222" s="10">
        <v>42338.0</v>
      </c>
      <c r="B222" s="5" t="s">
        <v>381</v>
      </c>
      <c r="C222" s="5" t="s">
        <v>34</v>
      </c>
      <c r="D222" s="6" t="str">
        <f>IF(NOT(ISBLANK(C222)), VLOOKUP(C222,'Dataset Descriptions'!$A$2:$B$10, 2, FALSE), "")</f>
        <v>Bills before the legislature, and the legislators that comprise it.</v>
      </c>
      <c r="E222" s="5" t="s">
        <v>25</v>
      </c>
      <c r="F222" s="5" t="s">
        <v>25</v>
      </c>
      <c r="G222" s="5" t="s">
        <v>25</v>
      </c>
      <c r="H222" s="5" t="s">
        <v>25</v>
      </c>
      <c r="I222" s="5" t="s">
        <v>25</v>
      </c>
      <c r="J222" s="5" t="s">
        <v>23</v>
      </c>
      <c r="K222" s="5" t="s">
        <v>23</v>
      </c>
      <c r="L222" s="5" t="s">
        <v>25</v>
      </c>
      <c r="M222" s="5" t="s">
        <v>25</v>
      </c>
      <c r="N222" s="5" t="s">
        <v>23</v>
      </c>
      <c r="O222" s="5" t="s">
        <v>23</v>
      </c>
      <c r="P222" s="5" t="s">
        <v>25</v>
      </c>
      <c r="Q222" s="9" t="s">
        <v>386</v>
      </c>
      <c r="R222" s="8"/>
      <c r="S222" s="6">
        <f>IF(NOT(ISBLANK(E222)), ROUND(((IF(E222="yes",1,0)*'Grading Scale'!E$2)+(IF(F222="yes",1,0)*'Grading Scale'!E$3)+(IF(G222="yes",1,0)*'Grading Scale'!E$4)+(IF(H222="yes",1,0)*'Grading Scale'!E$5)+(IF(I222="yes",1,0)*'Grading Scale'!E$6)+(IF(J222="yes",1,0)*'Grading Scale'!E$7)+(IF(K222="yes",1,0)*'Grading Scale'!E$8)+(IF(L222="yes",1,0)*'Grading Scale'!E$9)+(IF(M222="yes",1,0)*'Grading Scale'!E$10)+(IF(N222="yes",1,0)*'Grading Scale'!E$11)+(IF(O222="yes",1,0)*'Grading Scale'!E$12)+(IF(P222="yes",1,0)*'Grading Scale'!E$13))/'Grading Scale'!E$14*100,0), "")</f>
        <v>45</v>
      </c>
      <c r="T222" s="6" t="str">
        <f>IF(ISNUMBER(S222),VLOOKUP(S222,'Grading Scale'!$A$2:$B$14, 2), "")</f>
        <v>F</v>
      </c>
      <c r="U222" s="7"/>
      <c r="V222" s="7"/>
      <c r="W222" s="7"/>
      <c r="X222" s="7"/>
      <c r="Y222" s="7"/>
      <c r="Z222" s="7"/>
      <c r="AA222" s="7"/>
      <c r="AB222" s="7"/>
      <c r="AC222" s="7"/>
      <c r="AD222" s="7"/>
      <c r="AE222" s="7"/>
      <c r="AF222" s="7"/>
      <c r="AG222" s="7"/>
      <c r="AH222" s="7"/>
      <c r="AI222" s="7"/>
      <c r="AJ222" s="7"/>
    </row>
    <row r="223">
      <c r="A223" s="10">
        <v>42338.0</v>
      </c>
      <c r="B223" s="5" t="s">
        <v>381</v>
      </c>
      <c r="C223" s="6" t="s">
        <v>37</v>
      </c>
      <c r="D223" s="6" t="str">
        <f>IF(NOT(ISBLANK(C223)), VLOOKUP(C223,'Dataset Descriptions'!$A$2:$B$10, 2, FALSE), "")</f>
        <v>Forecasts of municipal-level changes in population over coming years.</v>
      </c>
      <c r="E223" s="5" t="s">
        <v>25</v>
      </c>
      <c r="F223" s="5" t="s">
        <v>25</v>
      </c>
      <c r="G223" s="5" t="s">
        <v>25</v>
      </c>
      <c r="H223" s="5" t="s">
        <v>25</v>
      </c>
      <c r="I223" s="5" t="s">
        <v>25</v>
      </c>
      <c r="J223" s="5" t="s">
        <v>25</v>
      </c>
      <c r="K223" s="5" t="s">
        <v>25</v>
      </c>
      <c r="L223" s="5" t="s">
        <v>25</v>
      </c>
      <c r="M223" s="5" t="s">
        <v>25</v>
      </c>
      <c r="N223" s="5" t="s">
        <v>23</v>
      </c>
      <c r="O223" s="5" t="s">
        <v>25</v>
      </c>
      <c r="P223" s="5" t="s">
        <v>23</v>
      </c>
      <c r="Q223" s="9" t="s">
        <v>387</v>
      </c>
      <c r="R223" s="6" t="s">
        <v>388</v>
      </c>
      <c r="S223" s="6">
        <f>IF(NOT(ISBLANK(E223)), ROUND(((IF(E223="yes",1,0)*'Grading Scale'!E$2)+(IF(F223="yes",1,0)*'Grading Scale'!E$3)+(IF(G223="yes",1,0)*'Grading Scale'!E$4)+(IF(H223="yes",1,0)*'Grading Scale'!E$5)+(IF(I223="yes",1,0)*'Grading Scale'!E$6)+(IF(J223="yes",1,0)*'Grading Scale'!E$7)+(IF(K223="yes",1,0)*'Grading Scale'!E$8)+(IF(L223="yes",1,0)*'Grading Scale'!E$9)+(IF(M223="yes",1,0)*'Grading Scale'!E$10)+(IF(N223="yes",1,0)*'Grading Scale'!E$11)+(IF(O223="yes",1,0)*'Grading Scale'!E$12)+(IF(P223="yes",1,0)*'Grading Scale'!E$13))/'Grading Scale'!E$14*100,0), "")</f>
        <v>90</v>
      </c>
      <c r="T223" s="6" t="str">
        <f>IF(ISNUMBER(S223),VLOOKUP(S223,'Grading Scale'!$A$2:$B$14, 2), "")</f>
        <v>A−</v>
      </c>
      <c r="U223" s="7"/>
      <c r="V223" s="7"/>
      <c r="W223" s="7"/>
      <c r="X223" s="7"/>
      <c r="Y223" s="7"/>
      <c r="Z223" s="7"/>
      <c r="AA223" s="7"/>
      <c r="AB223" s="7"/>
      <c r="AC223" s="7"/>
      <c r="AD223" s="7"/>
      <c r="AE223" s="7"/>
      <c r="AF223" s="7"/>
      <c r="AG223" s="7"/>
      <c r="AH223" s="7"/>
      <c r="AI223" s="7"/>
      <c r="AJ223" s="7"/>
    </row>
    <row r="224">
      <c r="A224" s="10">
        <v>42338.0</v>
      </c>
      <c r="B224" s="5" t="s">
        <v>381</v>
      </c>
      <c r="C224" s="5" t="s">
        <v>40</v>
      </c>
      <c r="D224" s="6" t="str">
        <f>IF(NOT(ISBLANK(C224)), VLOOKUP(C224,'Dataset Descriptions'!$A$2:$B$10, 2, FALSE), "")</f>
        <v>State-owned land and buildings.</v>
      </c>
      <c r="E224" s="5" t="s">
        <v>22</v>
      </c>
      <c r="F224" s="5" t="s">
        <v>22</v>
      </c>
      <c r="G224" s="5" t="s">
        <v>22</v>
      </c>
      <c r="H224" s="5" t="s">
        <v>22</v>
      </c>
      <c r="I224" s="5" t="s">
        <v>23</v>
      </c>
      <c r="J224" s="5" t="s">
        <v>22</v>
      </c>
      <c r="K224" s="5" t="s">
        <v>23</v>
      </c>
      <c r="L224" s="5" t="s">
        <v>22</v>
      </c>
      <c r="M224" s="5" t="s">
        <v>22</v>
      </c>
      <c r="N224" s="5" t="s">
        <v>23</v>
      </c>
      <c r="O224" s="5" t="s">
        <v>23</v>
      </c>
      <c r="P224" s="5" t="s">
        <v>22</v>
      </c>
      <c r="Q224" s="7"/>
      <c r="R224" s="6" t="s">
        <v>321</v>
      </c>
      <c r="S224" s="6">
        <f>IF(NOT(ISBLANK(E224)), ROUND(((IF(E224="yes",1,0)*'Grading Scale'!E$2)+(IF(F224="yes",1,0)*'Grading Scale'!E$3)+(IF(G224="yes",1,0)*'Grading Scale'!E$4)+(IF(H224="yes",1,0)*'Grading Scale'!E$5)+(IF(I224="yes",1,0)*'Grading Scale'!E$6)+(IF(J224="yes",1,0)*'Grading Scale'!E$7)+(IF(K224="yes",1,0)*'Grading Scale'!E$8)+(IF(L224="yes",1,0)*'Grading Scale'!E$9)+(IF(M224="yes",1,0)*'Grading Scale'!E$10)+(IF(N224="yes",1,0)*'Grading Scale'!E$11)+(IF(O224="yes",1,0)*'Grading Scale'!E$12)+(IF(P224="yes",1,0)*'Grading Scale'!E$13))/'Grading Scale'!E$14*100,0), "")</f>
        <v>0</v>
      </c>
      <c r="T224" s="6" t="str">
        <f>IF(ISNUMBER(S224),VLOOKUP(S224,'Grading Scale'!$A$2:$B$14, 2), "")</f>
        <v>F</v>
      </c>
      <c r="U224" s="7"/>
      <c r="V224" s="7"/>
      <c r="W224" s="7"/>
      <c r="X224" s="7"/>
      <c r="Y224" s="7"/>
      <c r="Z224" s="7"/>
      <c r="AA224" s="7"/>
      <c r="AB224" s="7"/>
      <c r="AC224" s="7"/>
      <c r="AD224" s="7"/>
      <c r="AE224" s="7"/>
      <c r="AF224" s="7"/>
      <c r="AG224" s="7"/>
      <c r="AH224" s="7"/>
      <c r="AI224" s="7"/>
      <c r="AJ224" s="7"/>
    </row>
    <row r="225">
      <c r="A225" s="10">
        <v>42338.0</v>
      </c>
      <c r="B225" s="5" t="s">
        <v>381</v>
      </c>
      <c r="C225" s="5" t="s">
        <v>43</v>
      </c>
      <c r="D225" s="6" t="str">
        <f>IF(NOT(ISBLANK(C225)), VLOOKUP(C225,'Dataset Descriptions'!$A$2:$B$10, 2, FALSE), "")</f>
        <v>Health inspections of establishments that serve food to the public.</v>
      </c>
      <c r="E225" s="5" t="s">
        <v>22</v>
      </c>
      <c r="F225" s="5" t="s">
        <v>22</v>
      </c>
      <c r="G225" s="5" t="s">
        <v>22</v>
      </c>
      <c r="H225" s="5" t="s">
        <v>22</v>
      </c>
      <c r="I225" s="5" t="s">
        <v>23</v>
      </c>
      <c r="J225" s="5" t="s">
        <v>22</v>
      </c>
      <c r="K225" s="5" t="s">
        <v>23</v>
      </c>
      <c r="L225" s="5" t="s">
        <v>22</v>
      </c>
      <c r="M225" s="5" t="s">
        <v>22</v>
      </c>
      <c r="N225" s="5" t="s">
        <v>23</v>
      </c>
      <c r="O225" s="5" t="s">
        <v>23</v>
      </c>
      <c r="P225" s="5" t="s">
        <v>22</v>
      </c>
      <c r="Q225" s="7"/>
      <c r="R225" s="6" t="s">
        <v>322</v>
      </c>
      <c r="S225" s="6">
        <f>IF(NOT(ISBLANK(E225)), ROUND(((IF(E225="yes",1,0)*'Grading Scale'!E$2)+(IF(F225="yes",1,0)*'Grading Scale'!E$3)+(IF(G225="yes",1,0)*'Grading Scale'!E$4)+(IF(H225="yes",1,0)*'Grading Scale'!E$5)+(IF(I225="yes",1,0)*'Grading Scale'!E$6)+(IF(J225="yes",1,0)*'Grading Scale'!E$7)+(IF(K225="yes",1,0)*'Grading Scale'!E$8)+(IF(L225="yes",1,0)*'Grading Scale'!E$9)+(IF(M225="yes",1,0)*'Grading Scale'!E$10)+(IF(N225="yes",1,0)*'Grading Scale'!E$11)+(IF(O225="yes",1,0)*'Grading Scale'!E$12)+(IF(P225="yes",1,0)*'Grading Scale'!E$13))/'Grading Scale'!E$14*100,0), "")</f>
        <v>0</v>
      </c>
      <c r="T225" s="6" t="str">
        <f>IF(ISNUMBER(S225),VLOOKUP(S225,'Grading Scale'!$A$2:$B$14, 2), "")</f>
        <v>F</v>
      </c>
      <c r="U225" s="7"/>
      <c r="V225" s="7"/>
      <c r="W225" s="7"/>
      <c r="X225" s="7"/>
      <c r="Y225" s="7"/>
      <c r="Z225" s="7"/>
      <c r="AA225" s="7"/>
      <c r="AB225" s="7"/>
      <c r="AC225" s="7"/>
      <c r="AD225" s="7"/>
      <c r="AE225" s="7"/>
      <c r="AF225" s="7"/>
      <c r="AG225" s="7"/>
      <c r="AH225" s="7"/>
      <c r="AI225" s="7"/>
      <c r="AJ225" s="7"/>
    </row>
    <row r="226">
      <c r="A226" s="10">
        <v>42338.0</v>
      </c>
      <c r="B226" s="5" t="s">
        <v>381</v>
      </c>
      <c r="C226" s="17" t="s">
        <v>46</v>
      </c>
      <c r="D226" s="6" t="str">
        <f>IF(NOT(ISBLANK(C226)), VLOOKUP(C226,'Dataset Descriptions'!$A$2:$B$10, 2, FALSE), "")</f>
        <v>Incident-level reportable motor vehicle crash records.</v>
      </c>
      <c r="E226" s="5" t="s">
        <v>25</v>
      </c>
      <c r="F226" s="5" t="s">
        <v>25</v>
      </c>
      <c r="G226" s="5" t="s">
        <v>25</v>
      </c>
      <c r="H226" s="5" t="s">
        <v>25</v>
      </c>
      <c r="I226" s="5" t="s">
        <v>25</v>
      </c>
      <c r="J226" s="5" t="s">
        <v>23</v>
      </c>
      <c r="K226" s="5" t="s">
        <v>23</v>
      </c>
      <c r="L226" s="5" t="s">
        <v>25</v>
      </c>
      <c r="M226" s="5" t="s">
        <v>25</v>
      </c>
      <c r="N226" s="5" t="s">
        <v>23</v>
      </c>
      <c r="O226" s="5" t="s">
        <v>25</v>
      </c>
      <c r="P226" s="5" t="s">
        <v>25</v>
      </c>
      <c r="Q226" s="9" t="s">
        <v>389</v>
      </c>
      <c r="R226" s="6" t="s">
        <v>390</v>
      </c>
      <c r="S226" s="6">
        <f>IF(NOT(ISBLANK(E226)), ROUND(((IF(E226="yes",1,0)*'Grading Scale'!E$2)+(IF(F226="yes",1,0)*'Grading Scale'!E$3)+(IF(G226="yes",1,0)*'Grading Scale'!E$4)+(IF(H226="yes",1,0)*'Grading Scale'!E$5)+(IF(I226="yes",1,0)*'Grading Scale'!E$6)+(IF(J226="yes",1,0)*'Grading Scale'!E$7)+(IF(K226="yes",1,0)*'Grading Scale'!E$8)+(IF(L226="yes",1,0)*'Grading Scale'!E$9)+(IF(M226="yes",1,0)*'Grading Scale'!E$10)+(IF(N226="yes",1,0)*'Grading Scale'!E$11)+(IF(O226="yes",1,0)*'Grading Scale'!E$12)+(IF(P226="yes",1,0)*'Grading Scale'!E$13))/'Grading Scale'!E$14*100,0), "")</f>
        <v>50</v>
      </c>
      <c r="T226" s="6" t="str">
        <f>IF(ISNUMBER(S226),VLOOKUP(S226,'Grading Scale'!$A$2:$B$14, 2), "")</f>
        <v>F</v>
      </c>
      <c r="U226" s="7"/>
      <c r="V226" s="7"/>
      <c r="W226" s="7"/>
      <c r="X226" s="7"/>
      <c r="Y226" s="7"/>
      <c r="Z226" s="7"/>
      <c r="AA226" s="7"/>
      <c r="AB226" s="7"/>
      <c r="AC226" s="7"/>
      <c r="AD226" s="7"/>
      <c r="AE226" s="7"/>
      <c r="AF226" s="7"/>
      <c r="AG226" s="7"/>
      <c r="AH226" s="7"/>
      <c r="AI226" s="7"/>
      <c r="AJ226" s="7"/>
    </row>
    <row r="227">
      <c r="A227" s="4">
        <v>42405.0</v>
      </c>
      <c r="B227" s="5" t="s">
        <v>391</v>
      </c>
      <c r="C227" s="5" t="s">
        <v>21</v>
      </c>
      <c r="D227" s="6" t="str">
        <f>IF(NOT(ISBLANK(C227)), VLOOKUP(C227,'Dataset Descriptions'!$A$2:$B$10, 2, FALSE), "")</f>
        <v>The geographic coordinates for physical addresses.</v>
      </c>
      <c r="E227" s="5" t="s">
        <v>25</v>
      </c>
      <c r="F227" s="5" t="s">
        <v>25</v>
      </c>
      <c r="G227" s="5" t="s">
        <v>25</v>
      </c>
      <c r="H227" s="5" t="s">
        <v>25</v>
      </c>
      <c r="I227" s="5" t="s">
        <v>25</v>
      </c>
      <c r="J227" s="5" t="s">
        <v>25</v>
      </c>
      <c r="K227" s="5" t="s">
        <v>25</v>
      </c>
      <c r="L227" s="5" t="s">
        <v>23</v>
      </c>
      <c r="M227" s="5" t="s">
        <v>25</v>
      </c>
      <c r="N227" s="5" t="s">
        <v>23</v>
      </c>
      <c r="O227" s="5" t="s">
        <v>25</v>
      </c>
      <c r="P227" s="5" t="s">
        <v>25</v>
      </c>
      <c r="Q227" s="9" t="s">
        <v>392</v>
      </c>
      <c r="R227" s="6" t="s">
        <v>393</v>
      </c>
      <c r="S227" s="6">
        <f>IF(NOT(ISBLANK(E227)), ROUND(((IF(E227="yes",1,0)*'Grading Scale'!E$2)+(IF(F227="yes",1,0)*'Grading Scale'!E$3)+(IF(G227="yes",1,0)*'Grading Scale'!E$4)+(IF(H227="yes",1,0)*'Grading Scale'!E$5)+(IF(I227="yes",1,0)*'Grading Scale'!E$6)+(IF(J227="yes",1,0)*'Grading Scale'!E$7)+(IF(K227="yes",1,0)*'Grading Scale'!E$8)+(IF(L227="yes",1,0)*'Grading Scale'!E$9)+(IF(M227="yes",1,0)*'Grading Scale'!E$10)+(IF(N227="yes",1,0)*'Grading Scale'!E$11)+(IF(O227="yes",1,0)*'Grading Scale'!E$12)+(IF(P227="yes",1,0)*'Grading Scale'!E$13))/'Grading Scale'!E$14*100,0), "")</f>
        <v>90</v>
      </c>
      <c r="T227" s="6" t="str">
        <f>IF(ISNUMBER(S227),VLOOKUP(S227,'Grading Scale'!$A$2:$B$14, 2), "")</f>
        <v>A−</v>
      </c>
      <c r="U227" s="7"/>
      <c r="V227" s="7"/>
      <c r="W227" s="7"/>
      <c r="X227" s="7"/>
      <c r="Y227" s="7"/>
      <c r="Z227" s="7"/>
      <c r="AA227" s="7"/>
      <c r="AB227" s="7"/>
      <c r="AC227" s="7"/>
      <c r="AD227" s="7"/>
      <c r="AE227" s="7"/>
      <c r="AF227" s="7"/>
      <c r="AG227" s="7"/>
      <c r="AH227" s="7"/>
      <c r="AI227" s="7"/>
      <c r="AJ227" s="7"/>
    </row>
    <row r="228">
      <c r="A228" s="4">
        <v>42405.0</v>
      </c>
      <c r="B228" s="5" t="s">
        <v>391</v>
      </c>
      <c r="C228" s="5" t="s">
        <v>24</v>
      </c>
      <c r="D228" s="6" t="str">
        <f>IF(NOT(ISBLANK(C228)), VLOOKUP(C228,'Dataset Descriptions'!$A$2:$B$10, 2, FALSE), "")</f>
        <v>Transaction-level, per-agency spending records.</v>
      </c>
      <c r="E228" s="5" t="s">
        <v>25</v>
      </c>
      <c r="F228" s="5" t="s">
        <v>25</v>
      </c>
      <c r="G228" s="5" t="s">
        <v>25</v>
      </c>
      <c r="H228" s="5" t="s">
        <v>25</v>
      </c>
      <c r="I228" s="5" t="s">
        <v>25</v>
      </c>
      <c r="J228" s="5" t="s">
        <v>25</v>
      </c>
      <c r="K228" s="5" t="s">
        <v>25</v>
      </c>
      <c r="L228" s="5" t="s">
        <v>25</v>
      </c>
      <c r="M228" s="5" t="s">
        <v>25</v>
      </c>
      <c r="N228" s="5" t="s">
        <v>25</v>
      </c>
      <c r="O228" s="5" t="s">
        <v>25</v>
      </c>
      <c r="P228" s="5" t="s">
        <v>23</v>
      </c>
      <c r="Q228" s="9" t="s">
        <v>394</v>
      </c>
      <c r="R228" s="6" t="s">
        <v>395</v>
      </c>
      <c r="S228" s="6">
        <f>IF(NOT(ISBLANK(E228)), ROUND(((IF(E228="yes",1,0)*'Grading Scale'!E$2)+(IF(F228="yes",1,0)*'Grading Scale'!E$3)+(IF(G228="yes",1,0)*'Grading Scale'!E$4)+(IF(H228="yes",1,0)*'Grading Scale'!E$5)+(IF(I228="yes",1,0)*'Grading Scale'!E$6)+(IF(J228="yes",1,0)*'Grading Scale'!E$7)+(IF(K228="yes",1,0)*'Grading Scale'!E$8)+(IF(L228="yes",1,0)*'Grading Scale'!E$9)+(IF(M228="yes",1,0)*'Grading Scale'!E$10)+(IF(N228="yes",1,0)*'Grading Scale'!E$11)+(IF(O228="yes",1,0)*'Grading Scale'!E$12)+(IF(P228="yes",1,0)*'Grading Scale'!E$13))/'Grading Scale'!E$14*100,0), "")</f>
        <v>95</v>
      </c>
      <c r="T228" s="6" t="str">
        <f>IF(ISNUMBER(S228),VLOOKUP(S228,'Grading Scale'!$A$2:$B$14, 2), "")</f>
        <v>A</v>
      </c>
      <c r="U228" s="7"/>
      <c r="V228" s="7"/>
      <c r="W228" s="7"/>
      <c r="X228" s="7"/>
      <c r="Y228" s="7"/>
      <c r="Z228" s="7"/>
      <c r="AA228" s="7"/>
      <c r="AB228" s="7"/>
      <c r="AC228" s="7"/>
      <c r="AD228" s="7"/>
      <c r="AE228" s="7"/>
      <c r="AF228" s="7"/>
      <c r="AG228" s="7"/>
      <c r="AH228" s="7"/>
      <c r="AI228" s="7"/>
      <c r="AJ228" s="7"/>
    </row>
    <row r="229">
      <c r="A229" s="4">
        <v>42404.0</v>
      </c>
      <c r="B229" s="5" t="s">
        <v>391</v>
      </c>
      <c r="C229" s="5" t="s">
        <v>28</v>
      </c>
      <c r="D229" s="6" t="str">
        <f>IF(NOT(ISBLANK(C229)), VLOOKUP(C229,'Dataset Descriptions'!$A$2:$B$10, 2, FALSE), "")</f>
        <v>The register of all corporations that exist in the state.</v>
      </c>
      <c r="E229" s="5" t="s">
        <v>25</v>
      </c>
      <c r="F229" s="5" t="s">
        <v>25</v>
      </c>
      <c r="G229" s="5" t="s">
        <v>25</v>
      </c>
      <c r="H229" s="5" t="s">
        <v>23</v>
      </c>
      <c r="I229" s="5" t="s">
        <v>25</v>
      </c>
      <c r="J229" s="5" t="s">
        <v>25</v>
      </c>
      <c r="K229" s="5" t="s">
        <v>23</v>
      </c>
      <c r="L229" s="5" t="s">
        <v>22</v>
      </c>
      <c r="M229" s="5" t="s">
        <v>25</v>
      </c>
      <c r="N229" s="5" t="s">
        <v>23</v>
      </c>
      <c r="O229" s="5" t="s">
        <v>22</v>
      </c>
      <c r="P229" s="5" t="s">
        <v>25</v>
      </c>
      <c r="Q229" s="9" t="s">
        <v>396</v>
      </c>
      <c r="R229" s="6" t="s">
        <v>397</v>
      </c>
      <c r="S229" s="6">
        <f>IF(NOT(ISBLANK(E229)), ROUND(((IF(E229="yes",1,0)*'Grading Scale'!E$2)+(IF(F229="yes",1,0)*'Grading Scale'!E$3)+(IF(G229="yes",1,0)*'Grading Scale'!E$4)+(IF(H229="yes",1,0)*'Grading Scale'!E$5)+(IF(I229="yes",1,0)*'Grading Scale'!E$6)+(IF(J229="yes",1,0)*'Grading Scale'!E$7)+(IF(K229="yes",1,0)*'Grading Scale'!E$8)+(IF(L229="yes",1,0)*'Grading Scale'!E$9)+(IF(M229="yes",1,0)*'Grading Scale'!E$10)+(IF(N229="yes",1,0)*'Grading Scale'!E$11)+(IF(O229="yes",1,0)*'Grading Scale'!E$12)+(IF(P229="yes",1,0)*'Grading Scale'!E$13))/'Grading Scale'!E$14*100,0), "")</f>
        <v>65</v>
      </c>
      <c r="T229" s="6" t="str">
        <f>IF(ISNUMBER(S229),VLOOKUP(S229,'Grading Scale'!$A$2:$B$14, 2), "")</f>
        <v>D</v>
      </c>
      <c r="U229" s="7"/>
      <c r="V229" s="7"/>
      <c r="W229" s="7"/>
      <c r="X229" s="7"/>
      <c r="Y229" s="7"/>
      <c r="Z229" s="7"/>
      <c r="AA229" s="7"/>
      <c r="AB229" s="7"/>
      <c r="AC229" s="7"/>
      <c r="AD229" s="7"/>
      <c r="AE229" s="7"/>
      <c r="AF229" s="7"/>
      <c r="AG229" s="7"/>
      <c r="AH229" s="7"/>
      <c r="AI229" s="7"/>
      <c r="AJ229" s="7"/>
    </row>
    <row r="230">
      <c r="A230" s="4">
        <v>42405.0</v>
      </c>
      <c r="B230" s="5" t="s">
        <v>391</v>
      </c>
      <c r="C230" s="5" t="s">
        <v>31</v>
      </c>
      <c r="D230" s="6" t="str">
        <f>IF(NOT(ISBLANK(C230)), VLOOKUP(C230,'Dataset Descriptions'!$A$2:$B$10, 2, FALSE), "")</f>
        <v>Per-facility inmate population records.</v>
      </c>
      <c r="E230" s="5" t="s">
        <v>25</v>
      </c>
      <c r="F230" s="5" t="s">
        <v>25</v>
      </c>
      <c r="G230" s="5" t="s">
        <v>25</v>
      </c>
      <c r="H230" s="5" t="s">
        <v>25</v>
      </c>
      <c r="I230" s="5" t="s">
        <v>25</v>
      </c>
      <c r="J230" s="5" t="s">
        <v>25</v>
      </c>
      <c r="K230" s="5" t="s">
        <v>25</v>
      </c>
      <c r="L230" s="5" t="s">
        <v>25</v>
      </c>
      <c r="M230" s="5" t="s">
        <v>25</v>
      </c>
      <c r="N230" s="5" t="s">
        <v>23</v>
      </c>
      <c r="O230" s="5" t="s">
        <v>23</v>
      </c>
      <c r="P230" s="5" t="s">
        <v>23</v>
      </c>
      <c r="Q230" s="9" t="s">
        <v>398</v>
      </c>
      <c r="R230" s="6" t="s">
        <v>399</v>
      </c>
      <c r="S230" s="6">
        <f>IF(NOT(ISBLANK(E230)), ROUND(((IF(E230="yes",1,0)*'Grading Scale'!E$2)+(IF(F230="yes",1,0)*'Grading Scale'!E$3)+(IF(G230="yes",1,0)*'Grading Scale'!E$4)+(IF(H230="yes",1,0)*'Grading Scale'!E$5)+(IF(I230="yes",1,0)*'Grading Scale'!E$6)+(IF(J230="yes",1,0)*'Grading Scale'!E$7)+(IF(K230="yes",1,0)*'Grading Scale'!E$8)+(IF(L230="yes",1,0)*'Grading Scale'!E$9)+(IF(M230="yes",1,0)*'Grading Scale'!E$10)+(IF(N230="yes",1,0)*'Grading Scale'!E$11)+(IF(O230="yes",1,0)*'Grading Scale'!E$12)+(IF(P230="yes",1,0)*'Grading Scale'!E$13))/'Grading Scale'!E$14*100,0), "")</f>
        <v>85</v>
      </c>
      <c r="T230" s="6" t="str">
        <f>IF(ISNUMBER(S230),VLOOKUP(S230,'Grading Scale'!$A$2:$B$14, 2), "")</f>
        <v>B</v>
      </c>
      <c r="U230" s="7"/>
      <c r="V230" s="7"/>
      <c r="W230" s="7"/>
      <c r="X230" s="7"/>
      <c r="Y230" s="7"/>
      <c r="Z230" s="7"/>
      <c r="AA230" s="7"/>
      <c r="AB230" s="7"/>
      <c r="AC230" s="7"/>
      <c r="AD230" s="7"/>
      <c r="AE230" s="7"/>
      <c r="AF230" s="7"/>
      <c r="AG230" s="7"/>
      <c r="AH230" s="7"/>
      <c r="AI230" s="7"/>
      <c r="AJ230" s="7"/>
    </row>
    <row r="231">
      <c r="A231" s="4">
        <v>42405.0</v>
      </c>
      <c r="B231" s="5" t="s">
        <v>391</v>
      </c>
      <c r="C231" s="5" t="s">
        <v>34</v>
      </c>
      <c r="D231" s="6" t="str">
        <f>IF(NOT(ISBLANK(C231)), VLOOKUP(C231,'Dataset Descriptions'!$A$2:$B$10, 2, FALSE), "")</f>
        <v>Bills before the legislature, and the legislators that comprise it.</v>
      </c>
      <c r="E231" s="5" t="s">
        <v>25</v>
      </c>
      <c r="F231" s="5" t="s">
        <v>25</v>
      </c>
      <c r="G231" s="5" t="s">
        <v>25</v>
      </c>
      <c r="H231" s="5" t="s">
        <v>25</v>
      </c>
      <c r="I231" s="5" t="s">
        <v>25</v>
      </c>
      <c r="J231" s="5" t="s">
        <v>23</v>
      </c>
      <c r="K231" s="5" t="s">
        <v>23</v>
      </c>
      <c r="L231" s="5" t="s">
        <v>25</v>
      </c>
      <c r="M231" s="5" t="s">
        <v>25</v>
      </c>
      <c r="N231" s="5" t="s">
        <v>23</v>
      </c>
      <c r="O231" s="5" t="s">
        <v>23</v>
      </c>
      <c r="P231" s="5" t="s">
        <v>25</v>
      </c>
      <c r="Q231" s="9" t="s">
        <v>400</v>
      </c>
      <c r="R231" s="8"/>
      <c r="S231" s="6">
        <f>IF(NOT(ISBLANK(E231)), ROUND(((IF(E231="yes",1,0)*'Grading Scale'!E$2)+(IF(F231="yes",1,0)*'Grading Scale'!E$3)+(IF(G231="yes",1,0)*'Grading Scale'!E$4)+(IF(H231="yes",1,0)*'Grading Scale'!E$5)+(IF(I231="yes",1,0)*'Grading Scale'!E$6)+(IF(J231="yes",1,0)*'Grading Scale'!E$7)+(IF(K231="yes",1,0)*'Grading Scale'!E$8)+(IF(L231="yes",1,0)*'Grading Scale'!E$9)+(IF(M231="yes",1,0)*'Grading Scale'!E$10)+(IF(N231="yes",1,0)*'Grading Scale'!E$11)+(IF(O231="yes",1,0)*'Grading Scale'!E$12)+(IF(P231="yes",1,0)*'Grading Scale'!E$13))/'Grading Scale'!E$14*100,0), "")</f>
        <v>45</v>
      </c>
      <c r="T231" s="6" t="str">
        <f>IF(ISNUMBER(S231),VLOOKUP(S231,'Grading Scale'!$A$2:$B$14, 2), "")</f>
        <v>F</v>
      </c>
      <c r="U231" s="7"/>
      <c r="V231" s="7"/>
      <c r="W231" s="7"/>
      <c r="X231" s="7"/>
      <c r="Y231" s="7"/>
      <c r="Z231" s="7"/>
      <c r="AA231" s="7"/>
      <c r="AB231" s="7"/>
      <c r="AC231" s="7"/>
      <c r="AD231" s="7"/>
      <c r="AE231" s="7"/>
      <c r="AF231" s="7"/>
      <c r="AG231" s="7"/>
      <c r="AH231" s="7"/>
      <c r="AI231" s="7"/>
      <c r="AJ231" s="7"/>
    </row>
    <row r="232">
      <c r="A232" s="4">
        <v>42405.0</v>
      </c>
      <c r="B232" s="5" t="s">
        <v>391</v>
      </c>
      <c r="C232" s="6" t="s">
        <v>37</v>
      </c>
      <c r="D232" s="6" t="str">
        <f>IF(NOT(ISBLANK(C232)), VLOOKUP(C232,'Dataset Descriptions'!$A$2:$B$10, 2, FALSE), "")</f>
        <v>Forecasts of municipal-level changes in population over coming years.</v>
      </c>
      <c r="E232" s="5" t="s">
        <v>25</v>
      </c>
      <c r="F232" s="5" t="s">
        <v>25</v>
      </c>
      <c r="G232" s="5" t="s">
        <v>25</v>
      </c>
      <c r="H232" s="5" t="s">
        <v>25</v>
      </c>
      <c r="I232" s="5" t="s">
        <v>25</v>
      </c>
      <c r="J232" s="5" t="s">
        <v>25</v>
      </c>
      <c r="K232" s="5" t="s">
        <v>25</v>
      </c>
      <c r="L232" s="5" t="s">
        <v>25</v>
      </c>
      <c r="M232" s="5" t="s">
        <v>25</v>
      </c>
      <c r="N232" s="5" t="s">
        <v>23</v>
      </c>
      <c r="O232" s="5" t="s">
        <v>23</v>
      </c>
      <c r="P232" s="5" t="s">
        <v>25</v>
      </c>
      <c r="Q232" s="9" t="s">
        <v>401</v>
      </c>
      <c r="R232" s="6" t="s">
        <v>402</v>
      </c>
      <c r="S232" s="6">
        <f>IF(NOT(ISBLANK(E232)), ROUND(((IF(E232="yes",1,0)*'Grading Scale'!E$2)+(IF(F232="yes",1,0)*'Grading Scale'!E$3)+(IF(G232="yes",1,0)*'Grading Scale'!E$4)+(IF(H232="yes",1,0)*'Grading Scale'!E$5)+(IF(I232="yes",1,0)*'Grading Scale'!E$6)+(IF(J232="yes",1,0)*'Grading Scale'!E$7)+(IF(K232="yes",1,0)*'Grading Scale'!E$8)+(IF(L232="yes",1,0)*'Grading Scale'!E$9)+(IF(M232="yes",1,0)*'Grading Scale'!E$10)+(IF(N232="yes",1,0)*'Grading Scale'!E$11)+(IF(O232="yes",1,0)*'Grading Scale'!E$12)+(IF(P232="yes",1,0)*'Grading Scale'!E$13))/'Grading Scale'!E$14*100,0), "")</f>
        <v>90</v>
      </c>
      <c r="T232" s="6" t="str">
        <f>IF(ISNUMBER(S232),VLOOKUP(S232,'Grading Scale'!$A$2:$B$14, 2), "")</f>
        <v>A−</v>
      </c>
      <c r="U232" s="7"/>
      <c r="V232" s="7"/>
      <c r="W232" s="7"/>
      <c r="X232" s="7"/>
      <c r="Y232" s="7"/>
      <c r="Z232" s="7"/>
      <c r="AA232" s="7"/>
      <c r="AB232" s="7"/>
      <c r="AC232" s="7"/>
      <c r="AD232" s="7"/>
      <c r="AE232" s="7"/>
      <c r="AF232" s="7"/>
      <c r="AG232" s="7"/>
      <c r="AH232" s="7"/>
      <c r="AI232" s="7"/>
      <c r="AJ232" s="7"/>
    </row>
    <row r="233">
      <c r="A233" s="4">
        <v>42405.0</v>
      </c>
      <c r="B233" s="5" t="s">
        <v>391</v>
      </c>
      <c r="C233" s="5" t="s">
        <v>40</v>
      </c>
      <c r="D233" s="6" t="str">
        <f>IF(NOT(ISBLANK(C233)), VLOOKUP(C233,'Dataset Descriptions'!$A$2:$B$10, 2, FALSE), "")</f>
        <v>State-owned land and buildings.</v>
      </c>
      <c r="E233" s="5" t="s">
        <v>25</v>
      </c>
      <c r="F233" s="5" t="s">
        <v>25</v>
      </c>
      <c r="G233" s="5" t="s">
        <v>25</v>
      </c>
      <c r="H233" s="5" t="s">
        <v>25</v>
      </c>
      <c r="I233" s="5" t="s">
        <v>25</v>
      </c>
      <c r="J233" s="5" t="s">
        <v>25</v>
      </c>
      <c r="K233" s="5" t="s">
        <v>25</v>
      </c>
      <c r="L233" s="5" t="s">
        <v>25</v>
      </c>
      <c r="M233" s="5" t="s">
        <v>25</v>
      </c>
      <c r="N233" s="5" t="s">
        <v>23</v>
      </c>
      <c r="O233" s="5" t="s">
        <v>23</v>
      </c>
      <c r="P233" s="5" t="s">
        <v>23</v>
      </c>
      <c r="Q233" s="9" t="s">
        <v>403</v>
      </c>
      <c r="R233" s="6" t="s">
        <v>404</v>
      </c>
      <c r="S233" s="6">
        <f>IF(NOT(ISBLANK(E233)), ROUND(((IF(E233="yes",1,0)*'Grading Scale'!E$2)+(IF(F233="yes",1,0)*'Grading Scale'!E$3)+(IF(G233="yes",1,0)*'Grading Scale'!E$4)+(IF(H233="yes",1,0)*'Grading Scale'!E$5)+(IF(I233="yes",1,0)*'Grading Scale'!E$6)+(IF(J233="yes",1,0)*'Grading Scale'!E$7)+(IF(K233="yes",1,0)*'Grading Scale'!E$8)+(IF(L233="yes",1,0)*'Grading Scale'!E$9)+(IF(M233="yes",1,0)*'Grading Scale'!E$10)+(IF(N233="yes",1,0)*'Grading Scale'!E$11)+(IF(O233="yes",1,0)*'Grading Scale'!E$12)+(IF(P233="yes",1,0)*'Grading Scale'!E$13))/'Grading Scale'!E$14*100,0), "")</f>
        <v>85</v>
      </c>
      <c r="T233" s="6" t="str">
        <f>IF(ISNUMBER(S233),VLOOKUP(S233,'Grading Scale'!$A$2:$B$14, 2), "")</f>
        <v>B</v>
      </c>
      <c r="U233" s="7"/>
      <c r="V233" s="7"/>
      <c r="W233" s="7"/>
      <c r="X233" s="7"/>
      <c r="Y233" s="7"/>
      <c r="Z233" s="7"/>
      <c r="AA233" s="7"/>
      <c r="AB233" s="7"/>
      <c r="AC233" s="7"/>
      <c r="AD233" s="7"/>
      <c r="AE233" s="7"/>
      <c r="AF233" s="7"/>
      <c r="AG233" s="7"/>
      <c r="AH233" s="7"/>
      <c r="AI233" s="7"/>
      <c r="AJ233" s="7"/>
    </row>
    <row r="234">
      <c r="A234" s="4">
        <v>42405.0</v>
      </c>
      <c r="B234" s="5" t="s">
        <v>391</v>
      </c>
      <c r="C234" s="5" t="s">
        <v>43</v>
      </c>
      <c r="D234" s="6" t="str">
        <f>IF(NOT(ISBLANK(C234)), VLOOKUP(C234,'Dataset Descriptions'!$A$2:$B$10, 2, FALSE), "")</f>
        <v>Health inspections of establishments that serve food to the public.</v>
      </c>
      <c r="E234" s="5" t="s">
        <v>22</v>
      </c>
      <c r="F234" s="5" t="s">
        <v>22</v>
      </c>
      <c r="G234" s="5" t="s">
        <v>22</v>
      </c>
      <c r="H234" s="5" t="s">
        <v>22</v>
      </c>
      <c r="I234" s="5" t="s">
        <v>23</v>
      </c>
      <c r="J234" s="5" t="s">
        <v>22</v>
      </c>
      <c r="K234" s="5" t="s">
        <v>22</v>
      </c>
      <c r="L234" s="5" t="s">
        <v>22</v>
      </c>
      <c r="M234" s="5" t="s">
        <v>22</v>
      </c>
      <c r="N234" s="5" t="s">
        <v>23</v>
      </c>
      <c r="O234" s="5" t="s">
        <v>22</v>
      </c>
      <c r="P234" s="5" t="s">
        <v>22</v>
      </c>
      <c r="Q234" s="7"/>
      <c r="R234" s="6" t="s">
        <v>405</v>
      </c>
      <c r="S234" s="6">
        <f>IF(NOT(ISBLANK(E234)), ROUND(((IF(E234="yes",1,0)*'Grading Scale'!E$2)+(IF(F234="yes",1,0)*'Grading Scale'!E$3)+(IF(G234="yes",1,0)*'Grading Scale'!E$4)+(IF(H234="yes",1,0)*'Grading Scale'!E$5)+(IF(I234="yes",1,0)*'Grading Scale'!E$6)+(IF(J234="yes",1,0)*'Grading Scale'!E$7)+(IF(K234="yes",1,0)*'Grading Scale'!E$8)+(IF(L234="yes",1,0)*'Grading Scale'!E$9)+(IF(M234="yes",1,0)*'Grading Scale'!E$10)+(IF(N234="yes",1,0)*'Grading Scale'!E$11)+(IF(O234="yes",1,0)*'Grading Scale'!E$12)+(IF(P234="yes",1,0)*'Grading Scale'!E$13))/'Grading Scale'!E$14*100,0), "")</f>
        <v>0</v>
      </c>
      <c r="T234" s="6" t="str">
        <f>IF(ISNUMBER(S234),VLOOKUP(S234,'Grading Scale'!$A$2:$B$14, 2), "")</f>
        <v>F</v>
      </c>
      <c r="U234" s="7"/>
      <c r="V234" s="7"/>
      <c r="W234" s="7"/>
      <c r="X234" s="7"/>
      <c r="Y234" s="7"/>
      <c r="Z234" s="7"/>
      <c r="AA234" s="7"/>
      <c r="AB234" s="7"/>
      <c r="AC234" s="7"/>
      <c r="AD234" s="7"/>
      <c r="AE234" s="7"/>
      <c r="AF234" s="7"/>
      <c r="AG234" s="7"/>
      <c r="AH234" s="7"/>
      <c r="AI234" s="7"/>
      <c r="AJ234" s="7"/>
    </row>
    <row r="235">
      <c r="A235" s="4">
        <v>42405.0</v>
      </c>
      <c r="B235" s="5" t="s">
        <v>391</v>
      </c>
      <c r="C235" s="5" t="s">
        <v>46</v>
      </c>
      <c r="D235" s="6" t="str">
        <f>IF(NOT(ISBLANK(C235)), VLOOKUP(C235,'Dataset Descriptions'!$A$2:$B$10, 2, FALSE), "")</f>
        <v>Incident-level reportable motor vehicle crash records.</v>
      </c>
      <c r="E235" s="5" t="s">
        <v>25</v>
      </c>
      <c r="F235" s="5" t="s">
        <v>25</v>
      </c>
      <c r="G235" s="5" t="s">
        <v>25</v>
      </c>
      <c r="H235" s="5" t="s">
        <v>25</v>
      </c>
      <c r="I235" s="5" t="s">
        <v>25</v>
      </c>
      <c r="J235" s="5" t="s">
        <v>23</v>
      </c>
      <c r="K235" s="5" t="s">
        <v>25</v>
      </c>
      <c r="L235" s="5" t="s">
        <v>23</v>
      </c>
      <c r="M235" s="5" t="s">
        <v>23</v>
      </c>
      <c r="N235" s="5" t="s">
        <v>23</v>
      </c>
      <c r="O235" s="5" t="s">
        <v>23</v>
      </c>
      <c r="P235" s="5" t="s">
        <v>25</v>
      </c>
      <c r="Q235" s="9" t="s">
        <v>406</v>
      </c>
      <c r="R235" s="6" t="s">
        <v>407</v>
      </c>
      <c r="S235" s="6">
        <f>IF(NOT(ISBLANK(E235)), ROUND(((IF(E235="yes",1,0)*'Grading Scale'!E$2)+(IF(F235="yes",1,0)*'Grading Scale'!E$3)+(IF(G235="yes",1,0)*'Grading Scale'!E$4)+(IF(H235="yes",1,0)*'Grading Scale'!E$5)+(IF(I235="yes",1,0)*'Grading Scale'!E$6)+(IF(J235="yes",1,0)*'Grading Scale'!E$7)+(IF(K235="yes",1,0)*'Grading Scale'!E$8)+(IF(L235="yes",1,0)*'Grading Scale'!E$9)+(IF(M235="yes",1,0)*'Grading Scale'!E$10)+(IF(N235="yes",1,0)*'Grading Scale'!E$11)+(IF(O235="yes",1,0)*'Grading Scale'!E$12)+(IF(P235="yes",1,0)*'Grading Scale'!E$13))/'Grading Scale'!E$14*100,0), "")</f>
        <v>40</v>
      </c>
      <c r="T235" s="6" t="str">
        <f>IF(ISNUMBER(S235),VLOOKUP(S235,'Grading Scale'!$A$2:$B$14, 2), "")</f>
        <v>F</v>
      </c>
      <c r="U235" s="7"/>
      <c r="V235" s="7"/>
      <c r="W235" s="7"/>
      <c r="X235" s="7"/>
      <c r="Y235" s="7"/>
      <c r="Z235" s="7"/>
      <c r="AA235" s="7"/>
      <c r="AB235" s="7"/>
      <c r="AC235" s="7"/>
      <c r="AD235" s="7"/>
      <c r="AE235" s="7"/>
      <c r="AF235" s="7"/>
      <c r="AG235" s="7"/>
      <c r="AH235" s="7"/>
      <c r="AI235" s="7"/>
      <c r="AJ235" s="7"/>
    </row>
    <row r="236">
      <c r="A236" s="4">
        <v>42390.0</v>
      </c>
      <c r="B236" s="5" t="s">
        <v>408</v>
      </c>
      <c r="C236" s="5" t="s">
        <v>21</v>
      </c>
      <c r="D236" s="6" t="str">
        <f>IF(NOT(ISBLANK(C236)), VLOOKUP(C236,'Dataset Descriptions'!$A$2:$B$10, 2, FALSE), "")</f>
        <v>The geographic coordinates for physical addresses.</v>
      </c>
      <c r="E236" s="5" t="s">
        <v>22</v>
      </c>
      <c r="F236" s="5" t="s">
        <v>22</v>
      </c>
      <c r="G236" s="5" t="s">
        <v>22</v>
      </c>
      <c r="H236" s="5" t="s">
        <v>22</v>
      </c>
      <c r="I236" s="5" t="s">
        <v>23</v>
      </c>
      <c r="J236" s="5" t="s">
        <v>22</v>
      </c>
      <c r="K236" s="5" t="s">
        <v>22</v>
      </c>
      <c r="L236" s="5" t="s">
        <v>22</v>
      </c>
      <c r="M236" s="5" t="s">
        <v>22</v>
      </c>
      <c r="N236" s="5" t="s">
        <v>23</v>
      </c>
      <c r="O236" s="5" t="s">
        <v>22</v>
      </c>
      <c r="P236" s="5" t="s">
        <v>22</v>
      </c>
      <c r="Q236" s="7"/>
      <c r="R236" s="6" t="s">
        <v>409</v>
      </c>
      <c r="S236" s="6">
        <f>IF(NOT(ISBLANK(E236)), ROUND(((IF(E236="yes",1,0)*'Grading Scale'!E$2)+(IF(F236="yes",1,0)*'Grading Scale'!E$3)+(IF(G236="yes",1,0)*'Grading Scale'!E$4)+(IF(H236="yes",1,0)*'Grading Scale'!E$5)+(IF(I236="yes",1,0)*'Grading Scale'!E$6)+(IF(J236="yes",1,0)*'Grading Scale'!E$7)+(IF(K236="yes",1,0)*'Grading Scale'!E$8)+(IF(L236="yes",1,0)*'Grading Scale'!E$9)+(IF(M236="yes",1,0)*'Grading Scale'!E$10)+(IF(N236="yes",1,0)*'Grading Scale'!E$11)+(IF(O236="yes",1,0)*'Grading Scale'!E$12)+(IF(P236="yes",1,0)*'Grading Scale'!E$13))/'Grading Scale'!E$14*100,0), "")</f>
        <v>0</v>
      </c>
      <c r="T236" s="6" t="str">
        <f>IF(ISNUMBER(S236),VLOOKUP(S236,'Grading Scale'!$A$2:$B$14, 2), "")</f>
        <v>F</v>
      </c>
      <c r="U236" s="7"/>
      <c r="V236" s="7"/>
      <c r="W236" s="7"/>
      <c r="X236" s="7"/>
      <c r="Y236" s="7"/>
      <c r="Z236" s="7"/>
      <c r="AA236" s="7"/>
      <c r="AB236" s="7"/>
      <c r="AC236" s="7"/>
      <c r="AD236" s="7"/>
      <c r="AE236" s="7"/>
      <c r="AF236" s="7"/>
      <c r="AG236" s="7"/>
      <c r="AH236" s="7"/>
      <c r="AI236" s="7"/>
      <c r="AJ236" s="7"/>
    </row>
    <row r="237">
      <c r="A237" s="4">
        <v>42390.0</v>
      </c>
      <c r="B237" s="5" t="s">
        <v>408</v>
      </c>
      <c r="C237" s="5" t="s">
        <v>24</v>
      </c>
      <c r="D237" s="6" t="str">
        <f>IF(NOT(ISBLANK(C237)), VLOOKUP(C237,'Dataset Descriptions'!$A$2:$B$10, 2, FALSE), "")</f>
        <v>Transaction-level, per-agency spending records.</v>
      </c>
      <c r="E237" s="5" t="s">
        <v>25</v>
      </c>
      <c r="F237" s="5" t="s">
        <v>25</v>
      </c>
      <c r="G237" s="5" t="s">
        <v>25</v>
      </c>
      <c r="H237" s="5" t="s">
        <v>25</v>
      </c>
      <c r="I237" s="5" t="s">
        <v>25</v>
      </c>
      <c r="J237" s="5" t="s">
        <v>25</v>
      </c>
      <c r="K237" s="5" t="s">
        <v>25</v>
      </c>
      <c r="L237" s="5" t="s">
        <v>25</v>
      </c>
      <c r="M237" s="5" t="s">
        <v>23</v>
      </c>
      <c r="N237" s="5" t="s">
        <v>25</v>
      </c>
      <c r="O237" s="5" t="s">
        <v>23</v>
      </c>
      <c r="P237" s="5" t="s">
        <v>23</v>
      </c>
      <c r="Q237" s="7"/>
      <c r="R237" s="6" t="s">
        <v>410</v>
      </c>
      <c r="S237" s="6">
        <f>IF(NOT(ISBLANK(E237)), ROUND(((IF(E237="yes",1,0)*'Grading Scale'!E$2)+(IF(F237="yes",1,0)*'Grading Scale'!E$3)+(IF(G237="yes",1,0)*'Grading Scale'!E$4)+(IF(H237="yes",1,0)*'Grading Scale'!E$5)+(IF(I237="yes",1,0)*'Grading Scale'!E$6)+(IF(J237="yes",1,0)*'Grading Scale'!E$7)+(IF(K237="yes",1,0)*'Grading Scale'!E$8)+(IF(L237="yes",1,0)*'Grading Scale'!E$9)+(IF(M237="yes",1,0)*'Grading Scale'!E$10)+(IF(N237="yes",1,0)*'Grading Scale'!E$11)+(IF(O237="yes",1,0)*'Grading Scale'!E$12)+(IF(P237="yes",1,0)*'Grading Scale'!E$13))/'Grading Scale'!E$14*100,0), "")</f>
        <v>85</v>
      </c>
      <c r="T237" s="6" t="str">
        <f>IF(ISNUMBER(S237),VLOOKUP(S237,'Grading Scale'!$A$2:$B$14, 2), "")</f>
        <v>B</v>
      </c>
      <c r="U237" s="7"/>
      <c r="V237" s="7"/>
      <c r="W237" s="7"/>
      <c r="X237" s="7"/>
      <c r="Y237" s="7"/>
      <c r="Z237" s="7"/>
      <c r="AA237" s="7"/>
      <c r="AB237" s="7"/>
      <c r="AC237" s="7"/>
      <c r="AD237" s="7"/>
      <c r="AE237" s="7"/>
      <c r="AF237" s="7"/>
      <c r="AG237" s="7"/>
      <c r="AH237" s="7"/>
      <c r="AI237" s="7"/>
      <c r="AJ237" s="7"/>
    </row>
    <row r="238">
      <c r="A238" s="4">
        <v>42390.0</v>
      </c>
      <c r="B238" s="5" t="s">
        <v>408</v>
      </c>
      <c r="C238" s="5" t="s">
        <v>28</v>
      </c>
      <c r="D238" s="6" t="str">
        <f>IF(NOT(ISBLANK(C238)), VLOOKUP(C238,'Dataset Descriptions'!$A$2:$B$10, 2, FALSE), "")</f>
        <v>The register of all corporations that exist in the state.</v>
      </c>
      <c r="E238" s="5" t="s">
        <v>25</v>
      </c>
      <c r="F238" s="5" t="s">
        <v>25</v>
      </c>
      <c r="G238" s="5" t="s">
        <v>25</v>
      </c>
      <c r="H238" s="5" t="s">
        <v>23</v>
      </c>
      <c r="I238" s="5" t="s">
        <v>25</v>
      </c>
      <c r="J238" s="5" t="s">
        <v>25</v>
      </c>
      <c r="K238" s="5" t="s">
        <v>23</v>
      </c>
      <c r="L238" s="5" t="s">
        <v>25</v>
      </c>
      <c r="M238" s="5" t="s">
        <v>25</v>
      </c>
      <c r="N238" s="5" t="s">
        <v>23</v>
      </c>
      <c r="O238" s="5" t="s">
        <v>22</v>
      </c>
      <c r="P238" s="5" t="s">
        <v>23</v>
      </c>
      <c r="Q238" s="9" t="s">
        <v>411</v>
      </c>
      <c r="R238" s="6" t="s">
        <v>412</v>
      </c>
      <c r="S238" s="6">
        <f>IF(NOT(ISBLANK(E238)), ROUND(((IF(E238="yes",1,0)*'Grading Scale'!E$2)+(IF(F238="yes",1,0)*'Grading Scale'!E$3)+(IF(G238="yes",1,0)*'Grading Scale'!E$4)+(IF(H238="yes",1,0)*'Grading Scale'!E$5)+(IF(I238="yes",1,0)*'Grading Scale'!E$6)+(IF(J238="yes",1,0)*'Grading Scale'!E$7)+(IF(K238="yes",1,0)*'Grading Scale'!E$8)+(IF(L238="yes",1,0)*'Grading Scale'!E$9)+(IF(M238="yes",1,0)*'Grading Scale'!E$10)+(IF(N238="yes",1,0)*'Grading Scale'!E$11)+(IF(O238="yes",1,0)*'Grading Scale'!E$12)+(IF(P238="yes",1,0)*'Grading Scale'!E$13))/'Grading Scale'!E$14*100,0), "")</f>
        <v>65</v>
      </c>
      <c r="T238" s="6" t="str">
        <f>IF(ISNUMBER(S238),VLOOKUP(S238,'Grading Scale'!$A$2:$B$14, 2), "")</f>
        <v>D</v>
      </c>
      <c r="U238" s="7"/>
      <c r="V238" s="7"/>
      <c r="W238" s="7"/>
      <c r="X238" s="7"/>
      <c r="Y238" s="7"/>
      <c r="Z238" s="7"/>
      <c r="AA238" s="7"/>
      <c r="AB238" s="7"/>
      <c r="AC238" s="7"/>
      <c r="AD238" s="7"/>
      <c r="AE238" s="7"/>
      <c r="AF238" s="7"/>
      <c r="AG238" s="7"/>
      <c r="AH238" s="7"/>
      <c r="AI238" s="7"/>
      <c r="AJ238" s="7"/>
    </row>
    <row r="239">
      <c r="A239" s="4">
        <v>42396.0</v>
      </c>
      <c r="B239" s="5" t="s">
        <v>408</v>
      </c>
      <c r="C239" s="5" t="s">
        <v>31</v>
      </c>
      <c r="D239" s="6" t="str">
        <f>IF(NOT(ISBLANK(C239)), VLOOKUP(C239,'Dataset Descriptions'!$A$2:$B$10, 2, FALSE), "")</f>
        <v>Per-facility inmate population records.</v>
      </c>
      <c r="E239" s="5" t="s">
        <v>25</v>
      </c>
      <c r="F239" s="5" t="s">
        <v>25</v>
      </c>
      <c r="G239" s="5" t="s">
        <v>25</v>
      </c>
      <c r="H239" s="5" t="s">
        <v>25</v>
      </c>
      <c r="I239" s="5" t="s">
        <v>25</v>
      </c>
      <c r="J239" s="5" t="s">
        <v>25</v>
      </c>
      <c r="K239" s="5" t="s">
        <v>25</v>
      </c>
      <c r="L239" s="5" t="s">
        <v>23</v>
      </c>
      <c r="M239" s="5" t="s">
        <v>23</v>
      </c>
      <c r="N239" s="5" t="s">
        <v>23</v>
      </c>
      <c r="O239" s="5" t="s">
        <v>23</v>
      </c>
      <c r="P239" s="5" t="s">
        <v>23</v>
      </c>
      <c r="Q239" s="9" t="s">
        <v>413</v>
      </c>
      <c r="R239" s="6" t="s">
        <v>414</v>
      </c>
      <c r="S239" s="6">
        <f>IF(NOT(ISBLANK(E239)), ROUND(((IF(E239="yes",1,0)*'Grading Scale'!E$2)+(IF(F239="yes",1,0)*'Grading Scale'!E$3)+(IF(G239="yes",1,0)*'Grading Scale'!E$4)+(IF(H239="yes",1,0)*'Grading Scale'!E$5)+(IF(I239="yes",1,0)*'Grading Scale'!E$6)+(IF(J239="yes",1,0)*'Grading Scale'!E$7)+(IF(K239="yes",1,0)*'Grading Scale'!E$8)+(IF(L239="yes",1,0)*'Grading Scale'!E$9)+(IF(M239="yes",1,0)*'Grading Scale'!E$10)+(IF(N239="yes",1,0)*'Grading Scale'!E$11)+(IF(O239="yes",1,0)*'Grading Scale'!E$12)+(IF(P239="yes",1,0)*'Grading Scale'!E$13))/'Grading Scale'!E$14*100,0), "")</f>
        <v>75</v>
      </c>
      <c r="T239" s="6" t="str">
        <f>IF(ISNUMBER(S239),VLOOKUP(S239,'Grading Scale'!$A$2:$B$14, 2), "")</f>
        <v>C</v>
      </c>
      <c r="U239" s="7"/>
      <c r="V239" s="7"/>
      <c r="W239" s="7"/>
      <c r="X239" s="7"/>
      <c r="Y239" s="7"/>
      <c r="Z239" s="7"/>
      <c r="AA239" s="7"/>
      <c r="AB239" s="7"/>
      <c r="AC239" s="7"/>
      <c r="AD239" s="7"/>
      <c r="AE239" s="7"/>
      <c r="AF239" s="7"/>
      <c r="AG239" s="7"/>
      <c r="AH239" s="7"/>
      <c r="AI239" s="7"/>
      <c r="AJ239" s="7"/>
    </row>
    <row r="240">
      <c r="A240" s="4">
        <v>42390.0</v>
      </c>
      <c r="B240" s="5" t="s">
        <v>408</v>
      </c>
      <c r="C240" s="5" t="s">
        <v>34</v>
      </c>
      <c r="D240" s="6" t="str">
        <f>IF(NOT(ISBLANK(C240)), VLOOKUP(C240,'Dataset Descriptions'!$A$2:$B$10, 2, FALSE), "")</f>
        <v>Bills before the legislature, and the legislators that comprise it.</v>
      </c>
      <c r="E240" s="5" t="s">
        <v>25</v>
      </c>
      <c r="F240" s="5" t="s">
        <v>25</v>
      </c>
      <c r="G240" s="5" t="s">
        <v>25</v>
      </c>
      <c r="H240" s="5" t="s">
        <v>25</v>
      </c>
      <c r="I240" s="5" t="s">
        <v>25</v>
      </c>
      <c r="J240" s="5" t="s">
        <v>23</v>
      </c>
      <c r="K240" s="5" t="s">
        <v>23</v>
      </c>
      <c r="L240" s="5" t="s">
        <v>23</v>
      </c>
      <c r="M240" s="5" t="s">
        <v>25</v>
      </c>
      <c r="N240" s="5" t="s">
        <v>23</v>
      </c>
      <c r="O240" s="5" t="s">
        <v>23</v>
      </c>
      <c r="P240" s="5" t="s">
        <v>25</v>
      </c>
      <c r="Q240" s="9" t="s">
        <v>415</v>
      </c>
      <c r="R240" s="6" t="s">
        <v>416</v>
      </c>
      <c r="S240" s="6">
        <f>IF(NOT(ISBLANK(E240)), ROUND(((IF(E240="yes",1,0)*'Grading Scale'!E$2)+(IF(F240="yes",1,0)*'Grading Scale'!E$3)+(IF(G240="yes",1,0)*'Grading Scale'!E$4)+(IF(H240="yes",1,0)*'Grading Scale'!E$5)+(IF(I240="yes",1,0)*'Grading Scale'!E$6)+(IF(J240="yes",1,0)*'Grading Scale'!E$7)+(IF(K240="yes",1,0)*'Grading Scale'!E$8)+(IF(L240="yes",1,0)*'Grading Scale'!E$9)+(IF(M240="yes",1,0)*'Grading Scale'!E$10)+(IF(N240="yes",1,0)*'Grading Scale'!E$11)+(IF(O240="yes",1,0)*'Grading Scale'!E$12)+(IF(P240="yes",1,0)*'Grading Scale'!E$13))/'Grading Scale'!E$14*100,0), "")</f>
        <v>40</v>
      </c>
      <c r="T240" s="6" t="str">
        <f>IF(ISNUMBER(S240),VLOOKUP(S240,'Grading Scale'!$A$2:$B$14, 2), "")</f>
        <v>F</v>
      </c>
      <c r="U240" s="7"/>
      <c r="V240" s="7"/>
      <c r="W240" s="7"/>
      <c r="X240" s="7"/>
      <c r="Y240" s="7"/>
      <c r="Z240" s="7"/>
      <c r="AA240" s="7"/>
      <c r="AB240" s="7"/>
      <c r="AC240" s="7"/>
      <c r="AD240" s="7"/>
      <c r="AE240" s="7"/>
      <c r="AF240" s="7"/>
      <c r="AG240" s="7"/>
      <c r="AH240" s="7"/>
      <c r="AI240" s="7"/>
      <c r="AJ240" s="7"/>
    </row>
    <row r="241">
      <c r="A241" s="4">
        <v>42390.0</v>
      </c>
      <c r="B241" s="5" t="s">
        <v>408</v>
      </c>
      <c r="C241" s="6" t="s">
        <v>37</v>
      </c>
      <c r="D241" s="6" t="str">
        <f>IF(NOT(ISBLANK(C241)), VLOOKUP(C241,'Dataset Descriptions'!$A$2:$B$10, 2, FALSE), "")</f>
        <v>Forecasts of municipal-level changes in population over coming years.</v>
      </c>
      <c r="E241" s="5" t="s">
        <v>25</v>
      </c>
      <c r="F241" s="5" t="s">
        <v>25</v>
      </c>
      <c r="G241" s="5" t="s">
        <v>25</v>
      </c>
      <c r="H241" s="5" t="s">
        <v>25</v>
      </c>
      <c r="I241" s="5" t="s">
        <v>25</v>
      </c>
      <c r="J241" s="5" t="s">
        <v>23</v>
      </c>
      <c r="K241" s="5" t="s">
        <v>23</v>
      </c>
      <c r="L241" s="5" t="s">
        <v>25</v>
      </c>
      <c r="M241" s="5" t="s">
        <v>23</v>
      </c>
      <c r="N241" s="5" t="s">
        <v>23</v>
      </c>
      <c r="O241" s="5" t="s">
        <v>23</v>
      </c>
      <c r="P241" s="5" t="s">
        <v>23</v>
      </c>
      <c r="Q241" s="9" t="s">
        <v>417</v>
      </c>
      <c r="R241" s="6" t="s">
        <v>418</v>
      </c>
      <c r="S241" s="6">
        <f>IF(NOT(ISBLANK(E241)), ROUND(((IF(E241="yes",1,0)*'Grading Scale'!E$2)+(IF(F241="yes",1,0)*'Grading Scale'!E$3)+(IF(G241="yes",1,0)*'Grading Scale'!E$4)+(IF(H241="yes",1,0)*'Grading Scale'!E$5)+(IF(I241="yes",1,0)*'Grading Scale'!E$6)+(IF(J241="yes",1,0)*'Grading Scale'!E$7)+(IF(K241="yes",1,0)*'Grading Scale'!E$8)+(IF(L241="yes",1,0)*'Grading Scale'!E$9)+(IF(M241="yes",1,0)*'Grading Scale'!E$10)+(IF(N241="yes",1,0)*'Grading Scale'!E$11)+(IF(O241="yes",1,0)*'Grading Scale'!E$12)+(IF(P241="yes",1,0)*'Grading Scale'!E$13))/'Grading Scale'!E$14*100,0), "")</f>
        <v>35</v>
      </c>
      <c r="T241" s="6" t="str">
        <f>IF(ISNUMBER(S241),VLOOKUP(S241,'Grading Scale'!$A$2:$B$14, 2), "")</f>
        <v>F</v>
      </c>
      <c r="U241" s="7"/>
      <c r="V241" s="7"/>
      <c r="W241" s="7"/>
      <c r="X241" s="7"/>
      <c r="Y241" s="7"/>
      <c r="Z241" s="7"/>
      <c r="AA241" s="7"/>
      <c r="AB241" s="7"/>
      <c r="AC241" s="7"/>
      <c r="AD241" s="7"/>
      <c r="AE241" s="7"/>
      <c r="AF241" s="7"/>
      <c r="AG241" s="7"/>
      <c r="AH241" s="7"/>
      <c r="AI241" s="7"/>
      <c r="AJ241" s="7"/>
    </row>
    <row r="242">
      <c r="A242" s="4">
        <v>42390.0</v>
      </c>
      <c r="B242" s="5" t="s">
        <v>408</v>
      </c>
      <c r="C242" s="5" t="s">
        <v>40</v>
      </c>
      <c r="D242" s="6" t="str">
        <f>IF(NOT(ISBLANK(C242)), VLOOKUP(C242,'Dataset Descriptions'!$A$2:$B$10, 2, FALSE), "")</f>
        <v>State-owned land and buildings.</v>
      </c>
      <c r="E242" s="5" t="s">
        <v>22</v>
      </c>
      <c r="F242" s="5" t="s">
        <v>22</v>
      </c>
      <c r="G242" s="5" t="s">
        <v>22</v>
      </c>
      <c r="H242" s="5" t="s">
        <v>22</v>
      </c>
      <c r="I242" s="5" t="s">
        <v>23</v>
      </c>
      <c r="J242" s="5" t="s">
        <v>22</v>
      </c>
      <c r="K242" s="5" t="s">
        <v>22</v>
      </c>
      <c r="L242" s="5" t="s">
        <v>22</v>
      </c>
      <c r="M242" s="5" t="s">
        <v>22</v>
      </c>
      <c r="N242" s="5" t="s">
        <v>23</v>
      </c>
      <c r="O242" s="5" t="s">
        <v>22</v>
      </c>
      <c r="P242" s="5" t="s">
        <v>22</v>
      </c>
      <c r="Q242" s="7"/>
      <c r="R242" s="8"/>
      <c r="S242" s="6">
        <f>IF(NOT(ISBLANK(E242)), ROUND(((IF(E242="yes",1,0)*'Grading Scale'!E$2)+(IF(F242="yes",1,0)*'Grading Scale'!E$3)+(IF(G242="yes",1,0)*'Grading Scale'!E$4)+(IF(H242="yes",1,0)*'Grading Scale'!E$5)+(IF(I242="yes",1,0)*'Grading Scale'!E$6)+(IF(J242="yes",1,0)*'Grading Scale'!E$7)+(IF(K242="yes",1,0)*'Grading Scale'!E$8)+(IF(L242="yes",1,0)*'Grading Scale'!E$9)+(IF(M242="yes",1,0)*'Grading Scale'!E$10)+(IF(N242="yes",1,0)*'Grading Scale'!E$11)+(IF(O242="yes",1,0)*'Grading Scale'!E$12)+(IF(P242="yes",1,0)*'Grading Scale'!E$13))/'Grading Scale'!E$14*100,0), "")</f>
        <v>0</v>
      </c>
      <c r="T242" s="6" t="str">
        <f>IF(ISNUMBER(S242),VLOOKUP(S242,'Grading Scale'!$A$2:$B$14, 2), "")</f>
        <v>F</v>
      </c>
      <c r="U242" s="7"/>
      <c r="V242" s="7"/>
      <c r="W242" s="7"/>
      <c r="X242" s="7"/>
      <c r="Y242" s="7"/>
      <c r="Z242" s="7"/>
      <c r="AA242" s="7"/>
      <c r="AB242" s="7"/>
      <c r="AC242" s="7"/>
      <c r="AD242" s="7"/>
      <c r="AE242" s="7"/>
      <c r="AF242" s="7"/>
      <c r="AG242" s="7"/>
      <c r="AH242" s="7"/>
      <c r="AI242" s="7"/>
      <c r="AJ242" s="7"/>
    </row>
    <row r="243">
      <c r="A243" s="4">
        <v>42390.0</v>
      </c>
      <c r="B243" s="5" t="s">
        <v>408</v>
      </c>
      <c r="C243" s="5" t="s">
        <v>43</v>
      </c>
      <c r="D243" s="6" t="str">
        <f>IF(NOT(ISBLANK(C243)), VLOOKUP(C243,'Dataset Descriptions'!$A$2:$B$10, 2, FALSE), "")</f>
        <v>Health inspections of establishments that serve food to the public.</v>
      </c>
      <c r="E243" s="5" t="s">
        <v>25</v>
      </c>
      <c r="F243" s="5" t="s">
        <v>25</v>
      </c>
      <c r="G243" s="5" t="s">
        <v>25</v>
      </c>
      <c r="H243" s="5" t="s">
        <v>25</v>
      </c>
      <c r="I243" s="5" t="s">
        <v>23</v>
      </c>
      <c r="J243" s="5" t="s">
        <v>25</v>
      </c>
      <c r="K243" s="5" t="s">
        <v>22</v>
      </c>
      <c r="L243" s="5" t="s">
        <v>22</v>
      </c>
      <c r="M243" s="5" t="s">
        <v>22</v>
      </c>
      <c r="N243" s="5" t="s">
        <v>23</v>
      </c>
      <c r="O243" s="5" t="s">
        <v>22</v>
      </c>
      <c r="P243" s="5" t="s">
        <v>25</v>
      </c>
      <c r="Q243" s="7"/>
      <c r="R243" s="6" t="s">
        <v>419</v>
      </c>
      <c r="S243" s="6">
        <f>IF(NOT(ISBLANK(E243)), ROUND(((IF(E243="yes",1,0)*'Grading Scale'!E$2)+(IF(F243="yes",1,0)*'Grading Scale'!E$3)+(IF(G243="yes",1,0)*'Grading Scale'!E$4)+(IF(H243="yes",1,0)*'Grading Scale'!E$5)+(IF(I243="yes",1,0)*'Grading Scale'!E$6)+(IF(J243="yes",1,0)*'Grading Scale'!E$7)+(IF(K243="yes",1,0)*'Grading Scale'!E$8)+(IF(L243="yes",1,0)*'Grading Scale'!E$9)+(IF(M243="yes",1,0)*'Grading Scale'!E$10)+(IF(N243="yes",1,0)*'Grading Scale'!E$11)+(IF(O243="yes",1,0)*'Grading Scale'!E$12)+(IF(P243="yes",1,0)*'Grading Scale'!E$13))/'Grading Scale'!E$14*100,0), "")</f>
        <v>70</v>
      </c>
      <c r="T243" s="6" t="str">
        <f>IF(ISNUMBER(S243),VLOOKUP(S243,'Grading Scale'!$A$2:$B$14, 2), "")</f>
        <v>C−</v>
      </c>
      <c r="U243" s="7"/>
      <c r="V243" s="7"/>
      <c r="W243" s="7"/>
      <c r="X243" s="7"/>
      <c r="Y243" s="7"/>
      <c r="Z243" s="7"/>
      <c r="AA243" s="7"/>
      <c r="AB243" s="7"/>
      <c r="AC243" s="7"/>
      <c r="AD243" s="7"/>
      <c r="AE243" s="7"/>
      <c r="AF243" s="7"/>
      <c r="AG243" s="7"/>
      <c r="AH243" s="7"/>
      <c r="AI243" s="7"/>
      <c r="AJ243" s="7"/>
    </row>
    <row r="244">
      <c r="A244" s="4">
        <v>42390.0</v>
      </c>
      <c r="B244" s="5" t="s">
        <v>408</v>
      </c>
      <c r="C244" s="5" t="s">
        <v>46</v>
      </c>
      <c r="D244" s="6" t="str">
        <f>IF(NOT(ISBLANK(C244)), VLOOKUP(C244,'Dataset Descriptions'!$A$2:$B$10, 2, FALSE), "")</f>
        <v>Incident-level reportable motor vehicle crash records.</v>
      </c>
      <c r="E244" s="5" t="s">
        <v>25</v>
      </c>
      <c r="F244" s="5" t="s">
        <v>25</v>
      </c>
      <c r="G244" s="5" t="s">
        <v>25</v>
      </c>
      <c r="H244" s="5" t="s">
        <v>25</v>
      </c>
      <c r="I244" s="5" t="s">
        <v>25</v>
      </c>
      <c r="J244" s="5" t="s">
        <v>23</v>
      </c>
      <c r="K244" s="5" t="s">
        <v>25</v>
      </c>
      <c r="L244" s="5" t="s">
        <v>23</v>
      </c>
      <c r="M244" s="5" t="s">
        <v>25</v>
      </c>
      <c r="N244" s="5" t="s">
        <v>23</v>
      </c>
      <c r="O244" s="5" t="s">
        <v>23</v>
      </c>
      <c r="P244" s="5" t="s">
        <v>23</v>
      </c>
      <c r="Q244" s="9" t="s">
        <v>420</v>
      </c>
      <c r="R244" s="6" t="s">
        <v>421</v>
      </c>
      <c r="S244" s="6">
        <f>IF(NOT(ISBLANK(E244)), ROUND(((IF(E244="yes",1,0)*'Grading Scale'!E$2)+(IF(F244="yes",1,0)*'Grading Scale'!E$3)+(IF(G244="yes",1,0)*'Grading Scale'!E$4)+(IF(H244="yes",1,0)*'Grading Scale'!E$5)+(IF(I244="yes",1,0)*'Grading Scale'!E$6)+(IF(J244="yes",1,0)*'Grading Scale'!E$7)+(IF(K244="yes",1,0)*'Grading Scale'!E$8)+(IF(L244="yes",1,0)*'Grading Scale'!E$9)+(IF(M244="yes",1,0)*'Grading Scale'!E$10)+(IF(N244="yes",1,0)*'Grading Scale'!E$11)+(IF(O244="yes",1,0)*'Grading Scale'!E$12)+(IF(P244="yes",1,0)*'Grading Scale'!E$13))/'Grading Scale'!E$14*100,0), "")</f>
        <v>40</v>
      </c>
      <c r="T244" s="6" t="str">
        <f>IF(ISNUMBER(S244),VLOOKUP(S244,'Grading Scale'!$A$2:$B$14, 2), "")</f>
        <v>F</v>
      </c>
      <c r="U244" s="7"/>
      <c r="V244" s="7"/>
      <c r="W244" s="7"/>
      <c r="X244" s="7"/>
      <c r="Y244" s="7"/>
      <c r="Z244" s="7"/>
      <c r="AA244" s="7"/>
      <c r="AB244" s="7"/>
      <c r="AC244" s="7"/>
      <c r="AD244" s="7"/>
      <c r="AE244" s="7"/>
      <c r="AF244" s="7"/>
      <c r="AG244" s="7"/>
      <c r="AH244" s="7"/>
      <c r="AI244" s="7"/>
      <c r="AJ244" s="7"/>
    </row>
    <row r="245">
      <c r="A245" s="4">
        <v>42384.0</v>
      </c>
      <c r="B245" s="5" t="s">
        <v>422</v>
      </c>
      <c r="C245" s="5" t="s">
        <v>21</v>
      </c>
      <c r="D245" s="6" t="str">
        <f>IF(NOT(ISBLANK(C245)), VLOOKUP(C245,'Dataset Descriptions'!$A$2:$B$10, 2, FALSE), "")</f>
        <v>The geographic coordinates for physical addresses.</v>
      </c>
      <c r="E245" s="5" t="s">
        <v>22</v>
      </c>
      <c r="F245" s="5" t="s">
        <v>22</v>
      </c>
      <c r="G245" s="5" t="s">
        <v>22</v>
      </c>
      <c r="H245" s="5" t="s">
        <v>22</v>
      </c>
      <c r="I245" s="5" t="s">
        <v>23</v>
      </c>
      <c r="J245" s="5" t="s">
        <v>22</v>
      </c>
      <c r="K245" s="5" t="s">
        <v>22</v>
      </c>
      <c r="L245" s="5" t="s">
        <v>22</v>
      </c>
      <c r="M245" s="5" t="s">
        <v>22</v>
      </c>
      <c r="N245" s="5" t="s">
        <v>23</v>
      </c>
      <c r="O245" s="5" t="s">
        <v>22</v>
      </c>
      <c r="P245" s="5" t="s">
        <v>22</v>
      </c>
      <c r="Q245" s="7"/>
      <c r="R245" s="8"/>
      <c r="S245" s="6">
        <f>IF(NOT(ISBLANK(E245)), ROUND(((IF(E245="yes",1,0)*'Grading Scale'!E$2)+(IF(F245="yes",1,0)*'Grading Scale'!E$3)+(IF(G245="yes",1,0)*'Grading Scale'!E$4)+(IF(H245="yes",1,0)*'Grading Scale'!E$5)+(IF(I245="yes",1,0)*'Grading Scale'!E$6)+(IF(J245="yes",1,0)*'Grading Scale'!E$7)+(IF(K245="yes",1,0)*'Grading Scale'!E$8)+(IF(L245="yes",1,0)*'Grading Scale'!E$9)+(IF(M245="yes",1,0)*'Grading Scale'!E$10)+(IF(N245="yes",1,0)*'Grading Scale'!E$11)+(IF(O245="yes",1,0)*'Grading Scale'!E$12)+(IF(P245="yes",1,0)*'Grading Scale'!E$13))/'Grading Scale'!E$14*100,0), "")</f>
        <v>0</v>
      </c>
      <c r="T245" s="6" t="str">
        <f>IF(ISNUMBER(S245),VLOOKUP(S245,'Grading Scale'!$A$2:$B$14, 2), "")</f>
        <v>F</v>
      </c>
      <c r="U245" s="7"/>
      <c r="V245" s="7"/>
      <c r="W245" s="7"/>
      <c r="X245" s="7"/>
      <c r="Y245" s="7"/>
      <c r="Z245" s="7"/>
      <c r="AA245" s="7"/>
      <c r="AB245" s="7"/>
      <c r="AC245" s="7"/>
      <c r="AD245" s="7"/>
      <c r="AE245" s="7"/>
      <c r="AF245" s="7"/>
      <c r="AG245" s="7"/>
      <c r="AH245" s="7"/>
      <c r="AI245" s="7"/>
      <c r="AJ245" s="7"/>
    </row>
    <row r="246">
      <c r="A246" s="4">
        <v>42384.0</v>
      </c>
      <c r="B246" s="5" t="s">
        <v>422</v>
      </c>
      <c r="C246" s="5" t="s">
        <v>24</v>
      </c>
      <c r="D246" s="6" t="str">
        <f>IF(NOT(ISBLANK(C246)), VLOOKUP(C246,'Dataset Descriptions'!$A$2:$B$10, 2, FALSE), "")</f>
        <v>Transaction-level, per-agency spending records.</v>
      </c>
      <c r="E246" s="5" t="s">
        <v>25</v>
      </c>
      <c r="F246" s="5" t="s">
        <v>25</v>
      </c>
      <c r="G246" s="5" t="s">
        <v>25</v>
      </c>
      <c r="H246" s="5" t="s">
        <v>25</v>
      </c>
      <c r="I246" s="5" t="s">
        <v>25</v>
      </c>
      <c r="J246" s="5" t="s">
        <v>25</v>
      </c>
      <c r="K246" s="5" t="s">
        <v>25</v>
      </c>
      <c r="L246" s="5" t="s">
        <v>25</v>
      </c>
      <c r="M246" s="5" t="s">
        <v>23</v>
      </c>
      <c r="N246" s="5" t="s">
        <v>23</v>
      </c>
      <c r="O246" s="5" t="s">
        <v>23</v>
      </c>
      <c r="P246" s="5" t="s">
        <v>23</v>
      </c>
      <c r="Q246" s="9" t="s">
        <v>423</v>
      </c>
      <c r="R246" s="6" t="s">
        <v>424</v>
      </c>
      <c r="S246" s="6">
        <f>IF(NOT(ISBLANK(E246)), ROUND(((IF(E246="yes",1,0)*'Grading Scale'!E$2)+(IF(F246="yes",1,0)*'Grading Scale'!E$3)+(IF(G246="yes",1,0)*'Grading Scale'!E$4)+(IF(H246="yes",1,0)*'Grading Scale'!E$5)+(IF(I246="yes",1,0)*'Grading Scale'!E$6)+(IF(J246="yes",1,0)*'Grading Scale'!E$7)+(IF(K246="yes",1,0)*'Grading Scale'!E$8)+(IF(L246="yes",1,0)*'Grading Scale'!E$9)+(IF(M246="yes",1,0)*'Grading Scale'!E$10)+(IF(N246="yes",1,0)*'Grading Scale'!E$11)+(IF(O246="yes",1,0)*'Grading Scale'!E$12)+(IF(P246="yes",1,0)*'Grading Scale'!E$13))/'Grading Scale'!E$14*100,0), "")</f>
        <v>80</v>
      </c>
      <c r="T246" s="6" t="str">
        <f>IF(ISNUMBER(S246),VLOOKUP(S246,'Grading Scale'!$A$2:$B$14, 2), "")</f>
        <v>B−</v>
      </c>
      <c r="U246" s="7"/>
      <c r="V246" s="7"/>
      <c r="W246" s="7"/>
      <c r="X246" s="7"/>
      <c r="Y246" s="7"/>
      <c r="Z246" s="7"/>
      <c r="AA246" s="7"/>
      <c r="AB246" s="7"/>
      <c r="AC246" s="7"/>
      <c r="AD246" s="7"/>
      <c r="AE246" s="7"/>
      <c r="AF246" s="7"/>
      <c r="AG246" s="7"/>
      <c r="AH246" s="7"/>
      <c r="AI246" s="7"/>
      <c r="AJ246" s="7"/>
    </row>
    <row r="247">
      <c r="A247" s="4">
        <v>42383.0</v>
      </c>
      <c r="B247" s="5" t="s">
        <v>422</v>
      </c>
      <c r="C247" s="5" t="s">
        <v>28</v>
      </c>
      <c r="D247" s="6" t="str">
        <f>IF(NOT(ISBLANK(C247)), VLOOKUP(C247,'Dataset Descriptions'!$A$2:$B$10, 2, FALSE), "")</f>
        <v>The register of all corporations that exist in the state.</v>
      </c>
      <c r="E247" s="5" t="s">
        <v>25</v>
      </c>
      <c r="F247" s="5" t="s">
        <v>25</v>
      </c>
      <c r="G247" s="5" t="s">
        <v>25</v>
      </c>
      <c r="H247" s="5" t="s">
        <v>23</v>
      </c>
      <c r="I247" s="5" t="s">
        <v>25</v>
      </c>
      <c r="J247" s="5" t="s">
        <v>25</v>
      </c>
      <c r="K247" s="5" t="s">
        <v>23</v>
      </c>
      <c r="L247" s="5" t="s">
        <v>23</v>
      </c>
      <c r="M247" s="5" t="s">
        <v>25</v>
      </c>
      <c r="N247" s="5" t="s">
        <v>23</v>
      </c>
      <c r="O247" s="5" t="s">
        <v>23</v>
      </c>
      <c r="P247" s="5" t="s">
        <v>25</v>
      </c>
      <c r="Q247" s="9" t="s">
        <v>425</v>
      </c>
      <c r="R247" s="6" t="s">
        <v>426</v>
      </c>
      <c r="S247" s="6">
        <f>IF(NOT(ISBLANK(E247)), ROUND(((IF(E247="yes",1,0)*'Grading Scale'!E$2)+(IF(F247="yes",1,0)*'Grading Scale'!E$3)+(IF(G247="yes",1,0)*'Grading Scale'!E$4)+(IF(H247="yes",1,0)*'Grading Scale'!E$5)+(IF(I247="yes",1,0)*'Grading Scale'!E$6)+(IF(J247="yes",1,0)*'Grading Scale'!E$7)+(IF(K247="yes",1,0)*'Grading Scale'!E$8)+(IF(L247="yes",1,0)*'Grading Scale'!E$9)+(IF(M247="yes",1,0)*'Grading Scale'!E$10)+(IF(N247="yes",1,0)*'Grading Scale'!E$11)+(IF(O247="yes",1,0)*'Grading Scale'!E$12)+(IF(P247="yes",1,0)*'Grading Scale'!E$13))/'Grading Scale'!E$14*100,0), "")</f>
        <v>65</v>
      </c>
      <c r="T247" s="6" t="str">
        <f>IF(ISNUMBER(S247),VLOOKUP(S247,'Grading Scale'!$A$2:$B$14, 2), "")</f>
        <v>D</v>
      </c>
      <c r="U247" s="7"/>
      <c r="V247" s="7"/>
      <c r="W247" s="7"/>
      <c r="X247" s="7"/>
      <c r="Y247" s="7"/>
      <c r="Z247" s="7"/>
      <c r="AA247" s="7"/>
      <c r="AB247" s="7"/>
      <c r="AC247" s="7"/>
      <c r="AD247" s="7"/>
      <c r="AE247" s="7"/>
      <c r="AF247" s="7"/>
      <c r="AG247" s="7"/>
      <c r="AH247" s="7"/>
      <c r="AI247" s="7"/>
      <c r="AJ247" s="7"/>
    </row>
    <row r="248">
      <c r="A248" s="4">
        <v>42383.0</v>
      </c>
      <c r="B248" s="5" t="s">
        <v>422</v>
      </c>
      <c r="C248" s="5" t="s">
        <v>31</v>
      </c>
      <c r="D248" s="6" t="str">
        <f>IF(NOT(ISBLANK(C248)), VLOOKUP(C248,'Dataset Descriptions'!$A$2:$B$10, 2, FALSE), "")</f>
        <v>Per-facility inmate population records.</v>
      </c>
      <c r="E248" s="5" t="s">
        <v>25</v>
      </c>
      <c r="F248" s="5" t="s">
        <v>25</v>
      </c>
      <c r="G248" s="5" t="s">
        <v>25</v>
      </c>
      <c r="H248" s="5" t="s">
        <v>25</v>
      </c>
      <c r="I248" s="5" t="s">
        <v>25</v>
      </c>
      <c r="J248" s="5" t="s">
        <v>23</v>
      </c>
      <c r="K248" s="5" t="s">
        <v>23</v>
      </c>
      <c r="L248" s="5" t="s">
        <v>23</v>
      </c>
      <c r="M248" s="5" t="s">
        <v>23</v>
      </c>
      <c r="N248" s="5" t="s">
        <v>23</v>
      </c>
      <c r="O248" s="5" t="s">
        <v>23</v>
      </c>
      <c r="P248" s="5" t="s">
        <v>23</v>
      </c>
      <c r="Q248" s="9" t="s">
        <v>427</v>
      </c>
      <c r="R248" s="6" t="s">
        <v>428</v>
      </c>
      <c r="S248" s="6">
        <f>IF(NOT(ISBLANK(E248)), ROUND(((IF(E248="yes",1,0)*'Grading Scale'!E$2)+(IF(F248="yes",1,0)*'Grading Scale'!E$3)+(IF(G248="yes",1,0)*'Grading Scale'!E$4)+(IF(H248="yes",1,0)*'Grading Scale'!E$5)+(IF(I248="yes",1,0)*'Grading Scale'!E$6)+(IF(J248="yes",1,0)*'Grading Scale'!E$7)+(IF(K248="yes",1,0)*'Grading Scale'!E$8)+(IF(L248="yes",1,0)*'Grading Scale'!E$9)+(IF(M248="yes",1,0)*'Grading Scale'!E$10)+(IF(N248="yes",1,0)*'Grading Scale'!E$11)+(IF(O248="yes",1,0)*'Grading Scale'!E$12)+(IF(P248="yes",1,0)*'Grading Scale'!E$13))/'Grading Scale'!E$14*100,0), "")</f>
        <v>30</v>
      </c>
      <c r="T248" s="6" t="str">
        <f>IF(ISNUMBER(S248),VLOOKUP(S248,'Grading Scale'!$A$2:$B$14, 2), "")</f>
        <v>F</v>
      </c>
      <c r="U248" s="7"/>
      <c r="V248" s="7"/>
      <c r="W248" s="7"/>
      <c r="X248" s="7"/>
      <c r="Y248" s="7"/>
      <c r="Z248" s="7"/>
      <c r="AA248" s="7"/>
      <c r="AB248" s="7"/>
      <c r="AC248" s="7"/>
      <c r="AD248" s="7"/>
      <c r="AE248" s="7"/>
      <c r="AF248" s="7"/>
      <c r="AG248" s="7"/>
      <c r="AH248" s="7"/>
      <c r="AI248" s="7"/>
      <c r="AJ248" s="7"/>
    </row>
    <row r="249">
      <c r="A249" s="4">
        <v>42384.0</v>
      </c>
      <c r="B249" s="5" t="s">
        <v>422</v>
      </c>
      <c r="C249" s="5" t="s">
        <v>34</v>
      </c>
      <c r="D249" s="6" t="str">
        <f>IF(NOT(ISBLANK(C249)), VLOOKUP(C249,'Dataset Descriptions'!$A$2:$B$10, 2, FALSE), "")</f>
        <v>Bills before the legislature, and the legislators that comprise it.</v>
      </c>
      <c r="E249" s="5" t="s">
        <v>25</v>
      </c>
      <c r="F249" s="5" t="s">
        <v>25</v>
      </c>
      <c r="G249" s="5" t="s">
        <v>25</v>
      </c>
      <c r="H249" s="5" t="s">
        <v>25</v>
      </c>
      <c r="I249" s="5" t="s">
        <v>25</v>
      </c>
      <c r="J249" s="5" t="s">
        <v>23</v>
      </c>
      <c r="K249" s="5" t="s">
        <v>23</v>
      </c>
      <c r="L249" s="5" t="s">
        <v>23</v>
      </c>
      <c r="M249" s="5" t="s">
        <v>25</v>
      </c>
      <c r="N249" s="5" t="s">
        <v>23</v>
      </c>
      <c r="O249" s="5" t="s">
        <v>25</v>
      </c>
      <c r="P249" s="5" t="s">
        <v>25</v>
      </c>
      <c r="Q249" s="9" t="s">
        <v>429</v>
      </c>
      <c r="R249" s="8"/>
      <c r="S249" s="6">
        <f>IF(NOT(ISBLANK(E249)), ROUND(((IF(E249="yes",1,0)*'Grading Scale'!E$2)+(IF(F249="yes",1,0)*'Grading Scale'!E$3)+(IF(G249="yes",1,0)*'Grading Scale'!E$4)+(IF(H249="yes",1,0)*'Grading Scale'!E$5)+(IF(I249="yes",1,0)*'Grading Scale'!E$6)+(IF(J249="yes",1,0)*'Grading Scale'!E$7)+(IF(K249="yes",1,0)*'Grading Scale'!E$8)+(IF(L249="yes",1,0)*'Grading Scale'!E$9)+(IF(M249="yes",1,0)*'Grading Scale'!E$10)+(IF(N249="yes",1,0)*'Grading Scale'!E$11)+(IF(O249="yes",1,0)*'Grading Scale'!E$12)+(IF(P249="yes",1,0)*'Grading Scale'!E$13))/'Grading Scale'!E$14*100,0), "")</f>
        <v>45</v>
      </c>
      <c r="T249" s="6" t="str">
        <f>IF(ISNUMBER(S249),VLOOKUP(S249,'Grading Scale'!$A$2:$B$14, 2), "")</f>
        <v>F</v>
      </c>
      <c r="U249" s="7"/>
      <c r="V249" s="7"/>
      <c r="W249" s="7"/>
      <c r="X249" s="7"/>
      <c r="Y249" s="7"/>
      <c r="Z249" s="7"/>
      <c r="AA249" s="7"/>
      <c r="AB249" s="7"/>
      <c r="AC249" s="7"/>
      <c r="AD249" s="7"/>
      <c r="AE249" s="7"/>
      <c r="AF249" s="7"/>
      <c r="AG249" s="7"/>
      <c r="AH249" s="7"/>
      <c r="AI249" s="7"/>
      <c r="AJ249" s="7"/>
    </row>
    <row r="250">
      <c r="A250" s="4">
        <v>42389.0</v>
      </c>
      <c r="B250" s="5" t="s">
        <v>422</v>
      </c>
      <c r="C250" s="6" t="s">
        <v>37</v>
      </c>
      <c r="D250" s="6" t="str">
        <f>IF(NOT(ISBLANK(C250)), VLOOKUP(C250,'Dataset Descriptions'!$A$2:$B$10, 2, FALSE), "")</f>
        <v>Forecasts of municipal-level changes in population over coming years.</v>
      </c>
      <c r="E250" s="5" t="s">
        <v>25</v>
      </c>
      <c r="F250" s="5" t="s">
        <v>25</v>
      </c>
      <c r="G250" s="5" t="s">
        <v>25</v>
      </c>
      <c r="H250" s="5" t="s">
        <v>25</v>
      </c>
      <c r="I250" s="5" t="s">
        <v>25</v>
      </c>
      <c r="J250" s="5" t="s">
        <v>23</v>
      </c>
      <c r="K250" s="5" t="s">
        <v>25</v>
      </c>
      <c r="L250" s="5" t="s">
        <v>25</v>
      </c>
      <c r="M250" s="5" t="s">
        <v>25</v>
      </c>
      <c r="N250" s="5" t="s">
        <v>23</v>
      </c>
      <c r="O250" s="5" t="s">
        <v>23</v>
      </c>
      <c r="P250" s="5" t="s">
        <v>23</v>
      </c>
      <c r="Q250" s="9" t="s">
        <v>430</v>
      </c>
      <c r="R250" s="6" t="s">
        <v>431</v>
      </c>
      <c r="S250" s="6">
        <f>IF(NOT(ISBLANK(E250)), ROUND(((IF(E250="yes",1,0)*'Grading Scale'!E$2)+(IF(F250="yes",1,0)*'Grading Scale'!E$3)+(IF(G250="yes",1,0)*'Grading Scale'!E$4)+(IF(H250="yes",1,0)*'Grading Scale'!E$5)+(IF(I250="yes",1,0)*'Grading Scale'!E$6)+(IF(J250="yes",1,0)*'Grading Scale'!E$7)+(IF(K250="yes",1,0)*'Grading Scale'!E$8)+(IF(L250="yes",1,0)*'Grading Scale'!E$9)+(IF(M250="yes",1,0)*'Grading Scale'!E$10)+(IF(N250="yes",1,0)*'Grading Scale'!E$11)+(IF(O250="yes",1,0)*'Grading Scale'!E$12)+(IF(P250="yes",1,0)*'Grading Scale'!E$13))/'Grading Scale'!E$14*100,0), "")</f>
        <v>45</v>
      </c>
      <c r="T250" s="6" t="str">
        <f>IF(ISNUMBER(S250),VLOOKUP(S250,'Grading Scale'!$A$2:$B$14, 2), "")</f>
        <v>F</v>
      </c>
      <c r="U250" s="7"/>
      <c r="V250" s="7"/>
      <c r="W250" s="7"/>
      <c r="X250" s="7"/>
      <c r="Y250" s="7"/>
      <c r="Z250" s="7"/>
      <c r="AA250" s="7"/>
      <c r="AB250" s="7"/>
      <c r="AC250" s="7"/>
      <c r="AD250" s="7"/>
      <c r="AE250" s="7"/>
      <c r="AF250" s="7"/>
      <c r="AG250" s="7"/>
      <c r="AH250" s="7"/>
      <c r="AI250" s="7"/>
      <c r="AJ250" s="7"/>
    </row>
    <row r="251">
      <c r="A251" s="4">
        <v>42383.0</v>
      </c>
      <c r="B251" s="5" t="s">
        <v>422</v>
      </c>
      <c r="C251" s="5" t="s">
        <v>40</v>
      </c>
      <c r="D251" s="6" t="str">
        <f>IF(NOT(ISBLANK(C251)), VLOOKUP(C251,'Dataset Descriptions'!$A$2:$B$10, 2, FALSE), "")</f>
        <v>State-owned land and buildings.</v>
      </c>
      <c r="E251" s="5" t="s">
        <v>25</v>
      </c>
      <c r="F251" s="5" t="s">
        <v>25</v>
      </c>
      <c r="G251" s="5" t="s">
        <v>25</v>
      </c>
      <c r="H251" s="5" t="s">
        <v>25</v>
      </c>
      <c r="I251" s="5" t="s">
        <v>25</v>
      </c>
      <c r="J251" s="5" t="s">
        <v>25</v>
      </c>
      <c r="K251" s="5" t="s">
        <v>25</v>
      </c>
      <c r="L251" s="5" t="s">
        <v>25</v>
      </c>
      <c r="M251" s="5" t="s">
        <v>25</v>
      </c>
      <c r="N251" s="5" t="s">
        <v>23</v>
      </c>
      <c r="O251" s="5" t="s">
        <v>23</v>
      </c>
      <c r="P251" s="5" t="s">
        <v>25</v>
      </c>
      <c r="Q251" s="9" t="s">
        <v>432</v>
      </c>
      <c r="R251" s="18" t="s">
        <v>433</v>
      </c>
      <c r="S251" s="6">
        <f>IF(NOT(ISBLANK(E251)), ROUND(((IF(E251="yes",1,0)*'Grading Scale'!E$2)+(IF(F251="yes",1,0)*'Grading Scale'!E$3)+(IF(G251="yes",1,0)*'Grading Scale'!E$4)+(IF(H251="yes",1,0)*'Grading Scale'!E$5)+(IF(I251="yes",1,0)*'Grading Scale'!E$6)+(IF(J251="yes",1,0)*'Grading Scale'!E$7)+(IF(K251="yes",1,0)*'Grading Scale'!E$8)+(IF(L251="yes",1,0)*'Grading Scale'!E$9)+(IF(M251="yes",1,0)*'Grading Scale'!E$10)+(IF(N251="yes",1,0)*'Grading Scale'!E$11)+(IF(O251="yes",1,0)*'Grading Scale'!E$12)+(IF(P251="yes",1,0)*'Grading Scale'!E$13))/'Grading Scale'!E$14*100,0), "")</f>
        <v>90</v>
      </c>
      <c r="T251" s="6" t="str">
        <f>IF(ISNUMBER(S251),VLOOKUP(S251,'Grading Scale'!$A$2:$B$14, 2), "")</f>
        <v>A−</v>
      </c>
      <c r="U251" s="7"/>
      <c r="V251" s="7"/>
      <c r="W251" s="7"/>
      <c r="X251" s="7"/>
      <c r="Y251" s="7"/>
      <c r="Z251" s="7"/>
      <c r="AA251" s="7"/>
      <c r="AB251" s="7"/>
      <c r="AC251" s="7"/>
      <c r="AD251" s="7"/>
      <c r="AE251" s="7"/>
      <c r="AF251" s="7"/>
      <c r="AG251" s="7"/>
      <c r="AH251" s="7"/>
      <c r="AI251" s="7"/>
      <c r="AJ251" s="7"/>
    </row>
    <row r="252">
      <c r="A252" s="4">
        <v>42384.0</v>
      </c>
      <c r="B252" s="5" t="s">
        <v>422</v>
      </c>
      <c r="C252" s="5" t="s">
        <v>43</v>
      </c>
      <c r="D252" s="6" t="str">
        <f>IF(NOT(ISBLANK(C252)), VLOOKUP(C252,'Dataset Descriptions'!$A$2:$B$10, 2, FALSE), "")</f>
        <v>Health inspections of establishments that serve food to the public.</v>
      </c>
      <c r="E252" s="5" t="s">
        <v>22</v>
      </c>
      <c r="F252" s="5" t="s">
        <v>22</v>
      </c>
      <c r="G252" s="5" t="s">
        <v>22</v>
      </c>
      <c r="H252" s="5" t="s">
        <v>22</v>
      </c>
      <c r="I252" s="5" t="s">
        <v>23</v>
      </c>
      <c r="J252" s="5" t="s">
        <v>22</v>
      </c>
      <c r="K252" s="5" t="s">
        <v>22</v>
      </c>
      <c r="L252" s="5" t="s">
        <v>22</v>
      </c>
      <c r="M252" s="5" t="s">
        <v>22</v>
      </c>
      <c r="N252" s="5" t="s">
        <v>23</v>
      </c>
      <c r="O252" s="5" t="s">
        <v>22</v>
      </c>
      <c r="P252" s="5" t="s">
        <v>22</v>
      </c>
      <c r="Q252" s="7"/>
      <c r="R252" s="6" t="s">
        <v>434</v>
      </c>
      <c r="S252" s="6">
        <f>IF(NOT(ISBLANK(E252)), ROUND(((IF(E252="yes",1,0)*'Grading Scale'!E$2)+(IF(F252="yes",1,0)*'Grading Scale'!E$3)+(IF(G252="yes",1,0)*'Grading Scale'!E$4)+(IF(H252="yes",1,0)*'Grading Scale'!E$5)+(IF(I252="yes",1,0)*'Grading Scale'!E$6)+(IF(J252="yes",1,0)*'Grading Scale'!E$7)+(IF(K252="yes",1,0)*'Grading Scale'!E$8)+(IF(L252="yes",1,0)*'Grading Scale'!E$9)+(IF(M252="yes",1,0)*'Grading Scale'!E$10)+(IF(N252="yes",1,0)*'Grading Scale'!E$11)+(IF(O252="yes",1,0)*'Grading Scale'!E$12)+(IF(P252="yes",1,0)*'Grading Scale'!E$13))/'Grading Scale'!E$14*100,0), "")</f>
        <v>0</v>
      </c>
      <c r="T252" s="6" t="str">
        <f>IF(ISNUMBER(S252),VLOOKUP(S252,'Grading Scale'!$A$2:$B$14, 2), "")</f>
        <v>F</v>
      </c>
      <c r="U252" s="7"/>
      <c r="V252" s="7"/>
      <c r="W252" s="7"/>
      <c r="X252" s="7"/>
      <c r="Y252" s="7"/>
      <c r="Z252" s="7"/>
      <c r="AA252" s="7"/>
      <c r="AB252" s="7"/>
      <c r="AC252" s="7"/>
      <c r="AD252" s="7"/>
      <c r="AE252" s="7"/>
      <c r="AF252" s="7"/>
      <c r="AG252" s="7"/>
      <c r="AH252" s="7"/>
      <c r="AI252" s="7"/>
      <c r="AJ252" s="7"/>
    </row>
    <row r="253">
      <c r="A253" s="4">
        <v>42384.0</v>
      </c>
      <c r="B253" s="5" t="s">
        <v>422</v>
      </c>
      <c r="C253" s="5" t="s">
        <v>46</v>
      </c>
      <c r="D253" s="6" t="str">
        <f>IF(NOT(ISBLANK(C253)), VLOOKUP(C253,'Dataset Descriptions'!$A$2:$B$10, 2, FALSE), "")</f>
        <v>Incident-level reportable motor vehicle crash records.</v>
      </c>
      <c r="E253" s="5" t="s">
        <v>25</v>
      </c>
      <c r="F253" s="5" t="s">
        <v>25</v>
      </c>
      <c r="G253" s="5" t="s">
        <v>25</v>
      </c>
      <c r="H253" s="5" t="s">
        <v>25</v>
      </c>
      <c r="I253" s="5" t="s">
        <v>25</v>
      </c>
      <c r="J253" s="5" t="s">
        <v>23</v>
      </c>
      <c r="K253" s="5" t="s">
        <v>25</v>
      </c>
      <c r="L253" s="5" t="s">
        <v>23</v>
      </c>
      <c r="M253" s="5" t="s">
        <v>23</v>
      </c>
      <c r="N253" s="5" t="s">
        <v>23</v>
      </c>
      <c r="O253" s="5" t="s">
        <v>23</v>
      </c>
      <c r="P253" s="5" t="s">
        <v>23</v>
      </c>
      <c r="Q253" s="7"/>
      <c r="R253" s="6" t="s">
        <v>435</v>
      </c>
      <c r="S253" s="6">
        <f>IF(NOT(ISBLANK(E253)), ROUND(((IF(E253="yes",1,0)*'Grading Scale'!E$2)+(IF(F253="yes",1,0)*'Grading Scale'!E$3)+(IF(G253="yes",1,0)*'Grading Scale'!E$4)+(IF(H253="yes",1,0)*'Grading Scale'!E$5)+(IF(I253="yes",1,0)*'Grading Scale'!E$6)+(IF(J253="yes",1,0)*'Grading Scale'!E$7)+(IF(K253="yes",1,0)*'Grading Scale'!E$8)+(IF(L253="yes",1,0)*'Grading Scale'!E$9)+(IF(M253="yes",1,0)*'Grading Scale'!E$10)+(IF(N253="yes",1,0)*'Grading Scale'!E$11)+(IF(O253="yes",1,0)*'Grading Scale'!E$12)+(IF(P253="yes",1,0)*'Grading Scale'!E$13))/'Grading Scale'!E$14*100,0), "")</f>
        <v>35</v>
      </c>
      <c r="T253" s="6" t="str">
        <f>IF(ISNUMBER(S253),VLOOKUP(S253,'Grading Scale'!$A$2:$B$14, 2), "")</f>
        <v>F</v>
      </c>
      <c r="U253" s="7"/>
      <c r="V253" s="7"/>
      <c r="W253" s="7"/>
      <c r="X253" s="7"/>
      <c r="Y253" s="7"/>
      <c r="Z253" s="7"/>
      <c r="AA253" s="7"/>
      <c r="AB253" s="7"/>
      <c r="AC253" s="7"/>
      <c r="AD253" s="7"/>
      <c r="AE253" s="7"/>
      <c r="AF253" s="7"/>
      <c r="AG253" s="7"/>
      <c r="AH253" s="7"/>
      <c r="AI253" s="7"/>
      <c r="AJ253" s="7"/>
    </row>
    <row r="254">
      <c r="A254" s="4">
        <v>42397.0</v>
      </c>
      <c r="B254" s="5" t="s">
        <v>436</v>
      </c>
      <c r="C254" s="5" t="s">
        <v>21</v>
      </c>
      <c r="D254" s="6" t="str">
        <f>IF(NOT(ISBLANK(C254)), VLOOKUP(C254,'Dataset Descriptions'!$A$2:$B$10, 2, FALSE), "")</f>
        <v>The geographic coordinates for physical addresses.</v>
      </c>
      <c r="E254" s="5" t="s">
        <v>25</v>
      </c>
      <c r="F254" s="5" t="s">
        <v>25</v>
      </c>
      <c r="G254" s="5" t="s">
        <v>25</v>
      </c>
      <c r="H254" s="5" t="s">
        <v>25</v>
      </c>
      <c r="I254" s="5" t="s">
        <v>25</v>
      </c>
      <c r="J254" s="5" t="s">
        <v>25</v>
      </c>
      <c r="K254" s="5" t="s">
        <v>23</v>
      </c>
      <c r="L254" s="5" t="s">
        <v>25</v>
      </c>
      <c r="M254" s="5" t="s">
        <v>22</v>
      </c>
      <c r="N254" s="5" t="s">
        <v>23</v>
      </c>
      <c r="O254" s="5" t="s">
        <v>23</v>
      </c>
      <c r="P254" s="5" t="s">
        <v>25</v>
      </c>
      <c r="Q254" s="9" t="s">
        <v>437</v>
      </c>
      <c r="R254" s="8"/>
      <c r="S254" s="6">
        <f>IF(NOT(ISBLANK(E254)), ROUND(((IF(E254="yes",1,0)*'Grading Scale'!E$2)+(IF(F254="yes",1,0)*'Grading Scale'!E$3)+(IF(G254="yes",1,0)*'Grading Scale'!E$4)+(IF(H254="yes",1,0)*'Grading Scale'!E$5)+(IF(I254="yes",1,0)*'Grading Scale'!E$6)+(IF(J254="yes",1,0)*'Grading Scale'!E$7)+(IF(K254="yes",1,0)*'Grading Scale'!E$8)+(IF(L254="yes",1,0)*'Grading Scale'!E$9)+(IF(M254="yes",1,0)*'Grading Scale'!E$10)+(IF(N254="yes",1,0)*'Grading Scale'!E$11)+(IF(O254="yes",1,0)*'Grading Scale'!E$12)+(IF(P254="yes",1,0)*'Grading Scale'!E$13))/'Grading Scale'!E$14*100,0), "")</f>
        <v>80</v>
      </c>
      <c r="T254" s="6" t="str">
        <f>IF(ISNUMBER(S254),VLOOKUP(S254,'Grading Scale'!$A$2:$B$14, 2), "")</f>
        <v>B−</v>
      </c>
      <c r="U254" s="7"/>
      <c r="V254" s="7"/>
      <c r="W254" s="7"/>
      <c r="X254" s="7"/>
      <c r="Y254" s="7"/>
      <c r="Z254" s="7"/>
      <c r="AA254" s="7"/>
      <c r="AB254" s="7"/>
      <c r="AC254" s="7"/>
      <c r="AD254" s="7"/>
      <c r="AE254" s="7"/>
      <c r="AF254" s="7"/>
      <c r="AG254" s="7"/>
      <c r="AH254" s="7"/>
      <c r="AI254" s="7"/>
      <c r="AJ254" s="7"/>
    </row>
    <row r="255">
      <c r="A255" s="4">
        <v>42397.0</v>
      </c>
      <c r="B255" s="5" t="s">
        <v>436</v>
      </c>
      <c r="C255" s="5" t="s">
        <v>24</v>
      </c>
      <c r="D255" s="6" t="str">
        <f>IF(NOT(ISBLANK(C255)), VLOOKUP(C255,'Dataset Descriptions'!$A$2:$B$10, 2, FALSE), "")</f>
        <v>Transaction-level, per-agency spending records.</v>
      </c>
      <c r="E255" s="5" t="s">
        <v>25</v>
      </c>
      <c r="F255" s="5" t="s">
        <v>25</v>
      </c>
      <c r="G255" s="5" t="s">
        <v>25</v>
      </c>
      <c r="H255" s="5" t="s">
        <v>25</v>
      </c>
      <c r="I255" s="5" t="s">
        <v>25</v>
      </c>
      <c r="J255" s="5" t="s">
        <v>25</v>
      </c>
      <c r="K255" s="5" t="s">
        <v>25</v>
      </c>
      <c r="L255" s="5" t="s">
        <v>23</v>
      </c>
      <c r="M255" s="5" t="s">
        <v>25</v>
      </c>
      <c r="N255" s="5" t="s">
        <v>25</v>
      </c>
      <c r="O255" s="5" t="s">
        <v>25</v>
      </c>
      <c r="P255" s="5" t="s">
        <v>25</v>
      </c>
      <c r="Q255" s="9" t="s">
        <v>438</v>
      </c>
      <c r="R255" s="6" t="s">
        <v>439</v>
      </c>
      <c r="S255" s="6">
        <f>IF(NOT(ISBLANK(E255)), ROUND(((IF(E255="yes",1,0)*'Grading Scale'!E$2)+(IF(F255="yes",1,0)*'Grading Scale'!E$3)+(IF(G255="yes",1,0)*'Grading Scale'!E$4)+(IF(H255="yes",1,0)*'Grading Scale'!E$5)+(IF(I255="yes",1,0)*'Grading Scale'!E$6)+(IF(J255="yes",1,0)*'Grading Scale'!E$7)+(IF(K255="yes",1,0)*'Grading Scale'!E$8)+(IF(L255="yes",1,0)*'Grading Scale'!E$9)+(IF(M255="yes",1,0)*'Grading Scale'!E$10)+(IF(N255="yes",1,0)*'Grading Scale'!E$11)+(IF(O255="yes",1,0)*'Grading Scale'!E$12)+(IF(P255="yes",1,0)*'Grading Scale'!E$13))/'Grading Scale'!E$14*100,0), "")</f>
        <v>95</v>
      </c>
      <c r="T255" s="6" t="str">
        <f>IF(ISNUMBER(S255),VLOOKUP(S255,'Grading Scale'!$A$2:$B$14, 2), "")</f>
        <v>A</v>
      </c>
      <c r="U255" s="7"/>
      <c r="V255" s="7"/>
      <c r="W255" s="7"/>
      <c r="X255" s="7"/>
      <c r="Y255" s="7"/>
      <c r="Z255" s="7"/>
      <c r="AA255" s="7"/>
      <c r="AB255" s="7"/>
      <c r="AC255" s="7"/>
      <c r="AD255" s="7"/>
      <c r="AE255" s="7"/>
      <c r="AF255" s="7"/>
      <c r="AG255" s="7"/>
      <c r="AH255" s="7"/>
      <c r="AI255" s="7"/>
      <c r="AJ255" s="7"/>
    </row>
    <row r="256">
      <c r="A256" s="4">
        <v>42397.0</v>
      </c>
      <c r="B256" s="5" t="s">
        <v>436</v>
      </c>
      <c r="C256" s="5" t="s">
        <v>28</v>
      </c>
      <c r="D256" s="6" t="str">
        <f>IF(NOT(ISBLANK(C256)), VLOOKUP(C256,'Dataset Descriptions'!$A$2:$B$10, 2, FALSE), "")</f>
        <v>The register of all corporations that exist in the state.</v>
      </c>
      <c r="E256" s="5" t="s">
        <v>25</v>
      </c>
      <c r="F256" s="5" t="s">
        <v>25</v>
      </c>
      <c r="G256" s="5" t="s">
        <v>25</v>
      </c>
      <c r="H256" s="5" t="s">
        <v>25</v>
      </c>
      <c r="I256" s="5" t="s">
        <v>25</v>
      </c>
      <c r="J256" s="5" t="s">
        <v>23</v>
      </c>
      <c r="K256" s="5" t="s">
        <v>23</v>
      </c>
      <c r="L256" s="5" t="s">
        <v>25</v>
      </c>
      <c r="M256" s="5" t="s">
        <v>25</v>
      </c>
      <c r="N256" s="5" t="s">
        <v>23</v>
      </c>
      <c r="O256" s="5" t="s">
        <v>25</v>
      </c>
      <c r="P256" s="5" t="s">
        <v>25</v>
      </c>
      <c r="Q256" s="9" t="s">
        <v>440</v>
      </c>
      <c r="R256" s="6" t="s">
        <v>441</v>
      </c>
      <c r="S256" s="6">
        <f>IF(NOT(ISBLANK(E256)), ROUND(((IF(E256="yes",1,0)*'Grading Scale'!E$2)+(IF(F256="yes",1,0)*'Grading Scale'!E$3)+(IF(G256="yes",1,0)*'Grading Scale'!E$4)+(IF(H256="yes",1,0)*'Grading Scale'!E$5)+(IF(I256="yes",1,0)*'Grading Scale'!E$6)+(IF(J256="yes",1,0)*'Grading Scale'!E$7)+(IF(K256="yes",1,0)*'Grading Scale'!E$8)+(IF(L256="yes",1,0)*'Grading Scale'!E$9)+(IF(M256="yes",1,0)*'Grading Scale'!E$10)+(IF(N256="yes",1,0)*'Grading Scale'!E$11)+(IF(O256="yes",1,0)*'Grading Scale'!E$12)+(IF(P256="yes",1,0)*'Grading Scale'!E$13))/'Grading Scale'!E$14*100,0), "")</f>
        <v>50</v>
      </c>
      <c r="T256" s="6" t="str">
        <f>IF(ISNUMBER(S256),VLOOKUP(S256,'Grading Scale'!$A$2:$B$14, 2), "")</f>
        <v>F</v>
      </c>
      <c r="U256" s="7"/>
      <c r="V256" s="7"/>
      <c r="W256" s="7"/>
      <c r="X256" s="7"/>
      <c r="Y256" s="7"/>
      <c r="Z256" s="7"/>
      <c r="AA256" s="7"/>
      <c r="AB256" s="7"/>
      <c r="AC256" s="7"/>
      <c r="AD256" s="7"/>
      <c r="AE256" s="7"/>
      <c r="AF256" s="7"/>
      <c r="AG256" s="7"/>
      <c r="AH256" s="7"/>
      <c r="AI256" s="7"/>
      <c r="AJ256" s="7"/>
    </row>
    <row r="257">
      <c r="A257" s="4">
        <v>42397.0</v>
      </c>
      <c r="B257" s="5" t="s">
        <v>436</v>
      </c>
      <c r="C257" s="5" t="s">
        <v>31</v>
      </c>
      <c r="D257" s="6" t="str">
        <f>IF(NOT(ISBLANK(C257)), VLOOKUP(C257,'Dataset Descriptions'!$A$2:$B$10, 2, FALSE), "")</f>
        <v>Per-facility inmate population records.</v>
      </c>
      <c r="E257" s="5" t="s">
        <v>25</v>
      </c>
      <c r="F257" s="5" t="s">
        <v>25</v>
      </c>
      <c r="G257" s="5" t="s">
        <v>25</v>
      </c>
      <c r="H257" s="5" t="s">
        <v>25</v>
      </c>
      <c r="I257" s="5" t="s">
        <v>25</v>
      </c>
      <c r="J257" s="5" t="s">
        <v>23</v>
      </c>
      <c r="K257" s="5" t="s">
        <v>23</v>
      </c>
      <c r="L257" s="5" t="s">
        <v>25</v>
      </c>
      <c r="M257" s="5" t="s">
        <v>23</v>
      </c>
      <c r="N257" s="5" t="s">
        <v>23</v>
      </c>
      <c r="O257" s="5" t="s">
        <v>25</v>
      </c>
      <c r="P257" s="5" t="s">
        <v>23</v>
      </c>
      <c r="Q257" s="9" t="s">
        <v>442</v>
      </c>
      <c r="R257" s="6" t="s">
        <v>443</v>
      </c>
      <c r="S257" s="6">
        <f>IF(NOT(ISBLANK(E257)), ROUND(((IF(E257="yes",1,0)*'Grading Scale'!E$2)+(IF(F257="yes",1,0)*'Grading Scale'!E$3)+(IF(G257="yes",1,0)*'Grading Scale'!E$4)+(IF(H257="yes",1,0)*'Grading Scale'!E$5)+(IF(I257="yes",1,0)*'Grading Scale'!E$6)+(IF(J257="yes",1,0)*'Grading Scale'!E$7)+(IF(K257="yes",1,0)*'Grading Scale'!E$8)+(IF(L257="yes",1,0)*'Grading Scale'!E$9)+(IF(M257="yes",1,0)*'Grading Scale'!E$10)+(IF(N257="yes",1,0)*'Grading Scale'!E$11)+(IF(O257="yes",1,0)*'Grading Scale'!E$12)+(IF(P257="yes",1,0)*'Grading Scale'!E$13))/'Grading Scale'!E$14*100,0), "")</f>
        <v>40</v>
      </c>
      <c r="T257" s="6" t="str">
        <f>IF(ISNUMBER(S257),VLOOKUP(S257,'Grading Scale'!$A$2:$B$14, 2), "")</f>
        <v>F</v>
      </c>
      <c r="U257" s="7"/>
      <c r="V257" s="7"/>
      <c r="W257" s="7"/>
      <c r="X257" s="7"/>
      <c r="Y257" s="7"/>
      <c r="Z257" s="7"/>
      <c r="AA257" s="7"/>
      <c r="AB257" s="7"/>
      <c r="AC257" s="7"/>
      <c r="AD257" s="7"/>
      <c r="AE257" s="7"/>
      <c r="AF257" s="7"/>
      <c r="AG257" s="7"/>
      <c r="AH257" s="7"/>
      <c r="AI257" s="7"/>
      <c r="AJ257" s="7"/>
    </row>
    <row r="258">
      <c r="A258" s="4">
        <v>42397.0</v>
      </c>
      <c r="B258" s="5" t="s">
        <v>436</v>
      </c>
      <c r="C258" s="5" t="s">
        <v>34</v>
      </c>
      <c r="D258" s="6" t="str">
        <f>IF(NOT(ISBLANK(C258)), VLOOKUP(C258,'Dataset Descriptions'!$A$2:$B$10, 2, FALSE), "")</f>
        <v>Bills before the legislature, and the legislators that comprise it.</v>
      </c>
      <c r="E258" s="5" t="s">
        <v>25</v>
      </c>
      <c r="F258" s="5" t="s">
        <v>25</v>
      </c>
      <c r="G258" s="5" t="s">
        <v>25</v>
      </c>
      <c r="H258" s="5" t="s">
        <v>25</v>
      </c>
      <c r="I258" s="5" t="s">
        <v>25</v>
      </c>
      <c r="J258" s="5" t="s">
        <v>25</v>
      </c>
      <c r="K258" s="5" t="s">
        <v>25</v>
      </c>
      <c r="L258" s="5" t="s">
        <v>25</v>
      </c>
      <c r="M258" s="5" t="s">
        <v>25</v>
      </c>
      <c r="N258" s="5" t="s">
        <v>25</v>
      </c>
      <c r="O258" s="5" t="s">
        <v>23</v>
      </c>
      <c r="P258" s="5" t="s">
        <v>25</v>
      </c>
      <c r="Q258" s="9" t="s">
        <v>444</v>
      </c>
      <c r="R258" s="6" t="s">
        <v>445</v>
      </c>
      <c r="S258" s="6">
        <f>IF(NOT(ISBLANK(E258)), ROUND(((IF(E258="yes",1,0)*'Grading Scale'!E$2)+(IF(F258="yes",1,0)*'Grading Scale'!E$3)+(IF(G258="yes",1,0)*'Grading Scale'!E$4)+(IF(H258="yes",1,0)*'Grading Scale'!E$5)+(IF(I258="yes",1,0)*'Grading Scale'!E$6)+(IF(J258="yes",1,0)*'Grading Scale'!E$7)+(IF(K258="yes",1,0)*'Grading Scale'!E$8)+(IF(L258="yes",1,0)*'Grading Scale'!E$9)+(IF(M258="yes",1,0)*'Grading Scale'!E$10)+(IF(N258="yes",1,0)*'Grading Scale'!E$11)+(IF(O258="yes",1,0)*'Grading Scale'!E$12)+(IF(P258="yes",1,0)*'Grading Scale'!E$13))/'Grading Scale'!E$14*100,0), "")</f>
        <v>95</v>
      </c>
      <c r="T258" s="6" t="str">
        <f>IF(ISNUMBER(S258),VLOOKUP(S258,'Grading Scale'!$A$2:$B$14, 2), "")</f>
        <v>A</v>
      </c>
      <c r="U258" s="7"/>
      <c r="V258" s="7"/>
      <c r="W258" s="7"/>
      <c r="X258" s="7"/>
      <c r="Y258" s="7"/>
      <c r="Z258" s="7"/>
      <c r="AA258" s="7"/>
      <c r="AB258" s="7"/>
      <c r="AC258" s="7"/>
      <c r="AD258" s="7"/>
      <c r="AE258" s="7"/>
      <c r="AF258" s="7"/>
      <c r="AG258" s="7"/>
      <c r="AH258" s="7"/>
      <c r="AI258" s="7"/>
      <c r="AJ258" s="7"/>
    </row>
    <row r="259">
      <c r="A259" s="4">
        <v>42398.0</v>
      </c>
      <c r="B259" s="5" t="s">
        <v>436</v>
      </c>
      <c r="C259" s="6" t="s">
        <v>37</v>
      </c>
      <c r="D259" s="6" t="str">
        <f>IF(NOT(ISBLANK(C259)), VLOOKUP(C259,'Dataset Descriptions'!$A$2:$B$10, 2, FALSE), "")</f>
        <v>Forecasts of municipal-level changes in population over coming years.</v>
      </c>
      <c r="E259" s="5" t="s">
        <v>25</v>
      </c>
      <c r="F259" s="5" t="s">
        <v>25</v>
      </c>
      <c r="G259" s="5" t="s">
        <v>25</v>
      </c>
      <c r="H259" s="5" t="s">
        <v>25</v>
      </c>
      <c r="I259" s="5" t="s">
        <v>25</v>
      </c>
      <c r="J259" s="5" t="s">
        <v>23</v>
      </c>
      <c r="K259" s="5" t="s">
        <v>25</v>
      </c>
      <c r="L259" s="5" t="s">
        <v>23</v>
      </c>
      <c r="M259" s="5" t="s">
        <v>25</v>
      </c>
      <c r="N259" s="5" t="s">
        <v>23</v>
      </c>
      <c r="O259" s="5" t="s">
        <v>25</v>
      </c>
      <c r="P259" s="5" t="s">
        <v>25</v>
      </c>
      <c r="Q259" s="9" t="s">
        <v>446</v>
      </c>
      <c r="R259" s="6" t="s">
        <v>447</v>
      </c>
      <c r="S259" s="6">
        <f>IF(NOT(ISBLANK(E259)), ROUND(((IF(E259="yes",1,0)*'Grading Scale'!E$2)+(IF(F259="yes",1,0)*'Grading Scale'!E$3)+(IF(G259="yes",1,0)*'Grading Scale'!E$4)+(IF(H259="yes",1,0)*'Grading Scale'!E$5)+(IF(I259="yes",1,0)*'Grading Scale'!E$6)+(IF(J259="yes",1,0)*'Grading Scale'!E$7)+(IF(K259="yes",1,0)*'Grading Scale'!E$8)+(IF(L259="yes",1,0)*'Grading Scale'!E$9)+(IF(M259="yes",1,0)*'Grading Scale'!E$10)+(IF(N259="yes",1,0)*'Grading Scale'!E$11)+(IF(O259="yes",1,0)*'Grading Scale'!E$12)+(IF(P259="yes",1,0)*'Grading Scale'!E$13))/'Grading Scale'!E$14*100,0), "")</f>
        <v>50</v>
      </c>
      <c r="T259" s="6" t="str">
        <f>IF(ISNUMBER(S259),VLOOKUP(S259,'Grading Scale'!$A$2:$B$14, 2), "")</f>
        <v>F</v>
      </c>
      <c r="U259" s="7"/>
      <c r="V259" s="7"/>
      <c r="W259" s="7"/>
      <c r="X259" s="7"/>
      <c r="Y259" s="7"/>
      <c r="Z259" s="7"/>
      <c r="AA259" s="7"/>
      <c r="AB259" s="7"/>
      <c r="AC259" s="7"/>
      <c r="AD259" s="7"/>
      <c r="AE259" s="7"/>
      <c r="AF259" s="7"/>
      <c r="AG259" s="7"/>
      <c r="AH259" s="7"/>
      <c r="AI259" s="7"/>
      <c r="AJ259" s="7"/>
    </row>
    <row r="260">
      <c r="A260" s="4">
        <v>42397.0</v>
      </c>
      <c r="B260" s="5" t="s">
        <v>436</v>
      </c>
      <c r="C260" s="5" t="s">
        <v>40</v>
      </c>
      <c r="D260" s="6" t="str">
        <f>IF(NOT(ISBLANK(C260)), VLOOKUP(C260,'Dataset Descriptions'!$A$2:$B$10, 2, FALSE), "")</f>
        <v>State-owned land and buildings.</v>
      </c>
      <c r="E260" s="5" t="s">
        <v>22</v>
      </c>
      <c r="F260" s="5" t="s">
        <v>22</v>
      </c>
      <c r="G260" s="5" t="s">
        <v>22</v>
      </c>
      <c r="H260" s="5" t="s">
        <v>22</v>
      </c>
      <c r="I260" s="5" t="s">
        <v>23</v>
      </c>
      <c r="J260" s="5" t="s">
        <v>22</v>
      </c>
      <c r="K260" s="5" t="s">
        <v>22</v>
      </c>
      <c r="L260" s="5" t="s">
        <v>22</v>
      </c>
      <c r="M260" s="5" t="s">
        <v>22</v>
      </c>
      <c r="N260" s="5" t="s">
        <v>23</v>
      </c>
      <c r="O260" s="5" t="s">
        <v>22</v>
      </c>
      <c r="P260" s="5" t="s">
        <v>22</v>
      </c>
      <c r="Q260" s="7"/>
      <c r="R260" s="6" t="s">
        <v>448</v>
      </c>
      <c r="S260" s="6">
        <f>IF(NOT(ISBLANK(E260)), ROUND(((IF(E260="yes",1,0)*'Grading Scale'!E$2)+(IF(F260="yes",1,0)*'Grading Scale'!E$3)+(IF(G260="yes",1,0)*'Grading Scale'!E$4)+(IF(H260="yes",1,0)*'Grading Scale'!E$5)+(IF(I260="yes",1,0)*'Grading Scale'!E$6)+(IF(J260="yes",1,0)*'Grading Scale'!E$7)+(IF(K260="yes",1,0)*'Grading Scale'!E$8)+(IF(L260="yes",1,0)*'Grading Scale'!E$9)+(IF(M260="yes",1,0)*'Grading Scale'!E$10)+(IF(N260="yes",1,0)*'Grading Scale'!E$11)+(IF(O260="yes",1,0)*'Grading Scale'!E$12)+(IF(P260="yes",1,0)*'Grading Scale'!E$13))/'Grading Scale'!E$14*100,0), "")</f>
        <v>0</v>
      </c>
      <c r="T260" s="6" t="str">
        <f>IF(ISNUMBER(S260),VLOOKUP(S260,'Grading Scale'!$A$2:$B$14, 2), "")</f>
        <v>F</v>
      </c>
      <c r="U260" s="7"/>
      <c r="V260" s="7"/>
      <c r="W260" s="7"/>
      <c r="X260" s="7"/>
      <c r="Y260" s="7"/>
      <c r="Z260" s="7"/>
      <c r="AA260" s="7"/>
      <c r="AB260" s="7"/>
      <c r="AC260" s="7"/>
      <c r="AD260" s="7"/>
      <c r="AE260" s="7"/>
      <c r="AF260" s="7"/>
      <c r="AG260" s="7"/>
      <c r="AH260" s="7"/>
      <c r="AI260" s="7"/>
      <c r="AJ260" s="7"/>
    </row>
    <row r="261">
      <c r="A261" s="4">
        <v>42398.0</v>
      </c>
      <c r="B261" s="5" t="s">
        <v>436</v>
      </c>
      <c r="C261" s="5" t="s">
        <v>43</v>
      </c>
      <c r="D261" s="6" t="str">
        <f>IF(NOT(ISBLANK(C261)), VLOOKUP(C261,'Dataset Descriptions'!$A$2:$B$10, 2, FALSE), "")</f>
        <v>Health inspections of establishments that serve food to the public.</v>
      </c>
      <c r="E261" s="5" t="s">
        <v>25</v>
      </c>
      <c r="F261" s="5" t="s">
        <v>25</v>
      </c>
      <c r="G261" s="5" t="s">
        <v>25</v>
      </c>
      <c r="H261" s="5" t="s">
        <v>25</v>
      </c>
      <c r="I261" s="5" t="s">
        <v>23</v>
      </c>
      <c r="J261" s="5" t="s">
        <v>25</v>
      </c>
      <c r="K261" s="5" t="s">
        <v>23</v>
      </c>
      <c r="L261" s="5" t="s">
        <v>23</v>
      </c>
      <c r="M261" s="5" t="s">
        <v>25</v>
      </c>
      <c r="N261" s="5" t="s">
        <v>23</v>
      </c>
      <c r="O261" s="5" t="s">
        <v>23</v>
      </c>
      <c r="P261" s="5" t="s">
        <v>22</v>
      </c>
      <c r="Q261" s="9" t="s">
        <v>449</v>
      </c>
      <c r="R261" s="6" t="s">
        <v>450</v>
      </c>
      <c r="S261" s="6">
        <f>IF(NOT(ISBLANK(E261)), ROUND(((IF(E261="yes",1,0)*'Grading Scale'!E$2)+(IF(F261="yes",1,0)*'Grading Scale'!E$3)+(IF(G261="yes",1,0)*'Grading Scale'!E$4)+(IF(H261="yes",1,0)*'Grading Scale'!E$5)+(IF(I261="yes",1,0)*'Grading Scale'!E$6)+(IF(J261="yes",1,0)*'Grading Scale'!E$7)+(IF(K261="yes",1,0)*'Grading Scale'!E$8)+(IF(L261="yes",1,0)*'Grading Scale'!E$9)+(IF(M261="yes",1,0)*'Grading Scale'!E$10)+(IF(N261="yes",1,0)*'Grading Scale'!E$11)+(IF(O261="yes",1,0)*'Grading Scale'!E$12)+(IF(P261="yes",1,0)*'Grading Scale'!E$13))/'Grading Scale'!E$14*100,0), "")</f>
        <v>70</v>
      </c>
      <c r="T261" s="6" t="str">
        <f>IF(ISNUMBER(S261),VLOOKUP(S261,'Grading Scale'!$A$2:$B$14, 2), "")</f>
        <v>C−</v>
      </c>
      <c r="U261" s="7"/>
      <c r="V261" s="7"/>
      <c r="W261" s="7"/>
      <c r="X261" s="7"/>
      <c r="Y261" s="7"/>
      <c r="Z261" s="7"/>
      <c r="AA261" s="7"/>
      <c r="AB261" s="7"/>
      <c r="AC261" s="7"/>
      <c r="AD261" s="7"/>
      <c r="AE261" s="7"/>
      <c r="AF261" s="7"/>
      <c r="AG261" s="7"/>
      <c r="AH261" s="7"/>
      <c r="AI261" s="7"/>
      <c r="AJ261" s="7"/>
    </row>
    <row r="262">
      <c r="A262" s="4">
        <v>42398.0</v>
      </c>
      <c r="B262" s="5" t="s">
        <v>436</v>
      </c>
      <c r="C262" s="5" t="s">
        <v>46</v>
      </c>
      <c r="D262" s="6" t="str">
        <f>IF(NOT(ISBLANK(C262)), VLOOKUP(C262,'Dataset Descriptions'!$A$2:$B$10, 2, FALSE), "")</f>
        <v>Incident-level reportable motor vehicle crash records.</v>
      </c>
      <c r="E262" s="5" t="s">
        <v>22</v>
      </c>
      <c r="F262" s="5" t="s">
        <v>22</v>
      </c>
      <c r="G262" s="5" t="s">
        <v>22</v>
      </c>
      <c r="H262" s="5" t="s">
        <v>22</v>
      </c>
      <c r="I262" s="5" t="s">
        <v>23</v>
      </c>
      <c r="J262" s="5" t="s">
        <v>22</v>
      </c>
      <c r="K262" s="5" t="s">
        <v>22</v>
      </c>
      <c r="L262" s="5" t="s">
        <v>22</v>
      </c>
      <c r="M262" s="5" t="s">
        <v>22</v>
      </c>
      <c r="N262" s="5" t="s">
        <v>23</v>
      </c>
      <c r="O262" s="5" t="s">
        <v>22</v>
      </c>
      <c r="P262" s="5" t="s">
        <v>22</v>
      </c>
      <c r="Q262" s="7"/>
      <c r="R262" s="6" t="s">
        <v>451</v>
      </c>
      <c r="S262" s="6">
        <f>IF(NOT(ISBLANK(E262)), ROUND(((IF(E262="yes",1,0)*'Grading Scale'!E$2)+(IF(F262="yes",1,0)*'Grading Scale'!E$3)+(IF(G262="yes",1,0)*'Grading Scale'!E$4)+(IF(H262="yes",1,0)*'Grading Scale'!E$5)+(IF(I262="yes",1,0)*'Grading Scale'!E$6)+(IF(J262="yes",1,0)*'Grading Scale'!E$7)+(IF(K262="yes",1,0)*'Grading Scale'!E$8)+(IF(L262="yes",1,0)*'Grading Scale'!E$9)+(IF(M262="yes",1,0)*'Grading Scale'!E$10)+(IF(N262="yes",1,0)*'Grading Scale'!E$11)+(IF(O262="yes",1,0)*'Grading Scale'!E$12)+(IF(P262="yes",1,0)*'Grading Scale'!E$13))/'Grading Scale'!E$14*100,0), "")</f>
        <v>0</v>
      </c>
      <c r="T262" s="6" t="str">
        <f>IF(ISNUMBER(S262),VLOOKUP(S262,'Grading Scale'!$A$2:$B$14, 2), "")</f>
        <v>F</v>
      </c>
      <c r="U262" s="7"/>
      <c r="V262" s="7"/>
      <c r="W262" s="7"/>
      <c r="X262" s="7"/>
      <c r="Y262" s="7"/>
      <c r="Z262" s="7"/>
      <c r="AA262" s="7"/>
      <c r="AB262" s="7"/>
      <c r="AC262" s="7"/>
      <c r="AD262" s="7"/>
      <c r="AE262" s="7"/>
      <c r="AF262" s="7"/>
      <c r="AG262" s="7"/>
      <c r="AH262" s="7"/>
      <c r="AI262" s="7"/>
      <c r="AJ262" s="7"/>
    </row>
    <row r="263">
      <c r="A263" s="10">
        <v>42338.0</v>
      </c>
      <c r="B263" s="6" t="s">
        <v>452</v>
      </c>
      <c r="C263" s="6" t="s">
        <v>21</v>
      </c>
      <c r="D263" s="6" t="str">
        <f>IF(NOT(ISBLANK(C263)), VLOOKUP(C263,'Dataset Descriptions'!$A$2:$B$10, 2, FALSE), "")</f>
        <v>The geographic coordinates for physical addresses.</v>
      </c>
      <c r="E263" s="6" t="s">
        <v>23</v>
      </c>
      <c r="F263" s="6" t="s">
        <v>23</v>
      </c>
      <c r="G263" s="6" t="s">
        <v>23</v>
      </c>
      <c r="H263" s="6" t="s">
        <v>23</v>
      </c>
      <c r="I263" s="6" t="s">
        <v>23</v>
      </c>
      <c r="J263" s="6" t="s">
        <v>23</v>
      </c>
      <c r="K263" s="6" t="s">
        <v>23</v>
      </c>
      <c r="L263" s="6" t="s">
        <v>23</v>
      </c>
      <c r="M263" s="6" t="s">
        <v>23</v>
      </c>
      <c r="N263" s="6" t="s">
        <v>23</v>
      </c>
      <c r="O263" s="6" t="s">
        <v>23</v>
      </c>
      <c r="P263" s="6" t="s">
        <v>23</v>
      </c>
      <c r="Q263" s="8"/>
      <c r="R263" s="11"/>
      <c r="S263" s="6">
        <f>IF(NOT(ISBLANK(E263)), ROUND(((IF(E263="yes",1,0)*'Grading Scale'!E$2)+(IF(F263="yes",1,0)*'Grading Scale'!E$3)+(IF(G263="yes",1,0)*'Grading Scale'!E$4)+(IF(H263="yes",1,0)*'Grading Scale'!E$5)+(IF(I263="yes",1,0)*'Grading Scale'!E$6)+(IF(J263="yes",1,0)*'Grading Scale'!E$7)+(IF(K263="yes",1,0)*'Grading Scale'!E$8)+(IF(L263="yes",1,0)*'Grading Scale'!E$9)+(IF(M263="yes",1,0)*'Grading Scale'!E$10)+(IF(N263="yes",1,0)*'Grading Scale'!E$11)+(IF(O263="yes",1,0)*'Grading Scale'!E$12)+(IF(P263="yes",1,0)*'Grading Scale'!E$13))/'Grading Scale'!E$14*100,0), "")</f>
        <v>0</v>
      </c>
      <c r="T263" s="6" t="str">
        <f>IF(ISNUMBER(S263),VLOOKUP(S263,'Grading Scale'!$A$2:$B$14, 2), "")</f>
        <v>F</v>
      </c>
      <c r="U263" s="7"/>
      <c r="V263" s="7"/>
      <c r="W263" s="7"/>
      <c r="X263" s="7"/>
      <c r="Y263" s="7"/>
      <c r="Z263" s="7"/>
      <c r="AA263" s="7"/>
      <c r="AB263" s="7"/>
      <c r="AC263" s="7"/>
      <c r="AD263" s="7"/>
      <c r="AE263" s="7"/>
      <c r="AF263" s="7"/>
      <c r="AG263" s="7"/>
      <c r="AH263" s="7"/>
      <c r="AI263" s="7"/>
      <c r="AJ263" s="7"/>
    </row>
    <row r="264">
      <c r="A264" s="10">
        <v>42338.0</v>
      </c>
      <c r="B264" s="6" t="s">
        <v>452</v>
      </c>
      <c r="C264" s="6" t="s">
        <v>24</v>
      </c>
      <c r="D264" s="6" t="str">
        <f>IF(NOT(ISBLANK(C264)), VLOOKUP(C264,'Dataset Descriptions'!$A$2:$B$10, 2, FALSE), "")</f>
        <v>Transaction-level, per-agency spending records.</v>
      </c>
      <c r="E264" s="6" t="s">
        <v>25</v>
      </c>
      <c r="F264" s="6" t="s">
        <v>25</v>
      </c>
      <c r="G264" s="6" t="s">
        <v>25</v>
      </c>
      <c r="H264" s="6" t="s">
        <v>25</v>
      </c>
      <c r="I264" s="6" t="s">
        <v>25</v>
      </c>
      <c r="J264" s="6" t="s">
        <v>25</v>
      </c>
      <c r="K264" s="6" t="s">
        <v>25</v>
      </c>
      <c r="L264" s="6" t="s">
        <v>23</v>
      </c>
      <c r="M264" s="8"/>
      <c r="N264" s="6" t="s">
        <v>25</v>
      </c>
      <c r="O264" s="6" t="s">
        <v>25</v>
      </c>
      <c r="P264" s="6" t="s">
        <v>25</v>
      </c>
      <c r="Q264" s="15" t="s">
        <v>453</v>
      </c>
      <c r="R264" s="14" t="s">
        <v>454</v>
      </c>
      <c r="S264" s="6">
        <f>IF(NOT(ISBLANK(E264)), ROUND(((IF(E264="yes",1,0)*'Grading Scale'!E$2)+(IF(F264="yes",1,0)*'Grading Scale'!E$3)+(IF(G264="yes",1,0)*'Grading Scale'!E$4)+(IF(H264="yes",1,0)*'Grading Scale'!E$5)+(IF(I264="yes",1,0)*'Grading Scale'!E$6)+(IF(J264="yes",1,0)*'Grading Scale'!E$7)+(IF(K264="yes",1,0)*'Grading Scale'!E$8)+(IF(L264="yes",1,0)*'Grading Scale'!E$9)+(IF(M264="yes",1,0)*'Grading Scale'!E$10)+(IF(N264="yes",1,0)*'Grading Scale'!E$11)+(IF(O264="yes",1,0)*'Grading Scale'!E$12)+(IF(P264="yes",1,0)*'Grading Scale'!E$13))/'Grading Scale'!E$14*100,0), "")</f>
        <v>90</v>
      </c>
      <c r="T264" s="6" t="str">
        <f>IF(ISNUMBER(S264),VLOOKUP(S264,'Grading Scale'!$A$2:$B$14, 2), "")</f>
        <v>A−</v>
      </c>
      <c r="U264" s="7"/>
      <c r="V264" s="7"/>
      <c r="W264" s="7"/>
      <c r="X264" s="7"/>
      <c r="Y264" s="7"/>
      <c r="Z264" s="7"/>
      <c r="AA264" s="7"/>
      <c r="AB264" s="7"/>
      <c r="AC264" s="7"/>
      <c r="AD264" s="7"/>
      <c r="AE264" s="7"/>
      <c r="AF264" s="7"/>
      <c r="AG264" s="7"/>
      <c r="AH264" s="7"/>
      <c r="AI264" s="7"/>
      <c r="AJ264" s="7"/>
    </row>
    <row r="265">
      <c r="A265" s="10">
        <v>42338.0</v>
      </c>
      <c r="B265" s="6" t="s">
        <v>452</v>
      </c>
      <c r="C265" s="6" t="s">
        <v>28</v>
      </c>
      <c r="D265" s="6" t="str">
        <f>IF(NOT(ISBLANK(C265)), VLOOKUP(C265,'Dataset Descriptions'!$A$2:$B$10, 2, FALSE), "")</f>
        <v>The register of all corporations that exist in the state.</v>
      </c>
      <c r="E265" s="6" t="s">
        <v>25</v>
      </c>
      <c r="F265" s="6" t="s">
        <v>25</v>
      </c>
      <c r="G265" s="6" t="s">
        <v>25</v>
      </c>
      <c r="H265" s="6" t="s">
        <v>23</v>
      </c>
      <c r="I265" s="6" t="s">
        <v>25</v>
      </c>
      <c r="J265" s="6" t="s">
        <v>25</v>
      </c>
      <c r="K265" s="6" t="s">
        <v>23</v>
      </c>
      <c r="L265" s="6" t="s">
        <v>25</v>
      </c>
      <c r="M265" s="6" t="s">
        <v>25</v>
      </c>
      <c r="N265" s="6" t="s">
        <v>23</v>
      </c>
      <c r="O265" s="6" t="s">
        <v>25</v>
      </c>
      <c r="P265" s="6" t="s">
        <v>22</v>
      </c>
      <c r="Q265" s="15" t="s">
        <v>455</v>
      </c>
      <c r="R265" s="14" t="s">
        <v>456</v>
      </c>
      <c r="S265" s="6">
        <f>IF(NOT(ISBLANK(E265)), ROUND(((IF(E265="yes",1,0)*'Grading Scale'!E$2)+(IF(F265="yes",1,0)*'Grading Scale'!E$3)+(IF(G265="yes",1,0)*'Grading Scale'!E$4)+(IF(H265="yes",1,0)*'Grading Scale'!E$5)+(IF(I265="yes",1,0)*'Grading Scale'!E$6)+(IF(J265="yes",1,0)*'Grading Scale'!E$7)+(IF(K265="yes",1,0)*'Grading Scale'!E$8)+(IF(L265="yes",1,0)*'Grading Scale'!E$9)+(IF(M265="yes",1,0)*'Grading Scale'!E$10)+(IF(N265="yes",1,0)*'Grading Scale'!E$11)+(IF(O265="yes",1,0)*'Grading Scale'!E$12)+(IF(P265="yes",1,0)*'Grading Scale'!E$13))/'Grading Scale'!E$14*100,0), "")</f>
        <v>70</v>
      </c>
      <c r="T265" s="6" t="str">
        <f>IF(ISNUMBER(S265),VLOOKUP(S265,'Grading Scale'!$A$2:$B$14, 2), "")</f>
        <v>C−</v>
      </c>
      <c r="U265" s="7"/>
      <c r="V265" s="7"/>
      <c r="W265" s="7"/>
      <c r="X265" s="7"/>
      <c r="Y265" s="7"/>
      <c r="Z265" s="7"/>
      <c r="AA265" s="7"/>
      <c r="AB265" s="7"/>
      <c r="AC265" s="7"/>
      <c r="AD265" s="7"/>
      <c r="AE265" s="7"/>
      <c r="AF265" s="7"/>
      <c r="AG265" s="7"/>
      <c r="AH265" s="7"/>
      <c r="AI265" s="7"/>
      <c r="AJ265" s="7"/>
    </row>
    <row r="266">
      <c r="A266" s="10">
        <v>42338.0</v>
      </c>
      <c r="B266" s="6" t="s">
        <v>452</v>
      </c>
      <c r="C266" s="6" t="s">
        <v>31</v>
      </c>
      <c r="D266" s="6" t="str">
        <f>IF(NOT(ISBLANK(C266)), VLOOKUP(C266,'Dataset Descriptions'!$A$2:$B$10, 2, FALSE), "")</f>
        <v>Per-facility inmate population records.</v>
      </c>
      <c r="E266" s="6" t="s">
        <v>25</v>
      </c>
      <c r="F266" s="6" t="s">
        <v>25</v>
      </c>
      <c r="G266" s="6" t="s">
        <v>25</v>
      </c>
      <c r="H266" s="6" t="s">
        <v>25</v>
      </c>
      <c r="I266" s="6" t="s">
        <v>25</v>
      </c>
      <c r="J266" s="6" t="s">
        <v>23</v>
      </c>
      <c r="K266" s="6" t="s">
        <v>23</v>
      </c>
      <c r="L266" s="6" t="s">
        <v>23</v>
      </c>
      <c r="M266" s="6" t="s">
        <v>25</v>
      </c>
      <c r="N266" s="6" t="s">
        <v>23</v>
      </c>
      <c r="O266" s="6" t="s">
        <v>23</v>
      </c>
      <c r="P266" s="6" t="s">
        <v>23</v>
      </c>
      <c r="Q266" s="15" t="s">
        <v>457</v>
      </c>
      <c r="R266" s="14" t="s">
        <v>458</v>
      </c>
      <c r="S266" s="6">
        <f>IF(NOT(ISBLANK(E266)), ROUND(((IF(E266="yes",1,0)*'Grading Scale'!E$2)+(IF(F266="yes",1,0)*'Grading Scale'!E$3)+(IF(G266="yes",1,0)*'Grading Scale'!E$4)+(IF(H266="yes",1,0)*'Grading Scale'!E$5)+(IF(I266="yes",1,0)*'Grading Scale'!E$6)+(IF(J266="yes",1,0)*'Grading Scale'!E$7)+(IF(K266="yes",1,0)*'Grading Scale'!E$8)+(IF(L266="yes",1,0)*'Grading Scale'!E$9)+(IF(M266="yes",1,0)*'Grading Scale'!E$10)+(IF(N266="yes",1,0)*'Grading Scale'!E$11)+(IF(O266="yes",1,0)*'Grading Scale'!E$12)+(IF(P266="yes",1,0)*'Grading Scale'!E$13))/'Grading Scale'!E$14*100,0), "")</f>
        <v>35</v>
      </c>
      <c r="T266" s="6" t="str">
        <f>IF(ISNUMBER(S266),VLOOKUP(S266,'Grading Scale'!$A$2:$B$14, 2), "")</f>
        <v>F</v>
      </c>
      <c r="U266" s="7"/>
      <c r="V266" s="7"/>
      <c r="W266" s="7"/>
      <c r="X266" s="7"/>
      <c r="Y266" s="7"/>
      <c r="Z266" s="7"/>
      <c r="AA266" s="7"/>
      <c r="AB266" s="7"/>
      <c r="AC266" s="7"/>
      <c r="AD266" s="7"/>
      <c r="AE266" s="7"/>
      <c r="AF266" s="7"/>
      <c r="AG266" s="7"/>
      <c r="AH266" s="7"/>
      <c r="AI266" s="7"/>
      <c r="AJ266" s="7"/>
    </row>
    <row r="267">
      <c r="A267" s="10">
        <v>42338.0</v>
      </c>
      <c r="B267" s="6" t="s">
        <v>452</v>
      </c>
      <c r="C267" s="6" t="s">
        <v>34</v>
      </c>
      <c r="D267" s="6" t="str">
        <f>IF(NOT(ISBLANK(C267)), VLOOKUP(C267,'Dataset Descriptions'!$A$2:$B$10, 2, FALSE), "")</f>
        <v>Bills before the legislature, and the legislators that comprise it.</v>
      </c>
      <c r="E267" s="6" t="s">
        <v>25</v>
      </c>
      <c r="F267" s="6" t="s">
        <v>25</v>
      </c>
      <c r="G267" s="6" t="s">
        <v>25</v>
      </c>
      <c r="H267" s="6" t="s">
        <v>25</v>
      </c>
      <c r="I267" s="6" t="s">
        <v>25</v>
      </c>
      <c r="J267" s="6" t="s">
        <v>25</v>
      </c>
      <c r="K267" s="6" t="s">
        <v>25</v>
      </c>
      <c r="L267" s="6" t="s">
        <v>23</v>
      </c>
      <c r="M267" s="6" t="s">
        <v>25</v>
      </c>
      <c r="N267" s="6" t="s">
        <v>23</v>
      </c>
      <c r="O267" s="6" t="s">
        <v>23</v>
      </c>
      <c r="P267" s="6" t="s">
        <v>25</v>
      </c>
      <c r="Q267" s="15" t="s">
        <v>459</v>
      </c>
      <c r="R267" s="14" t="s">
        <v>460</v>
      </c>
      <c r="S267" s="6">
        <f>IF(NOT(ISBLANK(E267)), ROUND(((IF(E267="yes",1,0)*'Grading Scale'!E$2)+(IF(F267="yes",1,0)*'Grading Scale'!E$3)+(IF(G267="yes",1,0)*'Grading Scale'!E$4)+(IF(H267="yes",1,0)*'Grading Scale'!E$5)+(IF(I267="yes",1,0)*'Grading Scale'!E$6)+(IF(J267="yes",1,0)*'Grading Scale'!E$7)+(IF(K267="yes",1,0)*'Grading Scale'!E$8)+(IF(L267="yes",1,0)*'Grading Scale'!E$9)+(IF(M267="yes",1,0)*'Grading Scale'!E$10)+(IF(N267="yes",1,0)*'Grading Scale'!E$11)+(IF(O267="yes",1,0)*'Grading Scale'!E$12)+(IF(P267="yes",1,0)*'Grading Scale'!E$13))/'Grading Scale'!E$14*100,0), "")</f>
        <v>85</v>
      </c>
      <c r="T267" s="6" t="str">
        <f>IF(ISNUMBER(S267),VLOOKUP(S267,'Grading Scale'!$A$2:$B$14, 2), "")</f>
        <v>B</v>
      </c>
      <c r="U267" s="7"/>
      <c r="V267" s="7"/>
      <c r="W267" s="7"/>
      <c r="X267" s="7"/>
      <c r="Y267" s="7"/>
      <c r="Z267" s="7"/>
      <c r="AA267" s="7"/>
      <c r="AB267" s="7"/>
      <c r="AC267" s="7"/>
      <c r="AD267" s="7"/>
      <c r="AE267" s="7"/>
      <c r="AF267" s="7"/>
      <c r="AG267" s="7"/>
      <c r="AH267" s="7"/>
      <c r="AI267" s="7"/>
      <c r="AJ267" s="7"/>
    </row>
    <row r="268">
      <c r="A268" s="10">
        <v>42338.0</v>
      </c>
      <c r="B268" s="6" t="s">
        <v>452</v>
      </c>
      <c r="C268" s="6" t="s">
        <v>37</v>
      </c>
      <c r="D268" s="6" t="str">
        <f>IF(NOT(ISBLANK(C268)), VLOOKUP(C268,'Dataset Descriptions'!$A$2:$B$10, 2, FALSE), "")</f>
        <v>Forecasts of municipal-level changes in population over coming years.</v>
      </c>
      <c r="E268" s="6" t="s">
        <v>25</v>
      </c>
      <c r="F268" s="6" t="s">
        <v>25</v>
      </c>
      <c r="G268" s="6" t="s">
        <v>25</v>
      </c>
      <c r="H268" s="6" t="s">
        <v>25</v>
      </c>
      <c r="I268" s="6" t="s">
        <v>25</v>
      </c>
      <c r="J268" s="6" t="s">
        <v>25</v>
      </c>
      <c r="K268" s="6" t="s">
        <v>25</v>
      </c>
      <c r="L268" s="6" t="s">
        <v>23</v>
      </c>
      <c r="M268" s="6" t="s">
        <v>23</v>
      </c>
      <c r="N268" s="6" t="s">
        <v>23</v>
      </c>
      <c r="O268" s="6" t="s">
        <v>23</v>
      </c>
      <c r="P268" s="6" t="s">
        <v>23</v>
      </c>
      <c r="Q268" s="15" t="s">
        <v>461</v>
      </c>
      <c r="R268" s="14" t="s">
        <v>462</v>
      </c>
      <c r="S268" s="6">
        <f>IF(NOT(ISBLANK(E268)), ROUND(((IF(E268="yes",1,0)*'Grading Scale'!E$2)+(IF(F268="yes",1,0)*'Grading Scale'!E$3)+(IF(G268="yes",1,0)*'Grading Scale'!E$4)+(IF(H268="yes",1,0)*'Grading Scale'!E$5)+(IF(I268="yes",1,0)*'Grading Scale'!E$6)+(IF(J268="yes",1,0)*'Grading Scale'!E$7)+(IF(K268="yes",1,0)*'Grading Scale'!E$8)+(IF(L268="yes",1,0)*'Grading Scale'!E$9)+(IF(M268="yes",1,0)*'Grading Scale'!E$10)+(IF(N268="yes",1,0)*'Grading Scale'!E$11)+(IF(O268="yes",1,0)*'Grading Scale'!E$12)+(IF(P268="yes",1,0)*'Grading Scale'!E$13))/'Grading Scale'!E$14*100,0), "")</f>
        <v>75</v>
      </c>
      <c r="T268" s="6" t="str">
        <f>IF(ISNUMBER(S268),VLOOKUP(S268,'Grading Scale'!$A$2:$B$14, 2), "")</f>
        <v>C</v>
      </c>
      <c r="U268" s="7"/>
      <c r="V268" s="7"/>
      <c r="W268" s="7"/>
      <c r="X268" s="7"/>
      <c r="Y268" s="7"/>
      <c r="Z268" s="7"/>
      <c r="AA268" s="7"/>
      <c r="AB268" s="7"/>
      <c r="AC268" s="7"/>
      <c r="AD268" s="7"/>
      <c r="AE268" s="7"/>
      <c r="AF268" s="7"/>
      <c r="AG268" s="7"/>
      <c r="AH268" s="7"/>
      <c r="AI268" s="7"/>
      <c r="AJ268" s="7"/>
    </row>
    <row r="269">
      <c r="A269" s="10">
        <v>42338.0</v>
      </c>
      <c r="B269" s="6" t="s">
        <v>452</v>
      </c>
      <c r="C269" s="6" t="s">
        <v>40</v>
      </c>
      <c r="D269" s="6" t="str">
        <f>IF(NOT(ISBLANK(C269)), VLOOKUP(C269,'Dataset Descriptions'!$A$2:$B$10, 2, FALSE), "")</f>
        <v>State-owned land and buildings.</v>
      </c>
      <c r="E269" s="6" t="s">
        <v>23</v>
      </c>
      <c r="F269" s="6" t="s">
        <v>23</v>
      </c>
      <c r="G269" s="6" t="s">
        <v>23</v>
      </c>
      <c r="H269" s="6" t="s">
        <v>23</v>
      </c>
      <c r="I269" s="6" t="s">
        <v>23</v>
      </c>
      <c r="J269" s="6" t="s">
        <v>23</v>
      </c>
      <c r="K269" s="6" t="s">
        <v>23</v>
      </c>
      <c r="L269" s="6" t="s">
        <v>23</v>
      </c>
      <c r="M269" s="6" t="s">
        <v>23</v>
      </c>
      <c r="N269" s="6" t="s">
        <v>23</v>
      </c>
      <c r="O269" s="6" t="s">
        <v>23</v>
      </c>
      <c r="P269" s="6" t="s">
        <v>23</v>
      </c>
      <c r="Q269" s="8"/>
      <c r="R269" s="11"/>
      <c r="S269" s="6">
        <f>IF(NOT(ISBLANK(E269)), ROUND(((IF(E269="yes",1,0)*'Grading Scale'!E$2)+(IF(F269="yes",1,0)*'Grading Scale'!E$3)+(IF(G269="yes",1,0)*'Grading Scale'!E$4)+(IF(H269="yes",1,0)*'Grading Scale'!E$5)+(IF(I269="yes",1,0)*'Grading Scale'!E$6)+(IF(J269="yes",1,0)*'Grading Scale'!E$7)+(IF(K269="yes",1,0)*'Grading Scale'!E$8)+(IF(L269="yes",1,0)*'Grading Scale'!E$9)+(IF(M269="yes",1,0)*'Grading Scale'!E$10)+(IF(N269="yes",1,0)*'Grading Scale'!E$11)+(IF(O269="yes",1,0)*'Grading Scale'!E$12)+(IF(P269="yes",1,0)*'Grading Scale'!E$13))/'Grading Scale'!E$14*100,0), "")</f>
        <v>0</v>
      </c>
      <c r="T269" s="6" t="str">
        <f>IF(ISNUMBER(S269),VLOOKUP(S269,'Grading Scale'!$A$2:$B$14, 2), "")</f>
        <v>F</v>
      </c>
      <c r="U269" s="7"/>
      <c r="V269" s="7"/>
      <c r="W269" s="7"/>
      <c r="X269" s="7"/>
      <c r="Y269" s="7"/>
      <c r="Z269" s="7"/>
      <c r="AA269" s="7"/>
      <c r="AB269" s="7"/>
      <c r="AC269" s="7"/>
      <c r="AD269" s="7"/>
      <c r="AE269" s="7"/>
      <c r="AF269" s="7"/>
      <c r="AG269" s="7"/>
      <c r="AH269" s="7"/>
      <c r="AI269" s="7"/>
      <c r="AJ269" s="7"/>
    </row>
    <row r="270">
      <c r="A270" s="10">
        <v>42338.0</v>
      </c>
      <c r="B270" s="6" t="s">
        <v>452</v>
      </c>
      <c r="C270" s="6" t="s">
        <v>43</v>
      </c>
      <c r="D270" s="6" t="str">
        <f>IF(NOT(ISBLANK(C270)), VLOOKUP(C270,'Dataset Descriptions'!$A$2:$B$10, 2, FALSE), "")</f>
        <v>Health inspections of establishments that serve food to the public.</v>
      </c>
      <c r="E270" s="6" t="s">
        <v>23</v>
      </c>
      <c r="F270" s="6" t="s">
        <v>23</v>
      </c>
      <c r="G270" s="6" t="s">
        <v>23</v>
      </c>
      <c r="H270" s="6" t="s">
        <v>23</v>
      </c>
      <c r="I270" s="6" t="s">
        <v>23</v>
      </c>
      <c r="J270" s="6" t="s">
        <v>23</v>
      </c>
      <c r="K270" s="6" t="s">
        <v>23</v>
      </c>
      <c r="L270" s="6" t="s">
        <v>23</v>
      </c>
      <c r="M270" s="6" t="s">
        <v>23</v>
      </c>
      <c r="N270" s="6" t="s">
        <v>23</v>
      </c>
      <c r="O270" s="6" t="s">
        <v>23</v>
      </c>
      <c r="P270" s="6" t="s">
        <v>23</v>
      </c>
      <c r="Q270" s="8"/>
      <c r="R270" s="11"/>
      <c r="S270" s="6">
        <f>IF(NOT(ISBLANK(E270)), ROUND(((IF(E270="yes",1,0)*'Grading Scale'!E$2)+(IF(F270="yes",1,0)*'Grading Scale'!E$3)+(IF(G270="yes",1,0)*'Grading Scale'!E$4)+(IF(H270="yes",1,0)*'Grading Scale'!E$5)+(IF(I270="yes",1,0)*'Grading Scale'!E$6)+(IF(J270="yes",1,0)*'Grading Scale'!E$7)+(IF(K270="yes",1,0)*'Grading Scale'!E$8)+(IF(L270="yes",1,0)*'Grading Scale'!E$9)+(IF(M270="yes",1,0)*'Grading Scale'!E$10)+(IF(N270="yes",1,0)*'Grading Scale'!E$11)+(IF(O270="yes",1,0)*'Grading Scale'!E$12)+(IF(P270="yes",1,0)*'Grading Scale'!E$13))/'Grading Scale'!E$14*100,0), "")</f>
        <v>0</v>
      </c>
      <c r="T270" s="6" t="str">
        <f>IF(ISNUMBER(S270),VLOOKUP(S270,'Grading Scale'!$A$2:$B$14, 2), "")</f>
        <v>F</v>
      </c>
      <c r="U270" s="7"/>
      <c r="V270" s="7"/>
      <c r="W270" s="7"/>
      <c r="X270" s="7"/>
      <c r="Y270" s="7"/>
      <c r="Z270" s="7"/>
      <c r="AA270" s="7"/>
      <c r="AB270" s="7"/>
      <c r="AC270" s="7"/>
      <c r="AD270" s="7"/>
      <c r="AE270" s="7"/>
      <c r="AF270" s="7"/>
      <c r="AG270" s="7"/>
      <c r="AH270" s="7"/>
      <c r="AI270" s="7"/>
      <c r="AJ270" s="7"/>
    </row>
    <row r="271">
      <c r="A271" s="10">
        <v>42338.0</v>
      </c>
      <c r="B271" s="6" t="s">
        <v>452</v>
      </c>
      <c r="C271" s="6" t="s">
        <v>46</v>
      </c>
      <c r="D271" s="6" t="str">
        <f>IF(NOT(ISBLANK(C271)), VLOOKUP(C271,'Dataset Descriptions'!$A$2:$B$10, 2, FALSE), "")</f>
        <v>Incident-level reportable motor vehicle crash records.</v>
      </c>
      <c r="E271" s="6" t="s">
        <v>25</v>
      </c>
      <c r="F271" s="6" t="s">
        <v>25</v>
      </c>
      <c r="G271" s="6" t="s">
        <v>25</v>
      </c>
      <c r="H271" s="6" t="s">
        <v>25</v>
      </c>
      <c r="I271" s="6" t="s">
        <v>25</v>
      </c>
      <c r="J271" s="6" t="s">
        <v>23</v>
      </c>
      <c r="K271" s="6" t="s">
        <v>23</v>
      </c>
      <c r="L271" s="6" t="s">
        <v>23</v>
      </c>
      <c r="M271" s="6" t="s">
        <v>23</v>
      </c>
      <c r="N271" s="6" t="s">
        <v>23</v>
      </c>
      <c r="O271" s="6" t="s">
        <v>23</v>
      </c>
      <c r="P271" s="6" t="s">
        <v>23</v>
      </c>
      <c r="Q271" s="15" t="s">
        <v>463</v>
      </c>
      <c r="R271" s="14" t="s">
        <v>464</v>
      </c>
      <c r="S271" s="6">
        <f>IF(NOT(ISBLANK(E271)), ROUND(((IF(E271="yes",1,0)*'Grading Scale'!E$2)+(IF(F271="yes",1,0)*'Grading Scale'!E$3)+(IF(G271="yes",1,0)*'Grading Scale'!E$4)+(IF(H271="yes",1,0)*'Grading Scale'!E$5)+(IF(I271="yes",1,0)*'Grading Scale'!E$6)+(IF(J271="yes",1,0)*'Grading Scale'!E$7)+(IF(K271="yes",1,0)*'Grading Scale'!E$8)+(IF(L271="yes",1,0)*'Grading Scale'!E$9)+(IF(M271="yes",1,0)*'Grading Scale'!E$10)+(IF(N271="yes",1,0)*'Grading Scale'!E$11)+(IF(O271="yes",1,0)*'Grading Scale'!E$12)+(IF(P271="yes",1,0)*'Grading Scale'!E$13))/'Grading Scale'!E$14*100,0), "")</f>
        <v>30</v>
      </c>
      <c r="T271" s="6" t="str">
        <f>IF(ISNUMBER(S271),VLOOKUP(S271,'Grading Scale'!$A$2:$B$14, 2), "")</f>
        <v>F</v>
      </c>
      <c r="U271" s="7"/>
      <c r="V271" s="7"/>
      <c r="W271" s="7"/>
      <c r="X271" s="7"/>
      <c r="Y271" s="7"/>
      <c r="Z271" s="7"/>
      <c r="AA271" s="7"/>
      <c r="AB271" s="7"/>
      <c r="AC271" s="7"/>
      <c r="AD271" s="7"/>
      <c r="AE271" s="7"/>
      <c r="AF271" s="7"/>
      <c r="AG271" s="7"/>
      <c r="AH271" s="7"/>
      <c r="AI271" s="7"/>
      <c r="AJ271" s="7"/>
    </row>
    <row r="272">
      <c r="A272" s="4">
        <v>42389.0</v>
      </c>
      <c r="B272" s="5" t="s">
        <v>465</v>
      </c>
      <c r="C272" s="5" t="s">
        <v>21</v>
      </c>
      <c r="D272" s="6" t="str">
        <f>IF(NOT(ISBLANK(C272)), VLOOKUP(C272,'Dataset Descriptions'!$A$2:$B$10, 2, FALSE), "")</f>
        <v>The geographic coordinates for physical addresses.</v>
      </c>
      <c r="E272" s="5" t="s">
        <v>23</v>
      </c>
      <c r="F272" s="5" t="s">
        <v>23</v>
      </c>
      <c r="G272" s="5" t="s">
        <v>23</v>
      </c>
      <c r="H272" s="5" t="s">
        <v>23</v>
      </c>
      <c r="I272" s="5" t="s">
        <v>23</v>
      </c>
      <c r="J272" s="5" t="s">
        <v>23</v>
      </c>
      <c r="K272" s="5" t="s">
        <v>23</v>
      </c>
      <c r="L272" s="5" t="s">
        <v>23</v>
      </c>
      <c r="M272" s="5" t="s">
        <v>23</v>
      </c>
      <c r="N272" s="5" t="s">
        <v>23</v>
      </c>
      <c r="O272" s="5" t="s">
        <v>23</v>
      </c>
      <c r="P272" s="5" t="s">
        <v>23</v>
      </c>
      <c r="Q272" s="7"/>
      <c r="R272" s="8"/>
      <c r="S272" s="6">
        <f>IF(NOT(ISBLANK(E272)), ROUND(((IF(E272="yes",1,0)*'Grading Scale'!E$2)+(IF(F272="yes",1,0)*'Grading Scale'!E$3)+(IF(G272="yes",1,0)*'Grading Scale'!E$4)+(IF(H272="yes",1,0)*'Grading Scale'!E$5)+(IF(I272="yes",1,0)*'Grading Scale'!E$6)+(IF(J272="yes",1,0)*'Grading Scale'!E$7)+(IF(K272="yes",1,0)*'Grading Scale'!E$8)+(IF(L272="yes",1,0)*'Grading Scale'!E$9)+(IF(M272="yes",1,0)*'Grading Scale'!E$10)+(IF(N272="yes",1,0)*'Grading Scale'!E$11)+(IF(O272="yes",1,0)*'Grading Scale'!E$12)+(IF(P272="yes",1,0)*'Grading Scale'!E$13))/'Grading Scale'!E$14*100,0), "")</f>
        <v>0</v>
      </c>
      <c r="T272" s="6" t="str">
        <f>IF(ISNUMBER(S272),VLOOKUP(S272,'Grading Scale'!$A$2:$B$14, 2), "")</f>
        <v>F</v>
      </c>
      <c r="U272" s="7"/>
      <c r="V272" s="7"/>
      <c r="W272" s="7"/>
      <c r="X272" s="7"/>
      <c r="Y272" s="7"/>
      <c r="Z272" s="7"/>
      <c r="AA272" s="7"/>
      <c r="AB272" s="7"/>
      <c r="AC272" s="7"/>
      <c r="AD272" s="7"/>
      <c r="AE272" s="7"/>
      <c r="AF272" s="7"/>
      <c r="AG272" s="7"/>
      <c r="AH272" s="7"/>
      <c r="AI272" s="7"/>
      <c r="AJ272" s="7"/>
    </row>
    <row r="273">
      <c r="A273" s="4">
        <v>42389.0</v>
      </c>
      <c r="B273" s="5" t="s">
        <v>465</v>
      </c>
      <c r="C273" s="5" t="s">
        <v>24</v>
      </c>
      <c r="D273" s="6" t="str">
        <f>IF(NOT(ISBLANK(C273)), VLOOKUP(C273,'Dataset Descriptions'!$A$2:$B$10, 2, FALSE), "")</f>
        <v>Transaction-level, per-agency spending records.</v>
      </c>
      <c r="E273" s="5" t="s">
        <v>25</v>
      </c>
      <c r="F273" s="5" t="s">
        <v>25</v>
      </c>
      <c r="G273" s="5" t="s">
        <v>25</v>
      </c>
      <c r="H273" s="5" t="s">
        <v>25</v>
      </c>
      <c r="I273" s="5" t="s">
        <v>25</v>
      </c>
      <c r="J273" s="5" t="s">
        <v>25</v>
      </c>
      <c r="K273" s="5" t="s">
        <v>23</v>
      </c>
      <c r="L273" s="5" t="s">
        <v>25</v>
      </c>
      <c r="M273" s="5" t="s">
        <v>25</v>
      </c>
      <c r="N273" s="5" t="s">
        <v>23</v>
      </c>
      <c r="O273" s="5" t="s">
        <v>23</v>
      </c>
      <c r="P273" s="5" t="s">
        <v>23</v>
      </c>
      <c r="Q273" s="9" t="s">
        <v>466</v>
      </c>
      <c r="R273" s="6" t="s">
        <v>467</v>
      </c>
      <c r="S273" s="6">
        <f>IF(NOT(ISBLANK(E273)), ROUND(((IF(E273="yes",1,0)*'Grading Scale'!E$2)+(IF(F273="yes",1,0)*'Grading Scale'!E$3)+(IF(G273="yes",1,0)*'Grading Scale'!E$4)+(IF(H273="yes",1,0)*'Grading Scale'!E$5)+(IF(I273="yes",1,0)*'Grading Scale'!E$6)+(IF(J273="yes",1,0)*'Grading Scale'!E$7)+(IF(K273="yes",1,0)*'Grading Scale'!E$8)+(IF(L273="yes",1,0)*'Grading Scale'!E$9)+(IF(M273="yes",1,0)*'Grading Scale'!E$10)+(IF(N273="yes",1,0)*'Grading Scale'!E$11)+(IF(O273="yes",1,0)*'Grading Scale'!E$12)+(IF(P273="yes",1,0)*'Grading Scale'!E$13))/'Grading Scale'!E$14*100,0), "")</f>
        <v>80</v>
      </c>
      <c r="T273" s="6" t="str">
        <f>IF(ISNUMBER(S273),VLOOKUP(S273,'Grading Scale'!$A$2:$B$14, 2), "")</f>
        <v>B−</v>
      </c>
      <c r="U273" s="7"/>
      <c r="V273" s="7"/>
      <c r="W273" s="7"/>
      <c r="X273" s="7"/>
      <c r="Y273" s="7"/>
      <c r="Z273" s="7"/>
      <c r="AA273" s="7"/>
      <c r="AB273" s="7"/>
      <c r="AC273" s="7"/>
      <c r="AD273" s="7"/>
      <c r="AE273" s="7"/>
      <c r="AF273" s="7"/>
      <c r="AG273" s="7"/>
      <c r="AH273" s="7"/>
      <c r="AI273" s="7"/>
      <c r="AJ273" s="7"/>
    </row>
    <row r="274">
      <c r="A274" s="4">
        <v>42389.0</v>
      </c>
      <c r="B274" s="5" t="s">
        <v>465</v>
      </c>
      <c r="C274" s="5" t="s">
        <v>28</v>
      </c>
      <c r="D274" s="6" t="str">
        <f>IF(NOT(ISBLANK(C274)), VLOOKUP(C274,'Dataset Descriptions'!$A$2:$B$10, 2, FALSE), "")</f>
        <v>The register of all corporations that exist in the state.</v>
      </c>
      <c r="E274" s="5" t="s">
        <v>25</v>
      </c>
      <c r="F274" s="5" t="s">
        <v>25</v>
      </c>
      <c r="G274" s="5" t="s">
        <v>25</v>
      </c>
      <c r="H274" s="5" t="s">
        <v>25</v>
      </c>
      <c r="I274" s="5" t="s">
        <v>25</v>
      </c>
      <c r="J274" s="5" t="s">
        <v>23</v>
      </c>
      <c r="K274" s="5" t="s">
        <v>23</v>
      </c>
      <c r="L274" s="5" t="s">
        <v>25</v>
      </c>
      <c r="M274" s="5" t="s">
        <v>25</v>
      </c>
      <c r="N274" s="5" t="s">
        <v>23</v>
      </c>
      <c r="O274" s="5" t="s">
        <v>25</v>
      </c>
      <c r="P274" s="5" t="s">
        <v>25</v>
      </c>
      <c r="Q274" s="9" t="s">
        <v>468</v>
      </c>
      <c r="R274" s="8"/>
      <c r="S274" s="6">
        <f>IF(NOT(ISBLANK(E274)), ROUND(((IF(E274="yes",1,0)*'Grading Scale'!E$2)+(IF(F274="yes",1,0)*'Grading Scale'!E$3)+(IF(G274="yes",1,0)*'Grading Scale'!E$4)+(IF(H274="yes",1,0)*'Grading Scale'!E$5)+(IF(I274="yes",1,0)*'Grading Scale'!E$6)+(IF(J274="yes",1,0)*'Grading Scale'!E$7)+(IF(K274="yes",1,0)*'Grading Scale'!E$8)+(IF(L274="yes",1,0)*'Grading Scale'!E$9)+(IF(M274="yes",1,0)*'Grading Scale'!E$10)+(IF(N274="yes",1,0)*'Grading Scale'!E$11)+(IF(O274="yes",1,0)*'Grading Scale'!E$12)+(IF(P274="yes",1,0)*'Grading Scale'!E$13))/'Grading Scale'!E$14*100,0), "")</f>
        <v>50</v>
      </c>
      <c r="T274" s="6" t="str">
        <f>IF(ISNUMBER(S274),VLOOKUP(S274,'Grading Scale'!$A$2:$B$14, 2), "")</f>
        <v>F</v>
      </c>
      <c r="U274" s="7"/>
      <c r="V274" s="7"/>
      <c r="W274" s="7"/>
      <c r="X274" s="7"/>
      <c r="Y274" s="7"/>
      <c r="Z274" s="7"/>
      <c r="AA274" s="7"/>
      <c r="AB274" s="7"/>
      <c r="AC274" s="7"/>
      <c r="AD274" s="7"/>
      <c r="AE274" s="7"/>
      <c r="AF274" s="7"/>
      <c r="AG274" s="7"/>
      <c r="AH274" s="7"/>
      <c r="AI274" s="7"/>
      <c r="AJ274" s="7"/>
    </row>
    <row r="275">
      <c r="A275" s="4">
        <v>42389.0</v>
      </c>
      <c r="B275" s="5" t="s">
        <v>465</v>
      </c>
      <c r="C275" s="5" t="s">
        <v>31</v>
      </c>
      <c r="D275" s="6" t="str">
        <f>IF(NOT(ISBLANK(C275)), VLOOKUP(C275,'Dataset Descriptions'!$A$2:$B$10, 2, FALSE), "")</f>
        <v>Per-facility inmate population records.</v>
      </c>
      <c r="E275" s="5" t="s">
        <v>22</v>
      </c>
      <c r="F275" s="5" t="s">
        <v>22</v>
      </c>
      <c r="G275" s="5" t="s">
        <v>22</v>
      </c>
      <c r="H275" s="5" t="s">
        <v>22</v>
      </c>
      <c r="I275" s="5" t="s">
        <v>23</v>
      </c>
      <c r="J275" s="5" t="s">
        <v>22</v>
      </c>
      <c r="K275" s="5" t="s">
        <v>22</v>
      </c>
      <c r="L275" s="5" t="s">
        <v>22</v>
      </c>
      <c r="M275" s="5" t="s">
        <v>22</v>
      </c>
      <c r="N275" s="5" t="s">
        <v>23</v>
      </c>
      <c r="O275" s="5" t="s">
        <v>22</v>
      </c>
      <c r="P275" s="5" t="s">
        <v>22</v>
      </c>
      <c r="Q275" s="7"/>
      <c r="R275" s="6" t="s">
        <v>469</v>
      </c>
      <c r="S275" s="6">
        <f>IF(NOT(ISBLANK(E275)), ROUND(((IF(E275="yes",1,0)*'Grading Scale'!E$2)+(IF(F275="yes",1,0)*'Grading Scale'!E$3)+(IF(G275="yes",1,0)*'Grading Scale'!E$4)+(IF(H275="yes",1,0)*'Grading Scale'!E$5)+(IF(I275="yes",1,0)*'Grading Scale'!E$6)+(IF(J275="yes",1,0)*'Grading Scale'!E$7)+(IF(K275="yes",1,0)*'Grading Scale'!E$8)+(IF(L275="yes",1,0)*'Grading Scale'!E$9)+(IF(M275="yes",1,0)*'Grading Scale'!E$10)+(IF(N275="yes",1,0)*'Grading Scale'!E$11)+(IF(O275="yes",1,0)*'Grading Scale'!E$12)+(IF(P275="yes",1,0)*'Grading Scale'!E$13))/'Grading Scale'!E$14*100,0), "")</f>
        <v>0</v>
      </c>
      <c r="T275" s="6" t="str">
        <f>IF(ISNUMBER(S275),VLOOKUP(S275,'Grading Scale'!$A$2:$B$14, 2), "")</f>
        <v>F</v>
      </c>
      <c r="U275" s="7"/>
      <c r="V275" s="7"/>
      <c r="W275" s="7"/>
      <c r="X275" s="7"/>
      <c r="Y275" s="7"/>
      <c r="Z275" s="7"/>
      <c r="AA275" s="7"/>
      <c r="AB275" s="7"/>
      <c r="AC275" s="7"/>
      <c r="AD275" s="7"/>
      <c r="AE275" s="7"/>
      <c r="AF275" s="7"/>
      <c r="AG275" s="7"/>
      <c r="AH275" s="7"/>
      <c r="AI275" s="7"/>
      <c r="AJ275" s="7"/>
    </row>
    <row r="276">
      <c r="A276" s="4">
        <v>42389.0</v>
      </c>
      <c r="B276" s="5" t="s">
        <v>465</v>
      </c>
      <c r="C276" s="5" t="s">
        <v>34</v>
      </c>
      <c r="D276" s="6" t="str">
        <f>IF(NOT(ISBLANK(C276)), VLOOKUP(C276,'Dataset Descriptions'!$A$2:$B$10, 2, FALSE), "")</f>
        <v>Bills before the legislature, and the legislators that comprise it.</v>
      </c>
      <c r="E276" s="5" t="s">
        <v>25</v>
      </c>
      <c r="F276" s="5" t="s">
        <v>25</v>
      </c>
      <c r="G276" s="5" t="s">
        <v>25</v>
      </c>
      <c r="H276" s="5" t="s">
        <v>25</v>
      </c>
      <c r="I276" s="5" t="s">
        <v>25</v>
      </c>
      <c r="J276" s="5" t="s">
        <v>23</v>
      </c>
      <c r="K276" s="5" t="s">
        <v>23</v>
      </c>
      <c r="L276" s="5" t="s">
        <v>23</v>
      </c>
      <c r="M276" s="5" t="s">
        <v>25</v>
      </c>
      <c r="N276" s="5" t="s">
        <v>23</v>
      </c>
      <c r="O276" s="5" t="s">
        <v>23</v>
      </c>
      <c r="P276" s="5" t="s">
        <v>25</v>
      </c>
      <c r="Q276" s="9" t="s">
        <v>470</v>
      </c>
      <c r="R276" s="8"/>
      <c r="S276" s="6">
        <f>IF(NOT(ISBLANK(E276)), ROUND(((IF(E276="yes",1,0)*'Grading Scale'!E$2)+(IF(F276="yes",1,0)*'Grading Scale'!E$3)+(IF(G276="yes",1,0)*'Grading Scale'!E$4)+(IF(H276="yes",1,0)*'Grading Scale'!E$5)+(IF(I276="yes",1,0)*'Grading Scale'!E$6)+(IF(J276="yes",1,0)*'Grading Scale'!E$7)+(IF(K276="yes",1,0)*'Grading Scale'!E$8)+(IF(L276="yes",1,0)*'Grading Scale'!E$9)+(IF(M276="yes",1,0)*'Grading Scale'!E$10)+(IF(N276="yes",1,0)*'Grading Scale'!E$11)+(IF(O276="yes",1,0)*'Grading Scale'!E$12)+(IF(P276="yes",1,0)*'Grading Scale'!E$13))/'Grading Scale'!E$14*100,0), "")</f>
        <v>40</v>
      </c>
      <c r="T276" s="6" t="str">
        <f>IF(ISNUMBER(S276),VLOOKUP(S276,'Grading Scale'!$A$2:$B$14, 2), "")</f>
        <v>F</v>
      </c>
      <c r="U276" s="7"/>
      <c r="V276" s="7"/>
      <c r="W276" s="7"/>
      <c r="X276" s="7"/>
      <c r="Y276" s="7"/>
      <c r="Z276" s="7"/>
      <c r="AA276" s="7"/>
      <c r="AB276" s="7"/>
      <c r="AC276" s="7"/>
      <c r="AD276" s="7"/>
      <c r="AE276" s="7"/>
      <c r="AF276" s="7"/>
      <c r="AG276" s="7"/>
      <c r="AH276" s="7"/>
      <c r="AI276" s="7"/>
      <c r="AJ276" s="7"/>
    </row>
    <row r="277">
      <c r="A277" s="4">
        <v>42390.0</v>
      </c>
      <c r="B277" s="5" t="s">
        <v>465</v>
      </c>
      <c r="C277" s="6" t="s">
        <v>37</v>
      </c>
      <c r="D277" s="6" t="str">
        <f>IF(NOT(ISBLANK(C277)), VLOOKUP(C277,'Dataset Descriptions'!$A$2:$B$10, 2, FALSE), "")</f>
        <v>Forecasts of municipal-level changes in population over coming years.</v>
      </c>
      <c r="E277" s="5" t="s">
        <v>25</v>
      </c>
      <c r="F277" s="5" t="s">
        <v>25</v>
      </c>
      <c r="G277" s="5" t="s">
        <v>25</v>
      </c>
      <c r="H277" s="5" t="s">
        <v>25</v>
      </c>
      <c r="I277" s="5" t="s">
        <v>25</v>
      </c>
      <c r="J277" s="5" t="s">
        <v>25</v>
      </c>
      <c r="K277" s="5" t="s">
        <v>25</v>
      </c>
      <c r="L277" s="5" t="s">
        <v>25</v>
      </c>
      <c r="M277" s="5" t="s">
        <v>25</v>
      </c>
      <c r="N277" s="5" t="s">
        <v>23</v>
      </c>
      <c r="O277" s="5" t="s">
        <v>23</v>
      </c>
      <c r="P277" s="5" t="s">
        <v>23</v>
      </c>
      <c r="Q277" s="9" t="s">
        <v>471</v>
      </c>
      <c r="R277" s="23" t="s">
        <v>88</v>
      </c>
      <c r="S277" s="6">
        <f>IF(NOT(ISBLANK(E277)), ROUND(((IF(E277="yes",1,0)*'Grading Scale'!E$2)+(IF(F277="yes",1,0)*'Grading Scale'!E$3)+(IF(G277="yes",1,0)*'Grading Scale'!E$4)+(IF(H277="yes",1,0)*'Grading Scale'!E$5)+(IF(I277="yes",1,0)*'Grading Scale'!E$6)+(IF(J277="yes",1,0)*'Grading Scale'!E$7)+(IF(K277="yes",1,0)*'Grading Scale'!E$8)+(IF(L277="yes",1,0)*'Grading Scale'!E$9)+(IF(M277="yes",1,0)*'Grading Scale'!E$10)+(IF(N277="yes",1,0)*'Grading Scale'!E$11)+(IF(O277="yes",1,0)*'Grading Scale'!E$12)+(IF(P277="yes",1,0)*'Grading Scale'!E$13))/'Grading Scale'!E$14*100,0), "")</f>
        <v>85</v>
      </c>
      <c r="T277" s="6" t="str">
        <f>IF(ISNUMBER(S277),VLOOKUP(S277,'Grading Scale'!$A$2:$B$14, 2), "")</f>
        <v>B</v>
      </c>
      <c r="U277" s="7"/>
      <c r="V277" s="7"/>
      <c r="W277" s="7"/>
      <c r="X277" s="7"/>
      <c r="Y277" s="7"/>
      <c r="Z277" s="7"/>
      <c r="AA277" s="7"/>
      <c r="AB277" s="7"/>
      <c r="AC277" s="7"/>
      <c r="AD277" s="7"/>
      <c r="AE277" s="7"/>
      <c r="AF277" s="7"/>
      <c r="AG277" s="7"/>
      <c r="AH277" s="7"/>
      <c r="AI277" s="7"/>
      <c r="AJ277" s="7"/>
    </row>
    <row r="278">
      <c r="A278" s="4">
        <v>42389.0</v>
      </c>
      <c r="B278" s="5" t="s">
        <v>465</v>
      </c>
      <c r="C278" s="5" t="s">
        <v>40</v>
      </c>
      <c r="D278" s="6" t="str">
        <f>IF(NOT(ISBLANK(C278)), VLOOKUP(C278,'Dataset Descriptions'!$A$2:$B$10, 2, FALSE), "")</f>
        <v>State-owned land and buildings.</v>
      </c>
      <c r="E278" s="5" t="s">
        <v>25</v>
      </c>
      <c r="F278" s="5" t="s">
        <v>25</v>
      </c>
      <c r="G278" s="5" t="s">
        <v>25</v>
      </c>
      <c r="H278" s="5" t="s">
        <v>25</v>
      </c>
      <c r="I278" s="5" t="s">
        <v>25</v>
      </c>
      <c r="J278" s="5" t="s">
        <v>23</v>
      </c>
      <c r="K278" s="5" t="s">
        <v>23</v>
      </c>
      <c r="L278" s="5" t="s">
        <v>23</v>
      </c>
      <c r="M278" s="5" t="s">
        <v>23</v>
      </c>
      <c r="N278" s="5" t="s">
        <v>23</v>
      </c>
      <c r="O278" s="5" t="s">
        <v>25</v>
      </c>
      <c r="P278" s="5" t="s">
        <v>25</v>
      </c>
      <c r="Q278" s="9" t="s">
        <v>472</v>
      </c>
      <c r="R278" s="6" t="s">
        <v>473</v>
      </c>
      <c r="S278" s="6">
        <f>IF(NOT(ISBLANK(E278)), ROUND(((IF(E278="yes",1,0)*'Grading Scale'!E$2)+(IF(F278="yes",1,0)*'Grading Scale'!E$3)+(IF(G278="yes",1,0)*'Grading Scale'!E$4)+(IF(H278="yes",1,0)*'Grading Scale'!E$5)+(IF(I278="yes",1,0)*'Grading Scale'!E$6)+(IF(J278="yes",1,0)*'Grading Scale'!E$7)+(IF(K278="yes",1,0)*'Grading Scale'!E$8)+(IF(L278="yes",1,0)*'Grading Scale'!E$9)+(IF(M278="yes",1,0)*'Grading Scale'!E$10)+(IF(N278="yes",1,0)*'Grading Scale'!E$11)+(IF(O278="yes",1,0)*'Grading Scale'!E$12)+(IF(P278="yes",1,0)*'Grading Scale'!E$13))/'Grading Scale'!E$14*100,0), "")</f>
        <v>40</v>
      </c>
      <c r="T278" s="6" t="str">
        <f>IF(ISNUMBER(S278),VLOOKUP(S278,'Grading Scale'!$A$2:$B$14, 2), "")</f>
        <v>F</v>
      </c>
      <c r="U278" s="7"/>
      <c r="V278" s="7"/>
      <c r="W278" s="7"/>
      <c r="X278" s="7"/>
      <c r="Y278" s="7"/>
      <c r="Z278" s="7"/>
      <c r="AA278" s="7"/>
      <c r="AB278" s="7"/>
      <c r="AC278" s="7"/>
      <c r="AD278" s="7"/>
      <c r="AE278" s="7"/>
      <c r="AF278" s="7"/>
      <c r="AG278" s="7"/>
      <c r="AH278" s="7"/>
      <c r="AI278" s="7"/>
      <c r="AJ278" s="7"/>
    </row>
    <row r="279">
      <c r="A279" s="4">
        <v>42389.0</v>
      </c>
      <c r="B279" s="5" t="s">
        <v>465</v>
      </c>
      <c r="C279" s="5" t="s">
        <v>43</v>
      </c>
      <c r="D279" s="6" t="str">
        <f>IF(NOT(ISBLANK(C279)), VLOOKUP(C279,'Dataset Descriptions'!$A$2:$B$10, 2, FALSE), "")</f>
        <v>Health inspections of establishments that serve food to the public.</v>
      </c>
      <c r="E279" s="5" t="s">
        <v>22</v>
      </c>
      <c r="F279" s="5" t="s">
        <v>22</v>
      </c>
      <c r="G279" s="5" t="s">
        <v>22</v>
      </c>
      <c r="H279" s="5" t="s">
        <v>22</v>
      </c>
      <c r="I279" s="5" t="s">
        <v>23</v>
      </c>
      <c r="J279" s="5" t="s">
        <v>22</v>
      </c>
      <c r="K279" s="5" t="s">
        <v>22</v>
      </c>
      <c r="L279" s="5" t="s">
        <v>22</v>
      </c>
      <c r="M279" s="5" t="s">
        <v>22</v>
      </c>
      <c r="N279" s="5" t="s">
        <v>23</v>
      </c>
      <c r="O279" s="5" t="s">
        <v>22</v>
      </c>
      <c r="P279" s="5" t="s">
        <v>22</v>
      </c>
      <c r="Q279" s="7"/>
      <c r="R279" s="6" t="s">
        <v>474</v>
      </c>
      <c r="S279" s="6">
        <f>IF(NOT(ISBLANK(E279)), ROUND(((IF(E279="yes",1,0)*'Grading Scale'!E$2)+(IF(F279="yes",1,0)*'Grading Scale'!E$3)+(IF(G279="yes",1,0)*'Grading Scale'!E$4)+(IF(H279="yes",1,0)*'Grading Scale'!E$5)+(IF(I279="yes",1,0)*'Grading Scale'!E$6)+(IF(J279="yes",1,0)*'Grading Scale'!E$7)+(IF(K279="yes",1,0)*'Grading Scale'!E$8)+(IF(L279="yes",1,0)*'Grading Scale'!E$9)+(IF(M279="yes",1,0)*'Grading Scale'!E$10)+(IF(N279="yes",1,0)*'Grading Scale'!E$11)+(IF(O279="yes",1,0)*'Grading Scale'!E$12)+(IF(P279="yes",1,0)*'Grading Scale'!E$13))/'Grading Scale'!E$14*100,0), "")</f>
        <v>0</v>
      </c>
      <c r="T279" s="6" t="str">
        <f>IF(ISNUMBER(S279),VLOOKUP(S279,'Grading Scale'!$A$2:$B$14, 2), "")</f>
        <v>F</v>
      </c>
      <c r="U279" s="7"/>
      <c r="V279" s="7"/>
      <c r="W279" s="7"/>
      <c r="X279" s="7"/>
      <c r="Y279" s="7"/>
      <c r="Z279" s="7"/>
      <c r="AA279" s="7"/>
      <c r="AB279" s="7"/>
      <c r="AC279" s="7"/>
      <c r="AD279" s="7"/>
      <c r="AE279" s="7"/>
      <c r="AF279" s="7"/>
      <c r="AG279" s="7"/>
      <c r="AH279" s="7"/>
      <c r="AI279" s="7"/>
      <c r="AJ279" s="7"/>
    </row>
    <row r="280">
      <c r="A280" s="4">
        <v>42390.0</v>
      </c>
      <c r="B280" s="5" t="s">
        <v>465</v>
      </c>
      <c r="C280" s="5" t="s">
        <v>46</v>
      </c>
      <c r="D280" s="6" t="str">
        <f>IF(NOT(ISBLANK(C280)), VLOOKUP(C280,'Dataset Descriptions'!$A$2:$B$10, 2, FALSE), "")</f>
        <v>Incident-level reportable motor vehicle crash records.</v>
      </c>
      <c r="E280" s="5" t="s">
        <v>25</v>
      </c>
      <c r="F280" s="5" t="s">
        <v>25</v>
      </c>
      <c r="G280" s="5" t="s">
        <v>25</v>
      </c>
      <c r="H280" s="5" t="s">
        <v>25</v>
      </c>
      <c r="I280" s="5" t="s">
        <v>23</v>
      </c>
      <c r="J280" s="5" t="s">
        <v>25</v>
      </c>
      <c r="K280" s="5" t="s">
        <v>23</v>
      </c>
      <c r="L280" s="5" t="s">
        <v>22</v>
      </c>
      <c r="M280" s="5" t="s">
        <v>22</v>
      </c>
      <c r="N280" s="5" t="s">
        <v>23</v>
      </c>
      <c r="O280" s="5" t="s">
        <v>22</v>
      </c>
      <c r="P280" s="5" t="s">
        <v>22</v>
      </c>
      <c r="Q280" s="9" t="s">
        <v>475</v>
      </c>
      <c r="R280" s="6" t="s">
        <v>476</v>
      </c>
      <c r="S280" s="6">
        <f>IF(NOT(ISBLANK(E280)), ROUND(((IF(E280="yes",1,0)*'Grading Scale'!E$2)+(IF(F280="yes",1,0)*'Grading Scale'!E$3)+(IF(G280="yes",1,0)*'Grading Scale'!E$4)+(IF(H280="yes",1,0)*'Grading Scale'!E$5)+(IF(I280="yes",1,0)*'Grading Scale'!E$6)+(IF(J280="yes",1,0)*'Grading Scale'!E$7)+(IF(K280="yes",1,0)*'Grading Scale'!E$8)+(IF(L280="yes",1,0)*'Grading Scale'!E$9)+(IF(M280="yes",1,0)*'Grading Scale'!E$10)+(IF(N280="yes",1,0)*'Grading Scale'!E$11)+(IF(O280="yes",1,0)*'Grading Scale'!E$12)+(IF(P280="yes",1,0)*'Grading Scale'!E$13))/'Grading Scale'!E$14*100,0), "")</f>
        <v>65</v>
      </c>
      <c r="T280" s="6" t="str">
        <f>IF(ISNUMBER(S280),VLOOKUP(S280,'Grading Scale'!$A$2:$B$14, 2), "")</f>
        <v>D</v>
      </c>
      <c r="U280" s="7"/>
      <c r="V280" s="7"/>
      <c r="W280" s="7"/>
      <c r="X280" s="7"/>
      <c r="Y280" s="7"/>
      <c r="Z280" s="7"/>
      <c r="AA280" s="7"/>
      <c r="AB280" s="7"/>
      <c r="AC280" s="7"/>
      <c r="AD280" s="7"/>
      <c r="AE280" s="7"/>
      <c r="AF280" s="7"/>
      <c r="AG280" s="7"/>
      <c r="AH280" s="7"/>
      <c r="AI280" s="7"/>
      <c r="AJ280" s="7"/>
    </row>
    <row r="281">
      <c r="A281" s="10">
        <v>42411.0</v>
      </c>
      <c r="B281" s="6" t="s">
        <v>477</v>
      </c>
      <c r="C281" s="6" t="s">
        <v>21</v>
      </c>
      <c r="D281" s="6" t="str">
        <f>IF(NOT(ISBLANK(C281)), VLOOKUP(C281,'Dataset Descriptions'!$A$2:$B$10, 2, FALSE), "")</f>
        <v>The geographic coordinates for physical addresses.</v>
      </c>
      <c r="E281" s="6" t="s">
        <v>25</v>
      </c>
      <c r="F281" s="6" t="s">
        <v>25</v>
      </c>
      <c r="G281" s="6" t="s">
        <v>25</v>
      </c>
      <c r="H281" s="6" t="s">
        <v>25</v>
      </c>
      <c r="I281" s="6" t="s">
        <v>25</v>
      </c>
      <c r="J281" s="6" t="s">
        <v>25</v>
      </c>
      <c r="K281" s="6" t="s">
        <v>25</v>
      </c>
      <c r="L281" s="6" t="s">
        <v>23</v>
      </c>
      <c r="M281" s="6" t="s">
        <v>25</v>
      </c>
      <c r="N281" s="6" t="s">
        <v>23</v>
      </c>
      <c r="O281" s="6" t="s">
        <v>23</v>
      </c>
      <c r="P281" s="6" t="s">
        <v>23</v>
      </c>
      <c r="Q281" s="15" t="s">
        <v>478</v>
      </c>
      <c r="R281" s="13" t="s">
        <v>479</v>
      </c>
      <c r="S281" s="6">
        <f>IF(NOT(ISBLANK(E281)), ROUND(((IF(E281="yes",1,0)*'Grading Scale'!E$2)+(IF(F281="yes",1,0)*'Grading Scale'!E$3)+(IF(G281="yes",1,0)*'Grading Scale'!E$4)+(IF(H281="yes",1,0)*'Grading Scale'!E$5)+(IF(I281="yes",1,0)*'Grading Scale'!E$6)+(IF(J281="yes",1,0)*'Grading Scale'!E$7)+(IF(K281="yes",1,0)*'Grading Scale'!E$8)+(IF(L281="yes",1,0)*'Grading Scale'!E$9)+(IF(M281="yes",1,0)*'Grading Scale'!E$10)+(IF(N281="yes",1,0)*'Grading Scale'!E$11)+(IF(O281="yes",1,0)*'Grading Scale'!E$12)+(IF(P281="yes",1,0)*'Grading Scale'!E$13))/'Grading Scale'!E$14*100,0), "")</f>
        <v>80</v>
      </c>
      <c r="T281" s="6" t="str">
        <f>IF(ISNUMBER(S281),VLOOKUP(S281,'Grading Scale'!$A$2:$B$14, 2), "")</f>
        <v>B−</v>
      </c>
      <c r="U281" s="7"/>
      <c r="V281" s="7"/>
      <c r="W281" s="7"/>
      <c r="X281" s="7"/>
      <c r="Y281" s="7"/>
      <c r="Z281" s="7"/>
      <c r="AA281" s="7"/>
      <c r="AB281" s="7"/>
      <c r="AC281" s="7"/>
      <c r="AD281" s="7"/>
      <c r="AE281" s="7"/>
      <c r="AF281" s="7"/>
      <c r="AG281" s="7"/>
      <c r="AH281" s="7"/>
      <c r="AI281" s="7"/>
      <c r="AJ281" s="7"/>
    </row>
    <row r="282">
      <c r="A282" s="10">
        <v>42338.0</v>
      </c>
      <c r="B282" s="6" t="s">
        <v>477</v>
      </c>
      <c r="C282" s="6" t="s">
        <v>24</v>
      </c>
      <c r="D282" s="6" t="str">
        <f>IF(NOT(ISBLANK(C282)), VLOOKUP(C282,'Dataset Descriptions'!$A$2:$B$10, 2, FALSE), "")</f>
        <v>Transaction-level, per-agency spending records.</v>
      </c>
      <c r="E282" s="6" t="s">
        <v>25</v>
      </c>
      <c r="F282" s="6" t="s">
        <v>25</v>
      </c>
      <c r="G282" s="6" t="s">
        <v>25</v>
      </c>
      <c r="H282" s="6" t="s">
        <v>25</v>
      </c>
      <c r="I282" s="6" t="s">
        <v>25</v>
      </c>
      <c r="J282" s="6" t="s">
        <v>25</v>
      </c>
      <c r="K282" s="6" t="s">
        <v>25</v>
      </c>
      <c r="L282" s="6" t="s">
        <v>23</v>
      </c>
      <c r="M282" s="6" t="s">
        <v>25</v>
      </c>
      <c r="N282" s="6" t="s">
        <v>25</v>
      </c>
      <c r="O282" s="6" t="s">
        <v>23</v>
      </c>
      <c r="P282" s="6" t="s">
        <v>23</v>
      </c>
      <c r="Q282" s="15" t="s">
        <v>480</v>
      </c>
      <c r="R282" s="14" t="s">
        <v>481</v>
      </c>
      <c r="S282" s="6">
        <f>IF(NOT(ISBLANK(E282)), ROUND(((IF(E282="yes",1,0)*'Grading Scale'!E$2)+(IF(F282="yes",1,0)*'Grading Scale'!E$3)+(IF(G282="yes",1,0)*'Grading Scale'!E$4)+(IF(H282="yes",1,0)*'Grading Scale'!E$5)+(IF(I282="yes",1,0)*'Grading Scale'!E$6)+(IF(J282="yes",1,0)*'Grading Scale'!E$7)+(IF(K282="yes",1,0)*'Grading Scale'!E$8)+(IF(L282="yes",1,0)*'Grading Scale'!E$9)+(IF(M282="yes",1,0)*'Grading Scale'!E$10)+(IF(N282="yes",1,0)*'Grading Scale'!E$11)+(IF(O282="yes",1,0)*'Grading Scale'!E$12)+(IF(P282="yes",1,0)*'Grading Scale'!E$13))/'Grading Scale'!E$14*100,0), "")</f>
        <v>85</v>
      </c>
      <c r="T282" s="6" t="str">
        <f>IF(ISNUMBER(S282),VLOOKUP(S282,'Grading Scale'!$A$2:$B$14, 2), "")</f>
        <v>B</v>
      </c>
      <c r="U282" s="7"/>
      <c r="V282" s="7"/>
      <c r="W282" s="7"/>
      <c r="X282" s="7"/>
      <c r="Y282" s="7"/>
      <c r="Z282" s="7"/>
      <c r="AA282" s="7"/>
      <c r="AB282" s="7"/>
      <c r="AC282" s="7"/>
      <c r="AD282" s="7"/>
      <c r="AE282" s="7"/>
      <c r="AF282" s="7"/>
      <c r="AG282" s="7"/>
      <c r="AH282" s="7"/>
      <c r="AI282" s="7"/>
      <c r="AJ282" s="7"/>
    </row>
    <row r="283">
      <c r="A283" s="10">
        <v>42338.0</v>
      </c>
      <c r="B283" s="6" t="s">
        <v>477</v>
      </c>
      <c r="C283" s="6" t="s">
        <v>28</v>
      </c>
      <c r="D283" s="6" t="str">
        <f>IF(NOT(ISBLANK(C283)), VLOOKUP(C283,'Dataset Descriptions'!$A$2:$B$10, 2, FALSE), "")</f>
        <v>The register of all corporations that exist in the state.</v>
      </c>
      <c r="E283" s="6" t="s">
        <v>25</v>
      </c>
      <c r="F283" s="6" t="s">
        <v>25</v>
      </c>
      <c r="G283" s="6" t="s">
        <v>25</v>
      </c>
      <c r="H283" s="6" t="s">
        <v>25</v>
      </c>
      <c r="I283" s="6" t="s">
        <v>25</v>
      </c>
      <c r="J283" s="6" t="s">
        <v>25</v>
      </c>
      <c r="K283" s="6" t="s">
        <v>25</v>
      </c>
      <c r="L283" s="6" t="s">
        <v>23</v>
      </c>
      <c r="M283" s="6" t="s">
        <v>23</v>
      </c>
      <c r="N283" s="6" t="s">
        <v>25</v>
      </c>
      <c r="O283" s="6" t="s">
        <v>25</v>
      </c>
      <c r="P283" s="6" t="s">
        <v>23</v>
      </c>
      <c r="Q283" s="15" t="s">
        <v>482</v>
      </c>
      <c r="R283" s="14" t="s">
        <v>483</v>
      </c>
      <c r="S283" s="6">
        <f>IF(NOT(ISBLANK(E283)), ROUND(((IF(E283="yes",1,0)*'Grading Scale'!E$2)+(IF(F283="yes",1,0)*'Grading Scale'!E$3)+(IF(G283="yes",1,0)*'Grading Scale'!E$4)+(IF(H283="yes",1,0)*'Grading Scale'!E$5)+(IF(I283="yes",1,0)*'Grading Scale'!E$6)+(IF(J283="yes",1,0)*'Grading Scale'!E$7)+(IF(K283="yes",1,0)*'Grading Scale'!E$8)+(IF(L283="yes",1,0)*'Grading Scale'!E$9)+(IF(M283="yes",1,0)*'Grading Scale'!E$10)+(IF(N283="yes",1,0)*'Grading Scale'!E$11)+(IF(O283="yes",1,0)*'Grading Scale'!E$12)+(IF(P283="yes",1,0)*'Grading Scale'!E$13))/'Grading Scale'!E$14*100,0), "")</f>
        <v>85</v>
      </c>
      <c r="T283" s="6" t="str">
        <f>IF(ISNUMBER(S283),VLOOKUP(S283,'Grading Scale'!$A$2:$B$14, 2), "")</f>
        <v>B</v>
      </c>
      <c r="U283" s="7"/>
      <c r="V283" s="7"/>
      <c r="W283" s="7"/>
      <c r="X283" s="7"/>
      <c r="Y283" s="7"/>
      <c r="Z283" s="7"/>
      <c r="AA283" s="7"/>
      <c r="AB283" s="7"/>
      <c r="AC283" s="7"/>
      <c r="AD283" s="7"/>
      <c r="AE283" s="7"/>
      <c r="AF283" s="7"/>
      <c r="AG283" s="7"/>
      <c r="AH283" s="7"/>
      <c r="AI283" s="7"/>
      <c r="AJ283" s="7"/>
    </row>
    <row r="284">
      <c r="A284" s="10">
        <v>42338.0</v>
      </c>
      <c r="B284" s="6" t="s">
        <v>477</v>
      </c>
      <c r="C284" s="6" t="s">
        <v>31</v>
      </c>
      <c r="D284" s="6" t="str">
        <f>IF(NOT(ISBLANK(C284)), VLOOKUP(C284,'Dataset Descriptions'!$A$2:$B$10, 2, FALSE), "")</f>
        <v>Per-facility inmate population records.</v>
      </c>
      <c r="E284" s="6" t="s">
        <v>25</v>
      </c>
      <c r="F284" s="6" t="s">
        <v>25</v>
      </c>
      <c r="G284" s="6" t="s">
        <v>25</v>
      </c>
      <c r="H284" s="6" t="s">
        <v>25</v>
      </c>
      <c r="I284" s="6" t="s">
        <v>25</v>
      </c>
      <c r="J284" s="6" t="s">
        <v>25</v>
      </c>
      <c r="K284" s="6" t="s">
        <v>25</v>
      </c>
      <c r="L284" s="6" t="s">
        <v>23</v>
      </c>
      <c r="M284" s="6" t="s">
        <v>23</v>
      </c>
      <c r="N284" s="6" t="s">
        <v>25</v>
      </c>
      <c r="O284" s="6" t="s">
        <v>25</v>
      </c>
      <c r="P284" s="6" t="s">
        <v>23</v>
      </c>
      <c r="Q284" s="15" t="s">
        <v>484</v>
      </c>
      <c r="R284" s="14" t="s">
        <v>485</v>
      </c>
      <c r="S284" s="6">
        <f>IF(NOT(ISBLANK(E284)), ROUND(((IF(E284="yes",1,0)*'Grading Scale'!E$2)+(IF(F284="yes",1,0)*'Grading Scale'!E$3)+(IF(G284="yes",1,0)*'Grading Scale'!E$4)+(IF(H284="yes",1,0)*'Grading Scale'!E$5)+(IF(I284="yes",1,0)*'Grading Scale'!E$6)+(IF(J284="yes",1,0)*'Grading Scale'!E$7)+(IF(K284="yes",1,0)*'Grading Scale'!E$8)+(IF(L284="yes",1,0)*'Grading Scale'!E$9)+(IF(M284="yes",1,0)*'Grading Scale'!E$10)+(IF(N284="yes",1,0)*'Grading Scale'!E$11)+(IF(O284="yes",1,0)*'Grading Scale'!E$12)+(IF(P284="yes",1,0)*'Grading Scale'!E$13))/'Grading Scale'!E$14*100,0), "")</f>
        <v>85</v>
      </c>
      <c r="T284" s="6" t="str">
        <f>IF(ISNUMBER(S284),VLOOKUP(S284,'Grading Scale'!$A$2:$B$14, 2), "")</f>
        <v>B</v>
      </c>
      <c r="U284" s="7"/>
      <c r="V284" s="7"/>
      <c r="W284" s="7"/>
      <c r="X284" s="7"/>
      <c r="Y284" s="7"/>
      <c r="Z284" s="7"/>
      <c r="AA284" s="7"/>
      <c r="AB284" s="7"/>
      <c r="AC284" s="7"/>
      <c r="AD284" s="7"/>
      <c r="AE284" s="7"/>
      <c r="AF284" s="7"/>
      <c r="AG284" s="7"/>
      <c r="AH284" s="7"/>
      <c r="AI284" s="7"/>
      <c r="AJ284" s="7"/>
    </row>
    <row r="285">
      <c r="A285" s="10">
        <v>42338.0</v>
      </c>
      <c r="B285" s="6" t="s">
        <v>477</v>
      </c>
      <c r="C285" s="6" t="s">
        <v>34</v>
      </c>
      <c r="D285" s="6" t="str">
        <f>IF(NOT(ISBLANK(C285)), VLOOKUP(C285,'Dataset Descriptions'!$A$2:$B$10, 2, FALSE), "")</f>
        <v>Bills before the legislature, and the legislators that comprise it.</v>
      </c>
      <c r="E285" s="8"/>
      <c r="F285" s="8"/>
      <c r="G285" s="8"/>
      <c r="H285" s="8"/>
      <c r="I285" s="8"/>
      <c r="J285" s="8"/>
      <c r="K285" s="8"/>
      <c r="L285" s="8"/>
      <c r="M285" s="8"/>
      <c r="N285" s="8"/>
      <c r="O285" s="8"/>
      <c r="P285" s="8"/>
      <c r="Q285" s="15" t="s">
        <v>486</v>
      </c>
      <c r="R285" s="14" t="s">
        <v>487</v>
      </c>
      <c r="S285" s="6" t="str">
        <f>IF(NOT(ISBLANK(E285)), ROUND(((IF(E285="yes",1,0)*'Grading Scale'!E$2)+(IF(F285="yes",1,0)*'Grading Scale'!E$3)+(IF(G285="yes",1,0)*'Grading Scale'!E$4)+(IF(H285="yes",1,0)*'Grading Scale'!E$5)+(IF(I285="yes",1,0)*'Grading Scale'!E$6)+(IF(J285="yes",1,0)*'Grading Scale'!E$7)+(IF(K285="yes",1,0)*'Grading Scale'!E$8)+(IF(L285="yes",1,0)*'Grading Scale'!E$9)+(IF(M285="yes",1,0)*'Grading Scale'!E$10)+(IF(N285="yes",1,0)*'Grading Scale'!E$11)+(IF(O285="yes",1,0)*'Grading Scale'!E$12)+(IF(P285="yes",1,0)*'Grading Scale'!E$13))/'Grading Scale'!E$14*100,0), "")</f>
        <v/>
      </c>
      <c r="T285" s="6" t="str">
        <f>IF(ISNUMBER(S285),VLOOKUP(S285,'Grading Scale'!$A$2:$B$14, 2), "")</f>
        <v/>
      </c>
      <c r="U285" s="7"/>
      <c r="V285" s="7"/>
      <c r="W285" s="7"/>
      <c r="X285" s="7"/>
      <c r="Y285" s="7"/>
      <c r="Z285" s="7"/>
      <c r="AA285" s="7"/>
      <c r="AB285" s="7"/>
      <c r="AC285" s="7"/>
      <c r="AD285" s="7"/>
      <c r="AE285" s="7"/>
      <c r="AF285" s="7"/>
      <c r="AG285" s="7"/>
      <c r="AH285" s="7"/>
      <c r="AI285" s="7"/>
      <c r="AJ285" s="7"/>
    </row>
    <row r="286">
      <c r="A286" s="10">
        <v>42338.0</v>
      </c>
      <c r="B286" s="6" t="s">
        <v>477</v>
      </c>
      <c r="C286" s="6" t="s">
        <v>37</v>
      </c>
      <c r="D286" s="6" t="str">
        <f>IF(NOT(ISBLANK(C286)), VLOOKUP(C286,'Dataset Descriptions'!$A$2:$B$10, 2, FALSE), "")</f>
        <v>Forecasts of municipal-level changes in population over coming years.</v>
      </c>
      <c r="E286" s="6" t="s">
        <v>25</v>
      </c>
      <c r="F286" s="6" t="s">
        <v>25</v>
      </c>
      <c r="G286" s="6" t="s">
        <v>25</v>
      </c>
      <c r="H286" s="6" t="s">
        <v>25</v>
      </c>
      <c r="I286" s="6" t="s">
        <v>25</v>
      </c>
      <c r="J286" s="6" t="s">
        <v>25</v>
      </c>
      <c r="K286" s="6" t="s">
        <v>25</v>
      </c>
      <c r="L286" s="6" t="s">
        <v>25</v>
      </c>
      <c r="M286" s="6" t="s">
        <v>23</v>
      </c>
      <c r="N286" s="6" t="s">
        <v>23</v>
      </c>
      <c r="O286" s="6" t="s">
        <v>23</v>
      </c>
      <c r="P286" s="6" t="s">
        <v>23</v>
      </c>
      <c r="Q286" s="15" t="s">
        <v>488</v>
      </c>
      <c r="R286" s="14" t="s">
        <v>489</v>
      </c>
      <c r="S286" s="6">
        <f>IF(NOT(ISBLANK(E286)), ROUND(((IF(E286="yes",1,0)*'Grading Scale'!E$2)+(IF(F286="yes",1,0)*'Grading Scale'!E$3)+(IF(G286="yes",1,0)*'Grading Scale'!E$4)+(IF(H286="yes",1,0)*'Grading Scale'!E$5)+(IF(I286="yes",1,0)*'Grading Scale'!E$6)+(IF(J286="yes",1,0)*'Grading Scale'!E$7)+(IF(K286="yes",1,0)*'Grading Scale'!E$8)+(IF(L286="yes",1,0)*'Grading Scale'!E$9)+(IF(M286="yes",1,0)*'Grading Scale'!E$10)+(IF(N286="yes",1,0)*'Grading Scale'!E$11)+(IF(O286="yes",1,0)*'Grading Scale'!E$12)+(IF(P286="yes",1,0)*'Grading Scale'!E$13))/'Grading Scale'!E$14*100,0), "")</f>
        <v>80</v>
      </c>
      <c r="T286" s="6" t="str">
        <f>IF(ISNUMBER(S286),VLOOKUP(S286,'Grading Scale'!$A$2:$B$14, 2), "")</f>
        <v>B−</v>
      </c>
      <c r="U286" s="7"/>
      <c r="V286" s="7"/>
      <c r="W286" s="7"/>
      <c r="X286" s="7"/>
      <c r="Y286" s="7"/>
      <c r="Z286" s="7"/>
      <c r="AA286" s="7"/>
      <c r="AB286" s="7"/>
      <c r="AC286" s="7"/>
      <c r="AD286" s="7"/>
      <c r="AE286" s="7"/>
      <c r="AF286" s="7"/>
      <c r="AG286" s="7"/>
      <c r="AH286" s="7"/>
      <c r="AI286" s="7"/>
      <c r="AJ286" s="7"/>
    </row>
    <row r="287">
      <c r="A287" s="10">
        <v>42338.0</v>
      </c>
      <c r="B287" s="6" t="s">
        <v>477</v>
      </c>
      <c r="C287" s="6" t="s">
        <v>40</v>
      </c>
      <c r="D287" s="6" t="str">
        <f>IF(NOT(ISBLANK(C287)), VLOOKUP(C287,'Dataset Descriptions'!$A$2:$B$10, 2, FALSE), "")</f>
        <v>State-owned land and buildings.</v>
      </c>
      <c r="E287" s="6" t="s">
        <v>25</v>
      </c>
      <c r="F287" s="6" t="s">
        <v>23</v>
      </c>
      <c r="G287" s="6" t="s">
        <v>22</v>
      </c>
      <c r="H287" s="6" t="s">
        <v>22</v>
      </c>
      <c r="I287" s="6" t="s">
        <v>23</v>
      </c>
      <c r="J287" s="6" t="s">
        <v>22</v>
      </c>
      <c r="K287" s="6" t="s">
        <v>22</v>
      </c>
      <c r="L287" s="6" t="s">
        <v>22</v>
      </c>
      <c r="M287" s="6" t="s">
        <v>22</v>
      </c>
      <c r="N287" s="6" t="s">
        <v>23</v>
      </c>
      <c r="O287" s="6" t="s">
        <v>23</v>
      </c>
      <c r="P287" s="6" t="s">
        <v>22</v>
      </c>
      <c r="Q287" s="15" t="s">
        <v>490</v>
      </c>
      <c r="R287" s="11"/>
      <c r="S287" s="6">
        <f>IF(NOT(ISBLANK(E287)), ROUND(((IF(E287="yes",1,0)*'Grading Scale'!E$2)+(IF(F287="yes",1,0)*'Grading Scale'!E$3)+(IF(G287="yes",1,0)*'Grading Scale'!E$4)+(IF(H287="yes",1,0)*'Grading Scale'!E$5)+(IF(I287="yes",1,0)*'Grading Scale'!E$6)+(IF(J287="yes",1,0)*'Grading Scale'!E$7)+(IF(K287="yes",1,0)*'Grading Scale'!E$8)+(IF(L287="yes",1,0)*'Grading Scale'!E$9)+(IF(M287="yes",1,0)*'Grading Scale'!E$10)+(IF(N287="yes",1,0)*'Grading Scale'!E$11)+(IF(O287="yes",1,0)*'Grading Scale'!E$12)+(IF(P287="yes",1,0)*'Grading Scale'!E$13))/'Grading Scale'!E$14*100,0), "")</f>
        <v>0</v>
      </c>
      <c r="T287" s="6" t="str">
        <f>IF(ISNUMBER(S287),VLOOKUP(S287,'Grading Scale'!$A$2:$B$14, 2), "")</f>
        <v>F</v>
      </c>
      <c r="U287" s="7"/>
      <c r="V287" s="7"/>
      <c r="W287" s="7"/>
      <c r="X287" s="7"/>
      <c r="Y287" s="7"/>
      <c r="Z287" s="7"/>
      <c r="AA287" s="7"/>
      <c r="AB287" s="7"/>
      <c r="AC287" s="7"/>
      <c r="AD287" s="7"/>
      <c r="AE287" s="7"/>
      <c r="AF287" s="7"/>
      <c r="AG287" s="7"/>
      <c r="AH287" s="7"/>
      <c r="AI287" s="7"/>
      <c r="AJ287" s="7"/>
    </row>
    <row r="288">
      <c r="A288" s="10">
        <v>42410.0</v>
      </c>
      <c r="B288" s="6" t="s">
        <v>477</v>
      </c>
      <c r="C288" s="6" t="s">
        <v>43</v>
      </c>
      <c r="D288" s="6" t="str">
        <f>IF(NOT(ISBLANK(C288)), VLOOKUP(C288,'Dataset Descriptions'!$A$2:$B$10, 2, FALSE), "")</f>
        <v>Health inspections of establishments that serve food to the public.</v>
      </c>
      <c r="E288" s="6" t="s">
        <v>25</v>
      </c>
      <c r="F288" s="6" t="s">
        <v>25</v>
      </c>
      <c r="G288" s="6" t="s">
        <v>25</v>
      </c>
      <c r="H288" s="6" t="s">
        <v>25</v>
      </c>
      <c r="I288" s="6" t="s">
        <v>25</v>
      </c>
      <c r="J288" s="6" t="s">
        <v>25</v>
      </c>
      <c r="K288" s="6" t="s">
        <v>25</v>
      </c>
      <c r="L288" s="6" t="s">
        <v>23</v>
      </c>
      <c r="M288" s="6" t="s">
        <v>25</v>
      </c>
      <c r="N288" s="6" t="s">
        <v>25</v>
      </c>
      <c r="O288" s="6" t="s">
        <v>25</v>
      </c>
      <c r="P288" s="6" t="s">
        <v>25</v>
      </c>
      <c r="Q288" s="15" t="s">
        <v>491</v>
      </c>
      <c r="R288" s="14" t="s">
        <v>492</v>
      </c>
      <c r="S288" s="6">
        <f>IF(NOT(ISBLANK(E288)), ROUND(((IF(E288="yes",1,0)*'Grading Scale'!E$2)+(IF(F288="yes",1,0)*'Grading Scale'!E$3)+(IF(G288="yes",1,0)*'Grading Scale'!E$4)+(IF(H288="yes",1,0)*'Grading Scale'!E$5)+(IF(I288="yes",1,0)*'Grading Scale'!E$6)+(IF(J288="yes",1,0)*'Grading Scale'!E$7)+(IF(K288="yes",1,0)*'Grading Scale'!E$8)+(IF(L288="yes",1,0)*'Grading Scale'!E$9)+(IF(M288="yes",1,0)*'Grading Scale'!E$10)+(IF(N288="yes",1,0)*'Grading Scale'!E$11)+(IF(O288="yes",1,0)*'Grading Scale'!E$12)+(IF(P288="yes",1,0)*'Grading Scale'!E$13))/'Grading Scale'!E$14*100,0), "")</f>
        <v>95</v>
      </c>
      <c r="T288" s="6" t="str">
        <f>IF(ISNUMBER(S288),VLOOKUP(S288,'Grading Scale'!$A$2:$B$14, 2), "")</f>
        <v>A</v>
      </c>
      <c r="U288" s="7"/>
      <c r="V288" s="7"/>
      <c r="W288" s="7"/>
      <c r="X288" s="7"/>
      <c r="Y288" s="7"/>
      <c r="Z288" s="7"/>
      <c r="AA288" s="7"/>
      <c r="AB288" s="7"/>
      <c r="AC288" s="7"/>
      <c r="AD288" s="7"/>
      <c r="AE288" s="7"/>
      <c r="AF288" s="7"/>
      <c r="AG288" s="7"/>
      <c r="AH288" s="7"/>
      <c r="AI288" s="7"/>
      <c r="AJ288" s="7"/>
    </row>
    <row r="289">
      <c r="A289" s="10">
        <v>42338.0</v>
      </c>
      <c r="B289" s="6" t="s">
        <v>477</v>
      </c>
      <c r="C289" s="6" t="s">
        <v>46</v>
      </c>
      <c r="D289" s="6" t="str">
        <f>IF(NOT(ISBLANK(C289)), VLOOKUP(C289,'Dataset Descriptions'!$A$2:$B$10, 2, FALSE), "")</f>
        <v>Incident-level reportable motor vehicle crash records.</v>
      </c>
      <c r="E289" s="6" t="s">
        <v>25</v>
      </c>
      <c r="F289" s="6" t="s">
        <v>25</v>
      </c>
      <c r="G289" s="6" t="s">
        <v>25</v>
      </c>
      <c r="H289" s="6" t="s">
        <v>25</v>
      </c>
      <c r="I289" s="6" t="s">
        <v>25</v>
      </c>
      <c r="J289" s="6" t="s">
        <v>25</v>
      </c>
      <c r="K289" s="6" t="s">
        <v>25</v>
      </c>
      <c r="L289" s="6" t="s">
        <v>23</v>
      </c>
      <c r="M289" s="6" t="s">
        <v>23</v>
      </c>
      <c r="N289" s="6" t="s">
        <v>25</v>
      </c>
      <c r="O289" s="6" t="s">
        <v>25</v>
      </c>
      <c r="P289" s="6" t="s">
        <v>23</v>
      </c>
      <c r="Q289" s="15" t="s">
        <v>493</v>
      </c>
      <c r="R289" s="14" t="s">
        <v>494</v>
      </c>
      <c r="S289" s="6">
        <f>IF(NOT(ISBLANK(E289)), ROUND(((IF(E289="yes",1,0)*'Grading Scale'!E$2)+(IF(F289="yes",1,0)*'Grading Scale'!E$3)+(IF(G289="yes",1,0)*'Grading Scale'!E$4)+(IF(H289="yes",1,0)*'Grading Scale'!E$5)+(IF(I289="yes",1,0)*'Grading Scale'!E$6)+(IF(J289="yes",1,0)*'Grading Scale'!E$7)+(IF(K289="yes",1,0)*'Grading Scale'!E$8)+(IF(L289="yes",1,0)*'Grading Scale'!E$9)+(IF(M289="yes",1,0)*'Grading Scale'!E$10)+(IF(N289="yes",1,0)*'Grading Scale'!E$11)+(IF(O289="yes",1,0)*'Grading Scale'!E$12)+(IF(P289="yes",1,0)*'Grading Scale'!E$13))/'Grading Scale'!E$14*100,0), "")</f>
        <v>85</v>
      </c>
      <c r="T289" s="6" t="str">
        <f>IF(ISNUMBER(S289),VLOOKUP(S289,'Grading Scale'!$A$2:$B$14, 2), "")</f>
        <v>B</v>
      </c>
      <c r="U289" s="7"/>
      <c r="V289" s="7"/>
      <c r="W289" s="7"/>
      <c r="X289" s="7"/>
      <c r="Y289" s="7"/>
      <c r="Z289" s="7"/>
      <c r="AA289" s="7"/>
      <c r="AB289" s="7"/>
      <c r="AC289" s="7"/>
      <c r="AD289" s="7"/>
      <c r="AE289" s="7"/>
      <c r="AF289" s="7"/>
      <c r="AG289" s="7"/>
      <c r="AH289" s="7"/>
      <c r="AI289" s="7"/>
      <c r="AJ289" s="7"/>
    </row>
    <row r="290">
      <c r="A290" s="10">
        <v>42338.0</v>
      </c>
      <c r="B290" s="6" t="s">
        <v>495</v>
      </c>
      <c r="C290" s="6" t="s">
        <v>21</v>
      </c>
      <c r="D290" s="6" t="str">
        <f>IF(NOT(ISBLANK(C290)), VLOOKUP(C290,'Dataset Descriptions'!$A$2:$B$10, 2, FALSE), "")</f>
        <v>The geographic coordinates for physical addresses.</v>
      </c>
      <c r="E290" s="6" t="s">
        <v>25</v>
      </c>
      <c r="F290" s="6" t="s">
        <v>25</v>
      </c>
      <c r="G290" s="6" t="s">
        <v>25</v>
      </c>
      <c r="H290" s="6" t="s">
        <v>25</v>
      </c>
      <c r="I290" s="6" t="s">
        <v>25</v>
      </c>
      <c r="J290" s="6" t="s">
        <v>25</v>
      </c>
      <c r="K290" s="6" t="s">
        <v>25</v>
      </c>
      <c r="L290" s="6" t="s">
        <v>25</v>
      </c>
      <c r="M290" s="6" t="s">
        <v>25</v>
      </c>
      <c r="N290" s="6" t="s">
        <v>23</v>
      </c>
      <c r="O290" s="6" t="s">
        <v>23</v>
      </c>
      <c r="P290" s="6" t="s">
        <v>25</v>
      </c>
      <c r="Q290" s="15" t="s">
        <v>496</v>
      </c>
      <c r="R290" s="11"/>
      <c r="S290" s="6">
        <f>IF(NOT(ISBLANK(E290)), ROUND(((IF(E290="yes",1,0)*'Grading Scale'!E$2)+(IF(F290="yes",1,0)*'Grading Scale'!E$3)+(IF(G290="yes",1,0)*'Grading Scale'!E$4)+(IF(H290="yes",1,0)*'Grading Scale'!E$5)+(IF(I290="yes",1,0)*'Grading Scale'!E$6)+(IF(J290="yes",1,0)*'Grading Scale'!E$7)+(IF(K290="yes",1,0)*'Grading Scale'!E$8)+(IF(L290="yes",1,0)*'Grading Scale'!E$9)+(IF(M290="yes",1,0)*'Grading Scale'!E$10)+(IF(N290="yes",1,0)*'Grading Scale'!E$11)+(IF(O290="yes",1,0)*'Grading Scale'!E$12)+(IF(P290="yes",1,0)*'Grading Scale'!E$13))/'Grading Scale'!E$14*100,0), "")</f>
        <v>90</v>
      </c>
      <c r="T290" s="6" t="str">
        <f>IF(ISNUMBER(S290),VLOOKUP(S290,'Grading Scale'!$A$2:$B$14, 2), "")</f>
        <v>A−</v>
      </c>
      <c r="U290" s="7"/>
      <c r="V290" s="7"/>
      <c r="W290" s="7"/>
      <c r="X290" s="7"/>
      <c r="Y290" s="7"/>
      <c r="Z290" s="7"/>
      <c r="AA290" s="7"/>
      <c r="AB290" s="7"/>
      <c r="AC290" s="7"/>
      <c r="AD290" s="7"/>
      <c r="AE290" s="7"/>
      <c r="AF290" s="7"/>
      <c r="AG290" s="7"/>
      <c r="AH290" s="7"/>
      <c r="AI290" s="7"/>
      <c r="AJ290" s="7"/>
    </row>
    <row r="291">
      <c r="A291" s="10">
        <v>42434.0</v>
      </c>
      <c r="B291" s="6" t="s">
        <v>495</v>
      </c>
      <c r="C291" s="6" t="s">
        <v>24</v>
      </c>
      <c r="D291" s="6" t="str">
        <f>IF(NOT(ISBLANK(C291)), VLOOKUP(C291,'Dataset Descriptions'!$A$2:$B$10, 2, FALSE), "")</f>
        <v>Transaction-level, per-agency spending records.</v>
      </c>
      <c r="E291" s="6" t="s">
        <v>25</v>
      </c>
      <c r="F291" s="6" t="s">
        <v>25</v>
      </c>
      <c r="G291" s="6" t="s">
        <v>25</v>
      </c>
      <c r="H291" s="6" t="s">
        <v>25</v>
      </c>
      <c r="I291" s="6" t="s">
        <v>25</v>
      </c>
      <c r="J291" s="6" t="s">
        <v>25</v>
      </c>
      <c r="K291" s="6" t="s">
        <v>25</v>
      </c>
      <c r="L291" s="6" t="s">
        <v>23</v>
      </c>
      <c r="M291" s="6" t="s">
        <v>23</v>
      </c>
      <c r="N291" s="6" t="s">
        <v>23</v>
      </c>
      <c r="O291" s="6" t="s">
        <v>23</v>
      </c>
      <c r="P291" s="6" t="s">
        <v>23</v>
      </c>
      <c r="Q291" s="15" t="s">
        <v>497</v>
      </c>
      <c r="R291" s="13" t="s">
        <v>498</v>
      </c>
      <c r="S291" s="6">
        <f>IF(NOT(ISBLANK(E291)), ROUND(((IF(E291="yes",1,0)*'Grading Scale'!E$2)+(IF(F291="yes",1,0)*'Grading Scale'!E$3)+(IF(G291="yes",1,0)*'Grading Scale'!E$4)+(IF(H291="yes",1,0)*'Grading Scale'!E$5)+(IF(I291="yes",1,0)*'Grading Scale'!E$6)+(IF(J291="yes",1,0)*'Grading Scale'!E$7)+(IF(K291="yes",1,0)*'Grading Scale'!E$8)+(IF(L291="yes",1,0)*'Grading Scale'!E$9)+(IF(M291="yes",1,0)*'Grading Scale'!E$10)+(IF(N291="yes",1,0)*'Grading Scale'!E$11)+(IF(O291="yes",1,0)*'Grading Scale'!E$12)+(IF(P291="yes",1,0)*'Grading Scale'!E$13))/'Grading Scale'!E$14*100,0), "")</f>
        <v>75</v>
      </c>
      <c r="T291" s="6" t="str">
        <f>IF(ISNUMBER(S291),VLOOKUP(S291,'Grading Scale'!$A$2:$B$14, 2), "")</f>
        <v>C</v>
      </c>
      <c r="U291" s="7"/>
      <c r="V291" s="7"/>
      <c r="W291" s="7"/>
      <c r="X291" s="7"/>
      <c r="Y291" s="7"/>
      <c r="Z291" s="7"/>
      <c r="AA291" s="7"/>
      <c r="AB291" s="7"/>
      <c r="AC291" s="7"/>
      <c r="AD291" s="7"/>
      <c r="AE291" s="7"/>
      <c r="AF291" s="7"/>
      <c r="AG291" s="7"/>
      <c r="AH291" s="7"/>
      <c r="AI291" s="7"/>
      <c r="AJ291" s="7"/>
    </row>
    <row r="292">
      <c r="A292" s="10">
        <v>42338.0</v>
      </c>
      <c r="B292" s="6" t="s">
        <v>495</v>
      </c>
      <c r="C292" s="6" t="s">
        <v>28</v>
      </c>
      <c r="D292" s="6" t="str">
        <f>IF(NOT(ISBLANK(C292)), VLOOKUP(C292,'Dataset Descriptions'!$A$2:$B$10, 2, FALSE), "")</f>
        <v>The register of all corporations that exist in the state.</v>
      </c>
      <c r="E292" s="6" t="s">
        <v>25</v>
      </c>
      <c r="F292" s="6" t="s">
        <v>25</v>
      </c>
      <c r="G292" s="6" t="s">
        <v>25</v>
      </c>
      <c r="H292" s="6" t="s">
        <v>25</v>
      </c>
      <c r="I292" s="6" t="s">
        <v>25</v>
      </c>
      <c r="J292" s="6" t="s">
        <v>23</v>
      </c>
      <c r="K292" s="6" t="s">
        <v>23</v>
      </c>
      <c r="L292" s="6" t="s">
        <v>25</v>
      </c>
      <c r="M292" s="6" t="s">
        <v>25</v>
      </c>
      <c r="N292" s="6" t="s">
        <v>23</v>
      </c>
      <c r="O292" s="6" t="s">
        <v>23</v>
      </c>
      <c r="P292" s="6" t="s">
        <v>23</v>
      </c>
      <c r="Q292" s="15" t="s">
        <v>499</v>
      </c>
      <c r="R292" s="11"/>
      <c r="S292" s="6">
        <f>IF(NOT(ISBLANK(E292)), ROUND(((IF(E292="yes",1,0)*'Grading Scale'!E$2)+(IF(F292="yes",1,0)*'Grading Scale'!E$3)+(IF(G292="yes",1,0)*'Grading Scale'!E$4)+(IF(H292="yes",1,0)*'Grading Scale'!E$5)+(IF(I292="yes",1,0)*'Grading Scale'!E$6)+(IF(J292="yes",1,0)*'Grading Scale'!E$7)+(IF(K292="yes",1,0)*'Grading Scale'!E$8)+(IF(L292="yes",1,0)*'Grading Scale'!E$9)+(IF(M292="yes",1,0)*'Grading Scale'!E$10)+(IF(N292="yes",1,0)*'Grading Scale'!E$11)+(IF(O292="yes",1,0)*'Grading Scale'!E$12)+(IF(P292="yes",1,0)*'Grading Scale'!E$13))/'Grading Scale'!E$14*100,0), "")</f>
        <v>40</v>
      </c>
      <c r="T292" s="6" t="str">
        <f>IF(ISNUMBER(S292),VLOOKUP(S292,'Grading Scale'!$A$2:$B$14, 2), "")</f>
        <v>F</v>
      </c>
      <c r="U292" s="7"/>
      <c r="V292" s="7"/>
      <c r="W292" s="7"/>
      <c r="X292" s="7"/>
      <c r="Y292" s="7"/>
      <c r="Z292" s="7"/>
      <c r="AA292" s="7"/>
      <c r="AB292" s="7"/>
      <c r="AC292" s="7"/>
      <c r="AD292" s="7"/>
      <c r="AE292" s="7"/>
      <c r="AF292" s="7"/>
      <c r="AG292" s="7"/>
      <c r="AH292" s="7"/>
      <c r="AI292" s="7"/>
      <c r="AJ292" s="7"/>
    </row>
    <row r="293">
      <c r="A293" s="10">
        <v>42338.0</v>
      </c>
      <c r="B293" s="6" t="s">
        <v>495</v>
      </c>
      <c r="C293" s="6" t="s">
        <v>31</v>
      </c>
      <c r="D293" s="6" t="str">
        <f>IF(NOT(ISBLANK(C293)), VLOOKUP(C293,'Dataset Descriptions'!$A$2:$B$10, 2, FALSE), "")</f>
        <v>Per-facility inmate population records.</v>
      </c>
      <c r="E293" s="6" t="s">
        <v>25</v>
      </c>
      <c r="F293" s="6" t="s">
        <v>25</v>
      </c>
      <c r="G293" s="6" t="s">
        <v>25</v>
      </c>
      <c r="H293" s="6" t="s">
        <v>25</v>
      </c>
      <c r="I293" s="6" t="s">
        <v>25</v>
      </c>
      <c r="J293" s="6" t="s">
        <v>23</v>
      </c>
      <c r="K293" s="6" t="s">
        <v>23</v>
      </c>
      <c r="L293" s="6" t="s">
        <v>25</v>
      </c>
      <c r="M293" s="6" t="s">
        <v>25</v>
      </c>
      <c r="N293" s="6" t="s">
        <v>23</v>
      </c>
      <c r="O293" s="6" t="s">
        <v>23</v>
      </c>
      <c r="P293" s="6" t="s">
        <v>23</v>
      </c>
      <c r="Q293" s="15" t="s">
        <v>500</v>
      </c>
      <c r="R293" s="14" t="s">
        <v>501</v>
      </c>
      <c r="S293" s="6">
        <f>IF(NOT(ISBLANK(E293)), ROUND(((IF(E293="yes",1,0)*'Grading Scale'!E$2)+(IF(F293="yes",1,0)*'Grading Scale'!E$3)+(IF(G293="yes",1,0)*'Grading Scale'!E$4)+(IF(H293="yes",1,0)*'Grading Scale'!E$5)+(IF(I293="yes",1,0)*'Grading Scale'!E$6)+(IF(J293="yes",1,0)*'Grading Scale'!E$7)+(IF(K293="yes",1,0)*'Grading Scale'!E$8)+(IF(L293="yes",1,0)*'Grading Scale'!E$9)+(IF(M293="yes",1,0)*'Grading Scale'!E$10)+(IF(N293="yes",1,0)*'Grading Scale'!E$11)+(IF(O293="yes",1,0)*'Grading Scale'!E$12)+(IF(P293="yes",1,0)*'Grading Scale'!E$13))/'Grading Scale'!E$14*100,0), "")</f>
        <v>40</v>
      </c>
      <c r="T293" s="6" t="str">
        <f>IF(ISNUMBER(S293),VLOOKUP(S293,'Grading Scale'!$A$2:$B$14, 2), "")</f>
        <v>F</v>
      </c>
      <c r="U293" s="7"/>
      <c r="V293" s="7"/>
      <c r="W293" s="7"/>
      <c r="X293" s="7"/>
      <c r="Y293" s="7"/>
      <c r="Z293" s="7"/>
      <c r="AA293" s="7"/>
      <c r="AB293" s="7"/>
      <c r="AC293" s="7"/>
      <c r="AD293" s="7"/>
      <c r="AE293" s="7"/>
      <c r="AF293" s="7"/>
      <c r="AG293" s="7"/>
      <c r="AH293" s="7"/>
      <c r="AI293" s="7"/>
      <c r="AJ293" s="7"/>
    </row>
    <row r="294">
      <c r="A294" s="10">
        <v>42384.0</v>
      </c>
      <c r="B294" s="6" t="s">
        <v>495</v>
      </c>
      <c r="C294" s="6" t="s">
        <v>34</v>
      </c>
      <c r="D294" s="6" t="str">
        <f>IF(NOT(ISBLANK(C294)), VLOOKUP(C294,'Dataset Descriptions'!$A$2:$B$10, 2, FALSE), "")</f>
        <v>Bills before the legislature, and the legislators that comprise it.</v>
      </c>
      <c r="E294" s="6" t="s">
        <v>25</v>
      </c>
      <c r="F294" s="6" t="s">
        <v>25</v>
      </c>
      <c r="G294" s="6" t="s">
        <v>25</v>
      </c>
      <c r="H294" s="6" t="s">
        <v>25</v>
      </c>
      <c r="I294" s="6" t="s">
        <v>25</v>
      </c>
      <c r="J294" s="6" t="s">
        <v>23</v>
      </c>
      <c r="K294" s="6" t="s">
        <v>23</v>
      </c>
      <c r="L294" s="6" t="s">
        <v>25</v>
      </c>
      <c r="M294" s="6" t="s">
        <v>25</v>
      </c>
      <c r="N294" s="6" t="s">
        <v>23</v>
      </c>
      <c r="O294" s="6" t="s">
        <v>23</v>
      </c>
      <c r="P294" s="6" t="s">
        <v>25</v>
      </c>
      <c r="Q294" s="15" t="s">
        <v>502</v>
      </c>
      <c r="R294" s="11"/>
      <c r="S294" s="6">
        <f>IF(NOT(ISBLANK(E294)), ROUND(((IF(E294="yes",1,0)*'Grading Scale'!E$2)+(IF(F294="yes",1,0)*'Grading Scale'!E$3)+(IF(G294="yes",1,0)*'Grading Scale'!E$4)+(IF(H294="yes",1,0)*'Grading Scale'!E$5)+(IF(I294="yes",1,0)*'Grading Scale'!E$6)+(IF(J294="yes",1,0)*'Grading Scale'!E$7)+(IF(K294="yes",1,0)*'Grading Scale'!E$8)+(IF(L294="yes",1,0)*'Grading Scale'!E$9)+(IF(M294="yes",1,0)*'Grading Scale'!E$10)+(IF(N294="yes",1,0)*'Grading Scale'!E$11)+(IF(O294="yes",1,0)*'Grading Scale'!E$12)+(IF(P294="yes",1,0)*'Grading Scale'!E$13))/'Grading Scale'!E$14*100,0), "")</f>
        <v>45</v>
      </c>
      <c r="T294" s="6" t="str">
        <f>IF(ISNUMBER(S294),VLOOKUP(S294,'Grading Scale'!$A$2:$B$14, 2), "")</f>
        <v>F</v>
      </c>
      <c r="U294" s="7"/>
      <c r="V294" s="7"/>
      <c r="W294" s="7"/>
      <c r="X294" s="7"/>
      <c r="Y294" s="7"/>
      <c r="Z294" s="7"/>
      <c r="AA294" s="7"/>
      <c r="AB294" s="7"/>
      <c r="AC294" s="7"/>
      <c r="AD294" s="7"/>
      <c r="AE294" s="7"/>
      <c r="AF294" s="7"/>
      <c r="AG294" s="7"/>
      <c r="AH294" s="7"/>
      <c r="AI294" s="7"/>
      <c r="AJ294" s="7"/>
    </row>
    <row r="295">
      <c r="A295" s="10">
        <v>42338.0</v>
      </c>
      <c r="B295" s="6" t="s">
        <v>495</v>
      </c>
      <c r="C295" s="6" t="s">
        <v>37</v>
      </c>
      <c r="D295" s="6" t="str">
        <f>IF(NOT(ISBLANK(C295)), VLOOKUP(C295,'Dataset Descriptions'!$A$2:$B$10, 2, FALSE), "")</f>
        <v>Forecasts of municipal-level changes in population over coming years.</v>
      </c>
      <c r="E295" s="6" t="s">
        <v>25</v>
      </c>
      <c r="F295" s="6" t="s">
        <v>25</v>
      </c>
      <c r="G295" s="6" t="s">
        <v>25</v>
      </c>
      <c r="H295" s="6" t="s">
        <v>25</v>
      </c>
      <c r="I295" s="6" t="s">
        <v>25</v>
      </c>
      <c r="J295" s="6" t="s">
        <v>25</v>
      </c>
      <c r="K295" s="6" t="s">
        <v>25</v>
      </c>
      <c r="L295" s="6" t="s">
        <v>25</v>
      </c>
      <c r="M295" s="6" t="s">
        <v>25</v>
      </c>
      <c r="N295" s="6" t="s">
        <v>23</v>
      </c>
      <c r="O295" s="6" t="s">
        <v>23</v>
      </c>
      <c r="P295" s="6" t="s">
        <v>23</v>
      </c>
      <c r="Q295" s="15" t="s">
        <v>503</v>
      </c>
      <c r="R295" s="14" t="s">
        <v>74</v>
      </c>
      <c r="S295" s="6">
        <f>IF(NOT(ISBLANK(E295)), ROUND(((IF(E295="yes",1,0)*'Grading Scale'!E$2)+(IF(F295="yes",1,0)*'Grading Scale'!E$3)+(IF(G295="yes",1,0)*'Grading Scale'!E$4)+(IF(H295="yes",1,0)*'Grading Scale'!E$5)+(IF(I295="yes",1,0)*'Grading Scale'!E$6)+(IF(J295="yes",1,0)*'Grading Scale'!E$7)+(IF(K295="yes",1,0)*'Grading Scale'!E$8)+(IF(L295="yes",1,0)*'Grading Scale'!E$9)+(IF(M295="yes",1,0)*'Grading Scale'!E$10)+(IF(N295="yes",1,0)*'Grading Scale'!E$11)+(IF(O295="yes",1,0)*'Grading Scale'!E$12)+(IF(P295="yes",1,0)*'Grading Scale'!E$13))/'Grading Scale'!E$14*100,0), "")</f>
        <v>85</v>
      </c>
      <c r="T295" s="6" t="str">
        <f>IF(ISNUMBER(S295),VLOOKUP(S295,'Grading Scale'!$A$2:$B$14, 2), "")</f>
        <v>B</v>
      </c>
      <c r="U295" s="7"/>
      <c r="V295" s="7"/>
      <c r="W295" s="7"/>
      <c r="X295" s="7"/>
      <c r="Y295" s="7"/>
      <c r="Z295" s="7"/>
      <c r="AA295" s="7"/>
      <c r="AB295" s="7"/>
      <c r="AC295" s="7"/>
      <c r="AD295" s="7"/>
      <c r="AE295" s="7"/>
      <c r="AF295" s="7"/>
      <c r="AG295" s="7"/>
      <c r="AH295" s="7"/>
      <c r="AI295" s="7"/>
      <c r="AJ295" s="7"/>
    </row>
    <row r="296">
      <c r="A296" s="10">
        <v>42338.0</v>
      </c>
      <c r="B296" s="6" t="s">
        <v>495</v>
      </c>
      <c r="C296" s="6" t="s">
        <v>40</v>
      </c>
      <c r="D296" s="6" t="str">
        <f>IF(NOT(ISBLANK(C296)), VLOOKUP(C296,'Dataset Descriptions'!$A$2:$B$10, 2, FALSE), "")</f>
        <v>State-owned land and buildings.</v>
      </c>
      <c r="E296" s="6" t="s">
        <v>25</v>
      </c>
      <c r="F296" s="6" t="s">
        <v>25</v>
      </c>
      <c r="G296" s="6" t="s">
        <v>25</v>
      </c>
      <c r="H296" s="6" t="s">
        <v>25</v>
      </c>
      <c r="I296" s="6" t="s">
        <v>25</v>
      </c>
      <c r="J296" s="6" t="s">
        <v>23</v>
      </c>
      <c r="K296" s="6" t="s">
        <v>23</v>
      </c>
      <c r="L296" s="6" t="s">
        <v>25</v>
      </c>
      <c r="M296" s="6" t="s">
        <v>25</v>
      </c>
      <c r="N296" s="6" t="s">
        <v>23</v>
      </c>
      <c r="O296" s="6" t="s">
        <v>23</v>
      </c>
      <c r="P296" s="6" t="s">
        <v>25</v>
      </c>
      <c r="Q296" s="15" t="s">
        <v>504</v>
      </c>
      <c r="R296" s="11"/>
      <c r="S296" s="6">
        <f>IF(NOT(ISBLANK(E296)), ROUND(((IF(E296="yes",1,0)*'Grading Scale'!E$2)+(IF(F296="yes",1,0)*'Grading Scale'!E$3)+(IF(G296="yes",1,0)*'Grading Scale'!E$4)+(IF(H296="yes",1,0)*'Grading Scale'!E$5)+(IF(I296="yes",1,0)*'Grading Scale'!E$6)+(IF(J296="yes",1,0)*'Grading Scale'!E$7)+(IF(K296="yes",1,0)*'Grading Scale'!E$8)+(IF(L296="yes",1,0)*'Grading Scale'!E$9)+(IF(M296="yes",1,0)*'Grading Scale'!E$10)+(IF(N296="yes",1,0)*'Grading Scale'!E$11)+(IF(O296="yes",1,0)*'Grading Scale'!E$12)+(IF(P296="yes",1,0)*'Grading Scale'!E$13))/'Grading Scale'!E$14*100,0), "")</f>
        <v>45</v>
      </c>
      <c r="T296" s="6" t="str">
        <f>IF(ISNUMBER(S296),VLOOKUP(S296,'Grading Scale'!$A$2:$B$14, 2), "")</f>
        <v>F</v>
      </c>
      <c r="U296" s="7"/>
      <c r="V296" s="7"/>
      <c r="W296" s="7"/>
      <c r="X296" s="7"/>
      <c r="Y296" s="7"/>
      <c r="Z296" s="7"/>
      <c r="AA296" s="7"/>
      <c r="AB296" s="7"/>
      <c r="AC296" s="7"/>
      <c r="AD296" s="7"/>
      <c r="AE296" s="7"/>
      <c r="AF296" s="7"/>
      <c r="AG296" s="7"/>
      <c r="AH296" s="7"/>
      <c r="AI296" s="7"/>
      <c r="AJ296" s="7"/>
    </row>
    <row r="297">
      <c r="A297" s="10">
        <v>42338.0</v>
      </c>
      <c r="B297" s="6" t="s">
        <v>495</v>
      </c>
      <c r="C297" s="6" t="s">
        <v>43</v>
      </c>
      <c r="D297" s="6" t="str">
        <f>IF(NOT(ISBLANK(C297)), VLOOKUP(C297,'Dataset Descriptions'!$A$2:$B$10, 2, FALSE), "")</f>
        <v>Health inspections of establishments that serve food to the public.</v>
      </c>
      <c r="E297" s="6" t="s">
        <v>23</v>
      </c>
      <c r="F297" s="6" t="s">
        <v>23</v>
      </c>
      <c r="G297" s="6" t="s">
        <v>23</v>
      </c>
      <c r="H297" s="6" t="s">
        <v>23</v>
      </c>
      <c r="I297" s="6" t="s">
        <v>23</v>
      </c>
      <c r="J297" s="6" t="s">
        <v>23</v>
      </c>
      <c r="K297" s="6" t="s">
        <v>23</v>
      </c>
      <c r="L297" s="6" t="s">
        <v>23</v>
      </c>
      <c r="M297" s="6" t="s">
        <v>23</v>
      </c>
      <c r="N297" s="6" t="s">
        <v>23</v>
      </c>
      <c r="O297" s="6" t="s">
        <v>23</v>
      </c>
      <c r="P297" s="6" t="s">
        <v>23</v>
      </c>
      <c r="Q297" s="8"/>
      <c r="R297" s="11"/>
      <c r="S297" s="6">
        <f>IF(NOT(ISBLANK(E297)), ROUND(((IF(E297="yes",1,0)*'Grading Scale'!E$2)+(IF(F297="yes",1,0)*'Grading Scale'!E$3)+(IF(G297="yes",1,0)*'Grading Scale'!E$4)+(IF(H297="yes",1,0)*'Grading Scale'!E$5)+(IF(I297="yes",1,0)*'Grading Scale'!E$6)+(IF(J297="yes",1,0)*'Grading Scale'!E$7)+(IF(K297="yes",1,0)*'Grading Scale'!E$8)+(IF(L297="yes",1,0)*'Grading Scale'!E$9)+(IF(M297="yes",1,0)*'Grading Scale'!E$10)+(IF(N297="yes",1,0)*'Grading Scale'!E$11)+(IF(O297="yes",1,0)*'Grading Scale'!E$12)+(IF(P297="yes",1,0)*'Grading Scale'!E$13))/'Grading Scale'!E$14*100,0), "")</f>
        <v>0</v>
      </c>
      <c r="T297" s="6" t="str">
        <f>IF(ISNUMBER(S297),VLOOKUP(S297,'Grading Scale'!$A$2:$B$14, 2), "")</f>
        <v>F</v>
      </c>
      <c r="U297" s="7"/>
      <c r="V297" s="7"/>
      <c r="W297" s="7"/>
      <c r="X297" s="7"/>
      <c r="Y297" s="7"/>
      <c r="Z297" s="7"/>
      <c r="AA297" s="7"/>
      <c r="AB297" s="7"/>
      <c r="AC297" s="7"/>
      <c r="AD297" s="7"/>
      <c r="AE297" s="7"/>
      <c r="AF297" s="7"/>
      <c r="AG297" s="7"/>
      <c r="AH297" s="7"/>
      <c r="AI297" s="7"/>
      <c r="AJ297" s="7"/>
    </row>
    <row r="298">
      <c r="A298" s="10">
        <v>42338.0</v>
      </c>
      <c r="B298" s="6" t="s">
        <v>495</v>
      </c>
      <c r="C298" s="6" t="s">
        <v>46</v>
      </c>
      <c r="D298" s="6" t="str">
        <f>IF(NOT(ISBLANK(C298)), VLOOKUP(C298,'Dataset Descriptions'!$A$2:$B$10, 2, FALSE), "")</f>
        <v>Incident-level reportable motor vehicle crash records.</v>
      </c>
      <c r="E298" s="6" t="s">
        <v>25</v>
      </c>
      <c r="F298" s="6" t="s">
        <v>25</v>
      </c>
      <c r="G298" s="6" t="s">
        <v>25</v>
      </c>
      <c r="H298" s="6" t="s">
        <v>25</v>
      </c>
      <c r="I298" s="6" t="s">
        <v>25</v>
      </c>
      <c r="J298" s="6" t="s">
        <v>25</v>
      </c>
      <c r="K298" s="6" t="s">
        <v>25</v>
      </c>
      <c r="L298" s="6" t="s">
        <v>25</v>
      </c>
      <c r="M298" s="6" t="s">
        <v>25</v>
      </c>
      <c r="N298" s="6" t="s">
        <v>23</v>
      </c>
      <c r="O298" s="6" t="s">
        <v>23</v>
      </c>
      <c r="P298" s="6" t="s">
        <v>23</v>
      </c>
      <c r="Q298" s="15" t="s">
        <v>505</v>
      </c>
      <c r="R298" s="14" t="s">
        <v>506</v>
      </c>
      <c r="S298" s="6">
        <f>IF(NOT(ISBLANK(E298)), ROUND(((IF(E298="yes",1,0)*'Grading Scale'!E$2)+(IF(F298="yes",1,0)*'Grading Scale'!E$3)+(IF(G298="yes",1,0)*'Grading Scale'!E$4)+(IF(H298="yes",1,0)*'Grading Scale'!E$5)+(IF(I298="yes",1,0)*'Grading Scale'!E$6)+(IF(J298="yes",1,0)*'Grading Scale'!E$7)+(IF(K298="yes",1,0)*'Grading Scale'!E$8)+(IF(L298="yes",1,0)*'Grading Scale'!E$9)+(IF(M298="yes",1,0)*'Grading Scale'!E$10)+(IF(N298="yes",1,0)*'Grading Scale'!E$11)+(IF(O298="yes",1,0)*'Grading Scale'!E$12)+(IF(P298="yes",1,0)*'Grading Scale'!E$13))/'Grading Scale'!E$14*100,0), "")</f>
        <v>85</v>
      </c>
      <c r="T298" s="6" t="str">
        <f>IF(ISNUMBER(S298),VLOOKUP(S298,'Grading Scale'!$A$2:$B$14, 2), "")</f>
        <v>B</v>
      </c>
      <c r="U298" s="7"/>
      <c r="V298" s="7"/>
      <c r="W298" s="7"/>
      <c r="X298" s="7"/>
      <c r="Y298" s="7"/>
      <c r="Z298" s="7"/>
      <c r="AA298" s="7"/>
      <c r="AB298" s="7"/>
      <c r="AC298" s="7"/>
      <c r="AD298" s="7"/>
      <c r="AE298" s="7"/>
      <c r="AF298" s="7"/>
      <c r="AG298" s="7"/>
      <c r="AH298" s="7"/>
      <c r="AI298" s="7"/>
      <c r="AJ298" s="7"/>
    </row>
    <row r="299">
      <c r="A299" s="4">
        <v>42408.0</v>
      </c>
      <c r="B299" s="5" t="s">
        <v>507</v>
      </c>
      <c r="C299" s="5" t="s">
        <v>21</v>
      </c>
      <c r="D299" s="6" t="str">
        <f>IF(NOT(ISBLANK(C299)), VLOOKUP(C299,'Dataset Descriptions'!$A$2:$B$10, 2, FALSE), "")</f>
        <v>The geographic coordinates for physical addresses.</v>
      </c>
      <c r="E299" s="5" t="s">
        <v>22</v>
      </c>
      <c r="F299" s="5" t="s">
        <v>22</v>
      </c>
      <c r="G299" s="5" t="s">
        <v>22</v>
      </c>
      <c r="H299" s="5" t="s">
        <v>22</v>
      </c>
      <c r="I299" s="5" t="s">
        <v>23</v>
      </c>
      <c r="J299" s="5" t="s">
        <v>22</v>
      </c>
      <c r="K299" s="5" t="s">
        <v>22</v>
      </c>
      <c r="L299" s="5" t="s">
        <v>22</v>
      </c>
      <c r="M299" s="5" t="s">
        <v>22</v>
      </c>
      <c r="N299" s="5" t="s">
        <v>23</v>
      </c>
      <c r="O299" s="5" t="s">
        <v>22</v>
      </c>
      <c r="P299" s="5" t="s">
        <v>22</v>
      </c>
      <c r="Q299" s="7"/>
      <c r="R299" s="6" t="s">
        <v>508</v>
      </c>
      <c r="S299" s="6">
        <f>IF(NOT(ISBLANK(E299)), ROUND(((IF(E299="yes",1,0)*'Grading Scale'!E$2)+(IF(F299="yes",1,0)*'Grading Scale'!E$3)+(IF(G299="yes",1,0)*'Grading Scale'!E$4)+(IF(H299="yes",1,0)*'Grading Scale'!E$5)+(IF(I299="yes",1,0)*'Grading Scale'!E$6)+(IF(J299="yes",1,0)*'Grading Scale'!E$7)+(IF(K299="yes",1,0)*'Grading Scale'!E$8)+(IF(L299="yes",1,0)*'Grading Scale'!E$9)+(IF(M299="yes",1,0)*'Grading Scale'!E$10)+(IF(N299="yes",1,0)*'Grading Scale'!E$11)+(IF(O299="yes",1,0)*'Grading Scale'!E$12)+(IF(P299="yes",1,0)*'Grading Scale'!E$13))/'Grading Scale'!E$14*100,0), "")</f>
        <v>0</v>
      </c>
      <c r="T299" s="6" t="str">
        <f>IF(ISNUMBER(S299),VLOOKUP(S299,'Grading Scale'!$A$2:$B$14, 2), "")</f>
        <v>F</v>
      </c>
      <c r="U299" s="7"/>
      <c r="V299" s="7"/>
      <c r="W299" s="7"/>
      <c r="X299" s="7"/>
      <c r="Y299" s="7"/>
      <c r="Z299" s="7"/>
      <c r="AA299" s="7"/>
      <c r="AB299" s="7"/>
      <c r="AC299" s="7"/>
      <c r="AD299" s="7"/>
      <c r="AE299" s="7"/>
      <c r="AF299" s="7"/>
      <c r="AG299" s="7"/>
      <c r="AH299" s="7"/>
      <c r="AI299" s="7"/>
      <c r="AJ299" s="7"/>
    </row>
    <row r="300">
      <c r="A300" s="4">
        <v>42408.0</v>
      </c>
      <c r="B300" s="5" t="s">
        <v>507</v>
      </c>
      <c r="C300" s="5" t="s">
        <v>24</v>
      </c>
      <c r="D300" s="6" t="str">
        <f>IF(NOT(ISBLANK(C300)), VLOOKUP(C300,'Dataset Descriptions'!$A$2:$B$10, 2, FALSE), "")</f>
        <v>Transaction-level, per-agency spending records.</v>
      </c>
      <c r="E300" s="5" t="s">
        <v>25</v>
      </c>
      <c r="F300" s="5" t="s">
        <v>25</v>
      </c>
      <c r="G300" s="5" t="s">
        <v>25</v>
      </c>
      <c r="H300" s="5" t="s">
        <v>25</v>
      </c>
      <c r="I300" s="5" t="s">
        <v>25</v>
      </c>
      <c r="J300" s="5" t="s">
        <v>25</v>
      </c>
      <c r="K300" s="5" t="s">
        <v>23</v>
      </c>
      <c r="L300" s="5" t="s">
        <v>25</v>
      </c>
      <c r="M300" s="5" t="s">
        <v>25</v>
      </c>
      <c r="N300" s="5" t="s">
        <v>23</v>
      </c>
      <c r="O300" s="5" t="s">
        <v>23</v>
      </c>
      <c r="P300" s="5" t="s">
        <v>23</v>
      </c>
      <c r="Q300" s="9" t="s">
        <v>509</v>
      </c>
      <c r="R300" s="6" t="s">
        <v>510</v>
      </c>
      <c r="S300" s="6">
        <f>IF(NOT(ISBLANK(E300)), ROUND(((IF(E300="yes",1,0)*'Grading Scale'!E$2)+(IF(F300="yes",1,0)*'Grading Scale'!E$3)+(IF(G300="yes",1,0)*'Grading Scale'!E$4)+(IF(H300="yes",1,0)*'Grading Scale'!E$5)+(IF(I300="yes",1,0)*'Grading Scale'!E$6)+(IF(J300="yes",1,0)*'Grading Scale'!E$7)+(IF(K300="yes",1,0)*'Grading Scale'!E$8)+(IF(L300="yes",1,0)*'Grading Scale'!E$9)+(IF(M300="yes",1,0)*'Grading Scale'!E$10)+(IF(N300="yes",1,0)*'Grading Scale'!E$11)+(IF(O300="yes",1,0)*'Grading Scale'!E$12)+(IF(P300="yes",1,0)*'Grading Scale'!E$13))/'Grading Scale'!E$14*100,0), "")</f>
        <v>80</v>
      </c>
      <c r="T300" s="6" t="str">
        <f>IF(ISNUMBER(S300),VLOOKUP(S300,'Grading Scale'!$A$2:$B$14, 2), "")</f>
        <v>B−</v>
      </c>
      <c r="U300" s="7"/>
      <c r="V300" s="7"/>
      <c r="W300" s="7"/>
      <c r="X300" s="7"/>
      <c r="Y300" s="7"/>
      <c r="Z300" s="7"/>
      <c r="AA300" s="7"/>
      <c r="AB300" s="7"/>
      <c r="AC300" s="7"/>
      <c r="AD300" s="7"/>
      <c r="AE300" s="7"/>
      <c r="AF300" s="7"/>
      <c r="AG300" s="7"/>
      <c r="AH300" s="7"/>
      <c r="AI300" s="7"/>
      <c r="AJ300" s="7"/>
    </row>
    <row r="301">
      <c r="A301" s="4">
        <v>42408.0</v>
      </c>
      <c r="B301" s="5" t="s">
        <v>507</v>
      </c>
      <c r="C301" s="5" t="s">
        <v>28</v>
      </c>
      <c r="D301" s="6" t="str">
        <f>IF(NOT(ISBLANK(C301)), VLOOKUP(C301,'Dataset Descriptions'!$A$2:$B$10, 2, FALSE), "")</f>
        <v>The register of all corporations that exist in the state.</v>
      </c>
      <c r="E301" s="5" t="s">
        <v>25</v>
      </c>
      <c r="F301" s="5" t="s">
        <v>25</v>
      </c>
      <c r="G301" s="5" t="s">
        <v>25</v>
      </c>
      <c r="H301" s="5" t="s">
        <v>25</v>
      </c>
      <c r="I301" s="5" t="s">
        <v>25</v>
      </c>
      <c r="J301" s="5" t="s">
        <v>23</v>
      </c>
      <c r="K301" s="5" t="s">
        <v>25</v>
      </c>
      <c r="L301" s="5" t="s">
        <v>23</v>
      </c>
      <c r="M301" s="5" t="s">
        <v>25</v>
      </c>
      <c r="N301" s="5" t="s">
        <v>23</v>
      </c>
      <c r="O301" s="5" t="s">
        <v>25</v>
      </c>
      <c r="P301" s="5" t="s">
        <v>23</v>
      </c>
      <c r="Q301" s="9" t="s">
        <v>511</v>
      </c>
      <c r="R301" s="6" t="s">
        <v>512</v>
      </c>
      <c r="S301" s="6">
        <f>IF(NOT(ISBLANK(E301)), ROUND(((IF(E301="yes",1,0)*'Grading Scale'!E$2)+(IF(F301="yes",1,0)*'Grading Scale'!E$3)+(IF(G301="yes",1,0)*'Grading Scale'!E$4)+(IF(H301="yes",1,0)*'Grading Scale'!E$5)+(IF(I301="yes",1,0)*'Grading Scale'!E$6)+(IF(J301="yes",1,0)*'Grading Scale'!E$7)+(IF(K301="yes",1,0)*'Grading Scale'!E$8)+(IF(L301="yes",1,0)*'Grading Scale'!E$9)+(IF(M301="yes",1,0)*'Grading Scale'!E$10)+(IF(N301="yes",1,0)*'Grading Scale'!E$11)+(IF(O301="yes",1,0)*'Grading Scale'!E$12)+(IF(P301="yes",1,0)*'Grading Scale'!E$13))/'Grading Scale'!E$14*100,0), "")</f>
        <v>45</v>
      </c>
      <c r="T301" s="6" t="str">
        <f>IF(ISNUMBER(S301),VLOOKUP(S301,'Grading Scale'!$A$2:$B$14, 2), "")</f>
        <v>F</v>
      </c>
      <c r="U301" s="7"/>
      <c r="V301" s="7"/>
      <c r="W301" s="7"/>
      <c r="X301" s="7"/>
      <c r="Y301" s="7"/>
      <c r="Z301" s="7"/>
      <c r="AA301" s="7"/>
      <c r="AB301" s="7"/>
      <c r="AC301" s="7"/>
      <c r="AD301" s="7"/>
      <c r="AE301" s="7"/>
      <c r="AF301" s="7"/>
      <c r="AG301" s="7"/>
      <c r="AH301" s="7"/>
      <c r="AI301" s="7"/>
      <c r="AJ301" s="7"/>
    </row>
    <row r="302">
      <c r="A302" s="4">
        <v>42408.0</v>
      </c>
      <c r="B302" s="5" t="s">
        <v>507</v>
      </c>
      <c r="C302" s="5" t="s">
        <v>31</v>
      </c>
      <c r="D302" s="6" t="str">
        <f>IF(NOT(ISBLANK(C302)), VLOOKUP(C302,'Dataset Descriptions'!$A$2:$B$10, 2, FALSE), "")</f>
        <v>Per-facility inmate population records.</v>
      </c>
      <c r="E302" s="5" t="s">
        <v>25</v>
      </c>
      <c r="F302" s="5" t="s">
        <v>25</v>
      </c>
      <c r="G302" s="5" t="s">
        <v>25</v>
      </c>
      <c r="H302" s="5" t="s">
        <v>25</v>
      </c>
      <c r="I302" s="5" t="s">
        <v>25</v>
      </c>
      <c r="J302" s="5" t="s">
        <v>23</v>
      </c>
      <c r="K302" s="5" t="s">
        <v>23</v>
      </c>
      <c r="L302" s="5" t="s">
        <v>23</v>
      </c>
      <c r="M302" s="5" t="s">
        <v>25</v>
      </c>
      <c r="N302" s="5" t="s">
        <v>23</v>
      </c>
      <c r="O302" s="5" t="s">
        <v>23</v>
      </c>
      <c r="P302" s="5" t="s">
        <v>23</v>
      </c>
      <c r="Q302" s="9" t="s">
        <v>513</v>
      </c>
      <c r="R302" s="6" t="s">
        <v>514</v>
      </c>
      <c r="S302" s="6">
        <f>IF(NOT(ISBLANK(E302)), ROUND(((IF(E302="yes",1,0)*'Grading Scale'!E$2)+(IF(F302="yes",1,0)*'Grading Scale'!E$3)+(IF(G302="yes",1,0)*'Grading Scale'!E$4)+(IF(H302="yes",1,0)*'Grading Scale'!E$5)+(IF(I302="yes",1,0)*'Grading Scale'!E$6)+(IF(J302="yes",1,0)*'Grading Scale'!E$7)+(IF(K302="yes",1,0)*'Grading Scale'!E$8)+(IF(L302="yes",1,0)*'Grading Scale'!E$9)+(IF(M302="yes",1,0)*'Grading Scale'!E$10)+(IF(N302="yes",1,0)*'Grading Scale'!E$11)+(IF(O302="yes",1,0)*'Grading Scale'!E$12)+(IF(P302="yes",1,0)*'Grading Scale'!E$13))/'Grading Scale'!E$14*100,0), "")</f>
        <v>35</v>
      </c>
      <c r="T302" s="6" t="str">
        <f>IF(ISNUMBER(S302),VLOOKUP(S302,'Grading Scale'!$A$2:$B$14, 2), "")</f>
        <v>F</v>
      </c>
      <c r="U302" s="7"/>
      <c r="V302" s="7"/>
      <c r="W302" s="7"/>
      <c r="X302" s="7"/>
      <c r="Y302" s="7"/>
      <c r="Z302" s="7"/>
      <c r="AA302" s="7"/>
      <c r="AB302" s="7"/>
      <c r="AC302" s="7"/>
      <c r="AD302" s="7"/>
      <c r="AE302" s="7"/>
      <c r="AF302" s="7"/>
      <c r="AG302" s="7"/>
      <c r="AH302" s="7"/>
      <c r="AI302" s="7"/>
      <c r="AJ302" s="7"/>
    </row>
    <row r="303">
      <c r="A303" s="4">
        <v>42408.0</v>
      </c>
      <c r="B303" s="5" t="s">
        <v>507</v>
      </c>
      <c r="C303" s="5" t="s">
        <v>34</v>
      </c>
      <c r="D303" s="6" t="str">
        <f>IF(NOT(ISBLANK(C303)), VLOOKUP(C303,'Dataset Descriptions'!$A$2:$B$10, 2, FALSE), "")</f>
        <v>Bills before the legislature, and the legislators that comprise it.</v>
      </c>
      <c r="E303" s="5" t="s">
        <v>25</v>
      </c>
      <c r="F303" s="5" t="s">
        <v>25</v>
      </c>
      <c r="G303" s="5" t="s">
        <v>25</v>
      </c>
      <c r="H303" s="5" t="s">
        <v>25</v>
      </c>
      <c r="I303" s="5" t="s">
        <v>25</v>
      </c>
      <c r="J303" s="5" t="s">
        <v>23</v>
      </c>
      <c r="K303" s="5" t="s">
        <v>23</v>
      </c>
      <c r="L303" s="5" t="s">
        <v>23</v>
      </c>
      <c r="M303" s="5" t="s">
        <v>25</v>
      </c>
      <c r="N303" s="5" t="s">
        <v>23</v>
      </c>
      <c r="O303" s="5" t="s">
        <v>23</v>
      </c>
      <c r="P303" s="5" t="s">
        <v>25</v>
      </c>
      <c r="Q303" s="9" t="s">
        <v>515</v>
      </c>
      <c r="R303" s="8"/>
      <c r="S303" s="6">
        <f>IF(NOT(ISBLANK(E303)), ROUND(((IF(E303="yes",1,0)*'Grading Scale'!E$2)+(IF(F303="yes",1,0)*'Grading Scale'!E$3)+(IF(G303="yes",1,0)*'Grading Scale'!E$4)+(IF(H303="yes",1,0)*'Grading Scale'!E$5)+(IF(I303="yes",1,0)*'Grading Scale'!E$6)+(IF(J303="yes",1,0)*'Grading Scale'!E$7)+(IF(K303="yes",1,0)*'Grading Scale'!E$8)+(IF(L303="yes",1,0)*'Grading Scale'!E$9)+(IF(M303="yes",1,0)*'Grading Scale'!E$10)+(IF(N303="yes",1,0)*'Grading Scale'!E$11)+(IF(O303="yes",1,0)*'Grading Scale'!E$12)+(IF(P303="yes",1,0)*'Grading Scale'!E$13))/'Grading Scale'!E$14*100,0), "")</f>
        <v>40</v>
      </c>
      <c r="T303" s="6" t="str">
        <f>IF(ISNUMBER(S303),VLOOKUP(S303,'Grading Scale'!$A$2:$B$14, 2), "")</f>
        <v>F</v>
      </c>
      <c r="U303" s="7"/>
      <c r="V303" s="7"/>
      <c r="W303" s="7"/>
      <c r="X303" s="7"/>
      <c r="Y303" s="7"/>
      <c r="Z303" s="7"/>
      <c r="AA303" s="7"/>
      <c r="AB303" s="7"/>
      <c r="AC303" s="7"/>
      <c r="AD303" s="7"/>
      <c r="AE303" s="7"/>
      <c r="AF303" s="7"/>
      <c r="AG303" s="7"/>
      <c r="AH303" s="7"/>
      <c r="AI303" s="7"/>
      <c r="AJ303" s="7"/>
    </row>
    <row r="304">
      <c r="A304" s="4">
        <v>42408.0</v>
      </c>
      <c r="B304" s="5" t="s">
        <v>507</v>
      </c>
      <c r="C304" s="6" t="s">
        <v>37</v>
      </c>
      <c r="D304" s="6" t="str">
        <f>IF(NOT(ISBLANK(C304)), VLOOKUP(C304,'Dataset Descriptions'!$A$2:$B$10, 2, FALSE), "")</f>
        <v>Forecasts of municipal-level changes in population over coming years.</v>
      </c>
      <c r="E304" s="5" t="s">
        <v>22</v>
      </c>
      <c r="F304" s="5" t="s">
        <v>22</v>
      </c>
      <c r="G304" s="5" t="s">
        <v>22</v>
      </c>
      <c r="H304" s="5" t="s">
        <v>22</v>
      </c>
      <c r="I304" s="5" t="s">
        <v>23</v>
      </c>
      <c r="J304" s="5" t="s">
        <v>22</v>
      </c>
      <c r="K304" s="5" t="s">
        <v>22</v>
      </c>
      <c r="L304" s="5" t="s">
        <v>22</v>
      </c>
      <c r="M304" s="5" t="s">
        <v>22</v>
      </c>
      <c r="N304" s="5" t="s">
        <v>23</v>
      </c>
      <c r="O304" s="5" t="s">
        <v>22</v>
      </c>
      <c r="P304" s="5" t="s">
        <v>22</v>
      </c>
      <c r="Q304" s="7"/>
      <c r="R304" s="6" t="s">
        <v>516</v>
      </c>
      <c r="S304" s="6">
        <f>IF(NOT(ISBLANK(E304)), ROUND(((IF(E304="yes",1,0)*'Grading Scale'!E$2)+(IF(F304="yes",1,0)*'Grading Scale'!E$3)+(IF(G304="yes",1,0)*'Grading Scale'!E$4)+(IF(H304="yes",1,0)*'Grading Scale'!E$5)+(IF(I304="yes",1,0)*'Grading Scale'!E$6)+(IF(J304="yes",1,0)*'Grading Scale'!E$7)+(IF(K304="yes",1,0)*'Grading Scale'!E$8)+(IF(L304="yes",1,0)*'Grading Scale'!E$9)+(IF(M304="yes",1,0)*'Grading Scale'!E$10)+(IF(N304="yes",1,0)*'Grading Scale'!E$11)+(IF(O304="yes",1,0)*'Grading Scale'!E$12)+(IF(P304="yes",1,0)*'Grading Scale'!E$13))/'Grading Scale'!E$14*100,0), "")</f>
        <v>0</v>
      </c>
      <c r="T304" s="6" t="str">
        <f>IF(ISNUMBER(S304),VLOOKUP(S304,'Grading Scale'!$A$2:$B$14, 2), "")</f>
        <v>F</v>
      </c>
      <c r="U304" s="7"/>
      <c r="V304" s="7"/>
      <c r="W304" s="7"/>
      <c r="X304" s="7"/>
      <c r="Y304" s="7"/>
      <c r="Z304" s="7"/>
      <c r="AA304" s="7"/>
      <c r="AB304" s="7"/>
      <c r="AC304" s="7"/>
      <c r="AD304" s="7"/>
      <c r="AE304" s="7"/>
      <c r="AF304" s="7"/>
      <c r="AG304" s="7"/>
      <c r="AH304" s="7"/>
      <c r="AI304" s="7"/>
      <c r="AJ304" s="7"/>
    </row>
    <row r="305">
      <c r="A305" s="4">
        <v>42408.0</v>
      </c>
      <c r="B305" s="5" t="s">
        <v>507</v>
      </c>
      <c r="C305" s="5" t="s">
        <v>40</v>
      </c>
      <c r="D305" s="6" t="str">
        <f>IF(NOT(ISBLANK(C305)), VLOOKUP(C305,'Dataset Descriptions'!$A$2:$B$10, 2, FALSE), "")</f>
        <v>State-owned land and buildings.</v>
      </c>
      <c r="E305" s="5" t="s">
        <v>22</v>
      </c>
      <c r="F305" s="5" t="s">
        <v>22</v>
      </c>
      <c r="G305" s="5" t="s">
        <v>22</v>
      </c>
      <c r="H305" s="5" t="s">
        <v>22</v>
      </c>
      <c r="I305" s="5" t="s">
        <v>23</v>
      </c>
      <c r="J305" s="5" t="s">
        <v>22</v>
      </c>
      <c r="K305" s="5" t="s">
        <v>22</v>
      </c>
      <c r="L305" s="5" t="s">
        <v>22</v>
      </c>
      <c r="M305" s="5" t="s">
        <v>22</v>
      </c>
      <c r="N305" s="5" t="s">
        <v>23</v>
      </c>
      <c r="O305" s="5" t="s">
        <v>22</v>
      </c>
      <c r="P305" s="5" t="s">
        <v>22</v>
      </c>
      <c r="Q305" s="7"/>
      <c r="R305" s="6" t="s">
        <v>60</v>
      </c>
      <c r="S305" s="6">
        <f>IF(NOT(ISBLANK(E305)), ROUND(((IF(E305="yes",1,0)*'Grading Scale'!E$2)+(IF(F305="yes",1,0)*'Grading Scale'!E$3)+(IF(G305="yes",1,0)*'Grading Scale'!E$4)+(IF(H305="yes",1,0)*'Grading Scale'!E$5)+(IF(I305="yes",1,0)*'Grading Scale'!E$6)+(IF(J305="yes",1,0)*'Grading Scale'!E$7)+(IF(K305="yes",1,0)*'Grading Scale'!E$8)+(IF(L305="yes",1,0)*'Grading Scale'!E$9)+(IF(M305="yes",1,0)*'Grading Scale'!E$10)+(IF(N305="yes",1,0)*'Grading Scale'!E$11)+(IF(O305="yes",1,0)*'Grading Scale'!E$12)+(IF(P305="yes",1,0)*'Grading Scale'!E$13))/'Grading Scale'!E$14*100,0), "")</f>
        <v>0</v>
      </c>
      <c r="T305" s="6" t="str">
        <f>IF(ISNUMBER(S305),VLOOKUP(S305,'Grading Scale'!$A$2:$B$14, 2), "")</f>
        <v>F</v>
      </c>
      <c r="U305" s="7"/>
      <c r="V305" s="7"/>
      <c r="W305" s="7"/>
      <c r="X305" s="7"/>
      <c r="Y305" s="7"/>
      <c r="Z305" s="7"/>
      <c r="AA305" s="7"/>
      <c r="AB305" s="7"/>
      <c r="AC305" s="7"/>
      <c r="AD305" s="7"/>
      <c r="AE305" s="7"/>
      <c r="AF305" s="7"/>
      <c r="AG305" s="7"/>
      <c r="AH305" s="7"/>
      <c r="AI305" s="7"/>
      <c r="AJ305" s="7"/>
    </row>
    <row r="306">
      <c r="A306" s="4">
        <v>42408.0</v>
      </c>
      <c r="B306" s="5" t="s">
        <v>507</v>
      </c>
      <c r="C306" s="5" t="s">
        <v>43</v>
      </c>
      <c r="D306" s="6" t="str">
        <f>IF(NOT(ISBLANK(C306)), VLOOKUP(C306,'Dataset Descriptions'!$A$2:$B$10, 2, FALSE), "")</f>
        <v>Health inspections of establishments that serve food to the public.</v>
      </c>
      <c r="E306" s="5" t="s">
        <v>22</v>
      </c>
      <c r="F306" s="5" t="s">
        <v>22</v>
      </c>
      <c r="G306" s="5" t="s">
        <v>22</v>
      </c>
      <c r="H306" s="5" t="s">
        <v>22</v>
      </c>
      <c r="I306" s="5" t="s">
        <v>23</v>
      </c>
      <c r="J306" s="5" t="s">
        <v>22</v>
      </c>
      <c r="K306" s="5" t="s">
        <v>22</v>
      </c>
      <c r="L306" s="5" t="s">
        <v>22</v>
      </c>
      <c r="M306" s="5" t="s">
        <v>22</v>
      </c>
      <c r="N306" s="5" t="s">
        <v>23</v>
      </c>
      <c r="O306" s="5" t="s">
        <v>22</v>
      </c>
      <c r="P306" s="5" t="s">
        <v>22</v>
      </c>
      <c r="Q306" s="7"/>
      <c r="R306" s="6" t="s">
        <v>517</v>
      </c>
      <c r="S306" s="6">
        <f>IF(NOT(ISBLANK(E306)), ROUND(((IF(E306="yes",1,0)*'Grading Scale'!E$2)+(IF(F306="yes",1,0)*'Grading Scale'!E$3)+(IF(G306="yes",1,0)*'Grading Scale'!E$4)+(IF(H306="yes",1,0)*'Grading Scale'!E$5)+(IF(I306="yes",1,0)*'Grading Scale'!E$6)+(IF(J306="yes",1,0)*'Grading Scale'!E$7)+(IF(K306="yes",1,0)*'Grading Scale'!E$8)+(IF(L306="yes",1,0)*'Grading Scale'!E$9)+(IF(M306="yes",1,0)*'Grading Scale'!E$10)+(IF(N306="yes",1,0)*'Grading Scale'!E$11)+(IF(O306="yes",1,0)*'Grading Scale'!E$12)+(IF(P306="yes",1,0)*'Grading Scale'!E$13))/'Grading Scale'!E$14*100,0), "")</f>
        <v>0</v>
      </c>
      <c r="T306" s="6" t="str">
        <f>IF(ISNUMBER(S306),VLOOKUP(S306,'Grading Scale'!$A$2:$B$14, 2), "")</f>
        <v>F</v>
      </c>
      <c r="U306" s="7"/>
      <c r="V306" s="7"/>
      <c r="W306" s="7"/>
      <c r="X306" s="7"/>
      <c r="Y306" s="7"/>
      <c r="Z306" s="7"/>
      <c r="AA306" s="7"/>
      <c r="AB306" s="7"/>
      <c r="AC306" s="7"/>
      <c r="AD306" s="7"/>
      <c r="AE306" s="7"/>
      <c r="AF306" s="7"/>
      <c r="AG306" s="7"/>
      <c r="AH306" s="7"/>
      <c r="AI306" s="7"/>
      <c r="AJ306" s="7"/>
    </row>
    <row r="307">
      <c r="A307" s="4">
        <v>42408.0</v>
      </c>
      <c r="B307" s="5" t="s">
        <v>507</v>
      </c>
      <c r="C307" s="5" t="s">
        <v>46</v>
      </c>
      <c r="D307" s="6" t="str">
        <f>IF(NOT(ISBLANK(C307)), VLOOKUP(C307,'Dataset Descriptions'!$A$2:$B$10, 2, FALSE), "")</f>
        <v>Incident-level reportable motor vehicle crash records.</v>
      </c>
      <c r="E307" s="5" t="s">
        <v>25</v>
      </c>
      <c r="F307" s="5" t="s">
        <v>25</v>
      </c>
      <c r="G307" s="5" t="s">
        <v>25</v>
      </c>
      <c r="H307" s="5" t="s">
        <v>25</v>
      </c>
      <c r="I307" s="5" t="s">
        <v>25</v>
      </c>
      <c r="J307" s="5" t="s">
        <v>23</v>
      </c>
      <c r="K307" s="5" t="s">
        <v>25</v>
      </c>
      <c r="L307" s="5" t="s">
        <v>23</v>
      </c>
      <c r="M307" s="5" t="s">
        <v>25</v>
      </c>
      <c r="N307" s="5" t="s">
        <v>23</v>
      </c>
      <c r="O307" s="5" t="s">
        <v>25</v>
      </c>
      <c r="P307" s="5" t="s">
        <v>25</v>
      </c>
      <c r="Q307" s="9" t="s">
        <v>518</v>
      </c>
      <c r="R307" s="6" t="s">
        <v>519</v>
      </c>
      <c r="S307" s="6">
        <f>IF(NOT(ISBLANK(E307)), ROUND(((IF(E307="yes",1,0)*'Grading Scale'!E$2)+(IF(F307="yes",1,0)*'Grading Scale'!E$3)+(IF(G307="yes",1,0)*'Grading Scale'!E$4)+(IF(H307="yes",1,0)*'Grading Scale'!E$5)+(IF(I307="yes",1,0)*'Grading Scale'!E$6)+(IF(J307="yes",1,0)*'Grading Scale'!E$7)+(IF(K307="yes",1,0)*'Grading Scale'!E$8)+(IF(L307="yes",1,0)*'Grading Scale'!E$9)+(IF(M307="yes",1,0)*'Grading Scale'!E$10)+(IF(N307="yes",1,0)*'Grading Scale'!E$11)+(IF(O307="yes",1,0)*'Grading Scale'!E$12)+(IF(P307="yes",1,0)*'Grading Scale'!E$13))/'Grading Scale'!E$14*100,0), "")</f>
        <v>50</v>
      </c>
      <c r="T307" s="6" t="str">
        <f>IF(ISNUMBER(S307),VLOOKUP(S307,'Grading Scale'!$A$2:$B$14, 2), "")</f>
        <v>F</v>
      </c>
      <c r="U307" s="7"/>
      <c r="V307" s="7"/>
      <c r="W307" s="7"/>
      <c r="X307" s="7"/>
      <c r="Y307" s="7"/>
      <c r="Z307" s="7"/>
      <c r="AA307" s="7"/>
      <c r="AB307" s="7"/>
      <c r="AC307" s="7"/>
      <c r="AD307" s="7"/>
      <c r="AE307" s="7"/>
      <c r="AF307" s="7"/>
      <c r="AG307" s="7"/>
      <c r="AH307" s="7"/>
      <c r="AI307" s="7"/>
      <c r="AJ307" s="7"/>
    </row>
    <row r="308">
      <c r="A308" s="4">
        <v>42394.0</v>
      </c>
      <c r="B308" s="5" t="s">
        <v>520</v>
      </c>
      <c r="C308" s="5" t="s">
        <v>21</v>
      </c>
      <c r="D308" s="6" t="str">
        <f>IF(NOT(ISBLANK(C308)), VLOOKUP(C308,'Dataset Descriptions'!$A$2:$B$10, 2, FALSE), "")</f>
        <v>The geographic coordinates for physical addresses.</v>
      </c>
      <c r="E308" s="5" t="s">
        <v>25</v>
      </c>
      <c r="F308" s="5" t="s">
        <v>25</v>
      </c>
      <c r="G308" s="5" t="s">
        <v>25</v>
      </c>
      <c r="H308" s="5" t="s">
        <v>25</v>
      </c>
      <c r="I308" s="5" t="s">
        <v>25</v>
      </c>
      <c r="J308" s="5" t="s">
        <v>25</v>
      </c>
      <c r="K308" s="5" t="s">
        <v>25</v>
      </c>
      <c r="L308" s="5" t="s">
        <v>25</v>
      </c>
      <c r="M308" s="5" t="s">
        <v>23</v>
      </c>
      <c r="N308" s="5" t="s">
        <v>23</v>
      </c>
      <c r="O308" s="5" t="s">
        <v>23</v>
      </c>
      <c r="P308" s="5" t="s">
        <v>25</v>
      </c>
      <c r="Q308" s="9" t="s">
        <v>521</v>
      </c>
      <c r="R308" s="6" t="s">
        <v>522</v>
      </c>
      <c r="S308" s="6">
        <f>IF(NOT(ISBLANK(E308)), ROUND(((IF(E308="yes",1,0)*'Grading Scale'!E$2)+(IF(F308="yes",1,0)*'Grading Scale'!E$3)+(IF(G308="yes",1,0)*'Grading Scale'!E$4)+(IF(H308="yes",1,0)*'Grading Scale'!E$5)+(IF(I308="yes",1,0)*'Grading Scale'!E$6)+(IF(J308="yes",1,0)*'Grading Scale'!E$7)+(IF(K308="yes",1,0)*'Grading Scale'!E$8)+(IF(L308="yes",1,0)*'Grading Scale'!E$9)+(IF(M308="yes",1,0)*'Grading Scale'!E$10)+(IF(N308="yes",1,0)*'Grading Scale'!E$11)+(IF(O308="yes",1,0)*'Grading Scale'!E$12)+(IF(P308="yes",1,0)*'Grading Scale'!E$13))/'Grading Scale'!E$14*100,0), "")</f>
        <v>85</v>
      </c>
      <c r="T308" s="6" t="str">
        <f>IF(ISNUMBER(S308),VLOOKUP(S308,'Grading Scale'!$A$2:$B$14, 2), "")</f>
        <v>B</v>
      </c>
      <c r="U308" s="7"/>
      <c r="V308" s="7"/>
      <c r="W308" s="7"/>
      <c r="X308" s="7"/>
      <c r="Y308" s="7"/>
      <c r="Z308" s="7"/>
      <c r="AA308" s="7"/>
      <c r="AB308" s="7"/>
      <c r="AC308" s="7"/>
      <c r="AD308" s="7"/>
      <c r="AE308" s="7"/>
      <c r="AF308" s="7"/>
      <c r="AG308" s="7"/>
      <c r="AH308" s="7"/>
      <c r="AI308" s="7"/>
      <c r="AJ308" s="7"/>
    </row>
    <row r="309">
      <c r="A309" s="4">
        <v>42394.0</v>
      </c>
      <c r="B309" s="5" t="s">
        <v>520</v>
      </c>
      <c r="C309" s="5" t="s">
        <v>24</v>
      </c>
      <c r="D309" s="6" t="str">
        <f>IF(NOT(ISBLANK(C309)), VLOOKUP(C309,'Dataset Descriptions'!$A$2:$B$10, 2, FALSE), "")</f>
        <v>Transaction-level, per-agency spending records.</v>
      </c>
      <c r="E309" s="5" t="s">
        <v>25</v>
      </c>
      <c r="F309" s="5" t="s">
        <v>25</v>
      </c>
      <c r="G309" s="5" t="s">
        <v>25</v>
      </c>
      <c r="H309" s="5" t="s">
        <v>25</v>
      </c>
      <c r="I309" s="5" t="s">
        <v>25</v>
      </c>
      <c r="J309" s="5" t="s">
        <v>25</v>
      </c>
      <c r="K309" s="5" t="s">
        <v>23</v>
      </c>
      <c r="L309" s="5" t="s">
        <v>23</v>
      </c>
      <c r="M309" s="5" t="s">
        <v>25</v>
      </c>
      <c r="N309" s="5" t="s">
        <v>23</v>
      </c>
      <c r="O309" s="5" t="s">
        <v>23</v>
      </c>
      <c r="P309" s="5" t="s">
        <v>22</v>
      </c>
      <c r="Q309" s="9" t="s">
        <v>523</v>
      </c>
      <c r="R309" s="6" t="s">
        <v>524</v>
      </c>
      <c r="S309" s="6">
        <f>IF(NOT(ISBLANK(E309)), ROUND(((IF(E309="yes",1,0)*'Grading Scale'!E$2)+(IF(F309="yes",1,0)*'Grading Scale'!E$3)+(IF(G309="yes",1,0)*'Grading Scale'!E$4)+(IF(H309="yes",1,0)*'Grading Scale'!E$5)+(IF(I309="yes",1,0)*'Grading Scale'!E$6)+(IF(J309="yes",1,0)*'Grading Scale'!E$7)+(IF(K309="yes",1,0)*'Grading Scale'!E$8)+(IF(L309="yes",1,0)*'Grading Scale'!E$9)+(IF(M309="yes",1,0)*'Grading Scale'!E$10)+(IF(N309="yes",1,0)*'Grading Scale'!E$11)+(IF(O309="yes",1,0)*'Grading Scale'!E$12)+(IF(P309="yes",1,0)*'Grading Scale'!E$13))/'Grading Scale'!E$14*100,0), "")</f>
        <v>75</v>
      </c>
      <c r="T309" s="6" t="str">
        <f>IF(ISNUMBER(S309),VLOOKUP(S309,'Grading Scale'!$A$2:$B$14, 2), "")</f>
        <v>C</v>
      </c>
      <c r="U309" s="7"/>
      <c r="V309" s="7"/>
      <c r="W309" s="7"/>
      <c r="X309" s="7"/>
      <c r="Y309" s="7"/>
      <c r="Z309" s="7"/>
      <c r="AA309" s="7"/>
      <c r="AB309" s="7"/>
      <c r="AC309" s="7"/>
      <c r="AD309" s="7"/>
      <c r="AE309" s="7"/>
      <c r="AF309" s="7"/>
      <c r="AG309" s="7"/>
      <c r="AH309" s="7"/>
      <c r="AI309" s="7"/>
      <c r="AJ309" s="7"/>
    </row>
    <row r="310">
      <c r="A310" s="4">
        <v>42394.0</v>
      </c>
      <c r="B310" s="5" t="s">
        <v>520</v>
      </c>
      <c r="C310" s="5" t="s">
        <v>28</v>
      </c>
      <c r="D310" s="6" t="str">
        <f>IF(NOT(ISBLANK(C310)), VLOOKUP(C310,'Dataset Descriptions'!$A$2:$B$10, 2, FALSE), "")</f>
        <v>The register of all corporations that exist in the state.</v>
      </c>
      <c r="E310" s="5" t="s">
        <v>25</v>
      </c>
      <c r="F310" s="5" t="s">
        <v>25</v>
      </c>
      <c r="G310" s="5" t="s">
        <v>25</v>
      </c>
      <c r="H310" s="5" t="s">
        <v>25</v>
      </c>
      <c r="I310" s="5" t="s">
        <v>25</v>
      </c>
      <c r="J310" s="5" t="s">
        <v>23</v>
      </c>
      <c r="K310" s="5" t="s">
        <v>23</v>
      </c>
      <c r="L310" s="5" t="s">
        <v>25</v>
      </c>
      <c r="M310" s="5" t="s">
        <v>25</v>
      </c>
      <c r="N310" s="5" t="s">
        <v>23</v>
      </c>
      <c r="O310" s="5" t="s">
        <v>23</v>
      </c>
      <c r="P310" s="5" t="s">
        <v>25</v>
      </c>
      <c r="Q310" s="9" t="s">
        <v>525</v>
      </c>
      <c r="R310" s="6" t="s">
        <v>526</v>
      </c>
      <c r="S310" s="6">
        <f>IF(NOT(ISBLANK(E310)), ROUND(((IF(E310="yes",1,0)*'Grading Scale'!E$2)+(IF(F310="yes",1,0)*'Grading Scale'!E$3)+(IF(G310="yes",1,0)*'Grading Scale'!E$4)+(IF(H310="yes",1,0)*'Grading Scale'!E$5)+(IF(I310="yes",1,0)*'Grading Scale'!E$6)+(IF(J310="yes",1,0)*'Grading Scale'!E$7)+(IF(K310="yes",1,0)*'Grading Scale'!E$8)+(IF(L310="yes",1,0)*'Grading Scale'!E$9)+(IF(M310="yes",1,0)*'Grading Scale'!E$10)+(IF(N310="yes",1,0)*'Grading Scale'!E$11)+(IF(O310="yes",1,0)*'Grading Scale'!E$12)+(IF(P310="yes",1,0)*'Grading Scale'!E$13))/'Grading Scale'!E$14*100,0), "")</f>
        <v>45</v>
      </c>
      <c r="T310" s="6" t="str">
        <f>IF(ISNUMBER(S310),VLOOKUP(S310,'Grading Scale'!$A$2:$B$14, 2), "")</f>
        <v>F</v>
      </c>
      <c r="U310" s="7"/>
      <c r="V310" s="7"/>
      <c r="W310" s="7"/>
      <c r="X310" s="7"/>
      <c r="Y310" s="7"/>
      <c r="Z310" s="7"/>
      <c r="AA310" s="7"/>
      <c r="AB310" s="7"/>
      <c r="AC310" s="7"/>
      <c r="AD310" s="7"/>
      <c r="AE310" s="7"/>
      <c r="AF310" s="7"/>
      <c r="AG310" s="7"/>
      <c r="AH310" s="7"/>
      <c r="AI310" s="7"/>
      <c r="AJ310" s="7"/>
    </row>
    <row r="311">
      <c r="A311" s="4">
        <v>42394.0</v>
      </c>
      <c r="B311" s="5" t="s">
        <v>520</v>
      </c>
      <c r="C311" s="5" t="s">
        <v>31</v>
      </c>
      <c r="D311" s="6" t="str">
        <f>IF(NOT(ISBLANK(C311)), VLOOKUP(C311,'Dataset Descriptions'!$A$2:$B$10, 2, FALSE), "")</f>
        <v>Per-facility inmate population records.</v>
      </c>
      <c r="E311" s="5" t="s">
        <v>25</v>
      </c>
      <c r="F311" s="5" t="s">
        <v>25</v>
      </c>
      <c r="G311" s="5" t="s">
        <v>25</v>
      </c>
      <c r="H311" s="5" t="s">
        <v>25</v>
      </c>
      <c r="I311" s="5" t="s">
        <v>25</v>
      </c>
      <c r="J311" s="5" t="s">
        <v>23</v>
      </c>
      <c r="K311" s="5" t="s">
        <v>25</v>
      </c>
      <c r="L311" s="5" t="s">
        <v>25</v>
      </c>
      <c r="M311" s="5" t="s">
        <v>23</v>
      </c>
      <c r="N311" s="5" t="s">
        <v>23</v>
      </c>
      <c r="O311" s="5" t="s">
        <v>23</v>
      </c>
      <c r="P311" s="5" t="s">
        <v>23</v>
      </c>
      <c r="Q311" s="9" t="s">
        <v>527</v>
      </c>
      <c r="R311" s="6" t="s">
        <v>528</v>
      </c>
      <c r="S311" s="6">
        <f>IF(NOT(ISBLANK(E311)), ROUND(((IF(E311="yes",1,0)*'Grading Scale'!E$2)+(IF(F311="yes",1,0)*'Grading Scale'!E$3)+(IF(G311="yes",1,0)*'Grading Scale'!E$4)+(IF(H311="yes",1,0)*'Grading Scale'!E$5)+(IF(I311="yes",1,0)*'Grading Scale'!E$6)+(IF(J311="yes",1,0)*'Grading Scale'!E$7)+(IF(K311="yes",1,0)*'Grading Scale'!E$8)+(IF(L311="yes",1,0)*'Grading Scale'!E$9)+(IF(M311="yes",1,0)*'Grading Scale'!E$10)+(IF(N311="yes",1,0)*'Grading Scale'!E$11)+(IF(O311="yes",1,0)*'Grading Scale'!E$12)+(IF(P311="yes",1,0)*'Grading Scale'!E$13))/'Grading Scale'!E$14*100,0), "")</f>
        <v>40</v>
      </c>
      <c r="T311" s="6" t="str">
        <f>IF(ISNUMBER(S311),VLOOKUP(S311,'Grading Scale'!$A$2:$B$14, 2), "")</f>
        <v>F</v>
      </c>
      <c r="U311" s="7"/>
      <c r="V311" s="7"/>
      <c r="W311" s="7"/>
      <c r="X311" s="7"/>
      <c r="Y311" s="7"/>
      <c r="Z311" s="7"/>
      <c r="AA311" s="7"/>
      <c r="AB311" s="7"/>
      <c r="AC311" s="7"/>
      <c r="AD311" s="7"/>
      <c r="AE311" s="7"/>
      <c r="AF311" s="7"/>
      <c r="AG311" s="7"/>
      <c r="AH311" s="7"/>
      <c r="AI311" s="7"/>
      <c r="AJ311" s="7"/>
    </row>
    <row r="312">
      <c r="A312" s="4">
        <v>42395.0</v>
      </c>
      <c r="B312" s="5" t="s">
        <v>520</v>
      </c>
      <c r="C312" s="5" t="s">
        <v>34</v>
      </c>
      <c r="D312" s="6" t="str">
        <f>IF(NOT(ISBLANK(C312)), VLOOKUP(C312,'Dataset Descriptions'!$A$2:$B$10, 2, FALSE), "")</f>
        <v>Bills before the legislature, and the legislators that comprise it.</v>
      </c>
      <c r="E312" s="5" t="s">
        <v>25</v>
      </c>
      <c r="F312" s="5" t="s">
        <v>25</v>
      </c>
      <c r="G312" s="5" t="s">
        <v>25</v>
      </c>
      <c r="H312" s="5" t="s">
        <v>25</v>
      </c>
      <c r="I312" s="5" t="s">
        <v>25</v>
      </c>
      <c r="J312" s="5" t="s">
        <v>25</v>
      </c>
      <c r="K312" s="5" t="s">
        <v>25</v>
      </c>
      <c r="L312" s="5" t="s">
        <v>23</v>
      </c>
      <c r="M312" s="5" t="s">
        <v>25</v>
      </c>
      <c r="N312" s="5" t="s">
        <v>23</v>
      </c>
      <c r="O312" s="5" t="s">
        <v>25</v>
      </c>
      <c r="P312" s="5" t="s">
        <v>23</v>
      </c>
      <c r="Q312" s="9" t="s">
        <v>529</v>
      </c>
      <c r="R312" s="6" t="s">
        <v>530</v>
      </c>
      <c r="S312" s="6">
        <f>IF(NOT(ISBLANK(E312)), ROUND(((IF(E312="yes",1,0)*'Grading Scale'!E$2)+(IF(F312="yes",1,0)*'Grading Scale'!E$3)+(IF(G312="yes",1,0)*'Grading Scale'!E$4)+(IF(H312="yes",1,0)*'Grading Scale'!E$5)+(IF(I312="yes",1,0)*'Grading Scale'!E$6)+(IF(J312="yes",1,0)*'Grading Scale'!E$7)+(IF(K312="yes",1,0)*'Grading Scale'!E$8)+(IF(L312="yes",1,0)*'Grading Scale'!E$9)+(IF(M312="yes",1,0)*'Grading Scale'!E$10)+(IF(N312="yes",1,0)*'Grading Scale'!E$11)+(IF(O312="yes",1,0)*'Grading Scale'!E$12)+(IF(P312="yes",1,0)*'Grading Scale'!E$13))/'Grading Scale'!E$14*100,0), "")</f>
        <v>85</v>
      </c>
      <c r="T312" s="6" t="str">
        <f>IF(ISNUMBER(S312),VLOOKUP(S312,'Grading Scale'!$A$2:$B$14, 2), "")</f>
        <v>B</v>
      </c>
      <c r="U312" s="7"/>
      <c r="V312" s="7"/>
      <c r="W312" s="7"/>
      <c r="X312" s="7"/>
      <c r="Y312" s="7"/>
      <c r="Z312" s="7"/>
      <c r="AA312" s="7"/>
      <c r="AB312" s="7"/>
      <c r="AC312" s="7"/>
      <c r="AD312" s="7"/>
      <c r="AE312" s="7"/>
      <c r="AF312" s="7"/>
      <c r="AG312" s="7"/>
      <c r="AH312" s="7"/>
      <c r="AI312" s="7"/>
      <c r="AJ312" s="7"/>
    </row>
    <row r="313">
      <c r="A313" s="4">
        <v>42395.0</v>
      </c>
      <c r="B313" s="5" t="s">
        <v>520</v>
      </c>
      <c r="C313" s="6" t="s">
        <v>37</v>
      </c>
      <c r="D313" s="6" t="str">
        <f>IF(NOT(ISBLANK(C313)), VLOOKUP(C313,'Dataset Descriptions'!$A$2:$B$10, 2, FALSE), "")</f>
        <v>Forecasts of municipal-level changes in population over coming years.</v>
      </c>
      <c r="E313" s="5" t="s">
        <v>25</v>
      </c>
      <c r="F313" s="5" t="s">
        <v>25</v>
      </c>
      <c r="G313" s="5" t="s">
        <v>25</v>
      </c>
      <c r="H313" s="5" t="s">
        <v>25</v>
      </c>
      <c r="I313" s="5" t="s">
        <v>25</v>
      </c>
      <c r="J313" s="5" t="s">
        <v>23</v>
      </c>
      <c r="K313" s="5" t="s">
        <v>22</v>
      </c>
      <c r="L313" s="5" t="s">
        <v>25</v>
      </c>
      <c r="M313" s="5" t="s">
        <v>22</v>
      </c>
      <c r="N313" s="5" t="s">
        <v>23</v>
      </c>
      <c r="O313" s="5" t="s">
        <v>25</v>
      </c>
      <c r="P313" s="5" t="s">
        <v>22</v>
      </c>
      <c r="Q313" s="9" t="s">
        <v>531</v>
      </c>
      <c r="R313" s="6" t="s">
        <v>532</v>
      </c>
      <c r="S313" s="6">
        <f>IF(NOT(ISBLANK(E313)), ROUND(((IF(E313="yes",1,0)*'Grading Scale'!E$2)+(IF(F313="yes",1,0)*'Grading Scale'!E$3)+(IF(G313="yes",1,0)*'Grading Scale'!E$4)+(IF(H313="yes",1,0)*'Grading Scale'!E$5)+(IF(I313="yes",1,0)*'Grading Scale'!E$6)+(IF(J313="yes",1,0)*'Grading Scale'!E$7)+(IF(K313="yes",1,0)*'Grading Scale'!E$8)+(IF(L313="yes",1,0)*'Grading Scale'!E$9)+(IF(M313="yes",1,0)*'Grading Scale'!E$10)+(IF(N313="yes",1,0)*'Grading Scale'!E$11)+(IF(O313="yes",1,0)*'Grading Scale'!E$12)+(IF(P313="yes",1,0)*'Grading Scale'!E$13))/'Grading Scale'!E$14*100,0), "")</f>
        <v>40</v>
      </c>
      <c r="T313" s="6" t="str">
        <f>IF(ISNUMBER(S313),VLOOKUP(S313,'Grading Scale'!$A$2:$B$14, 2), "")</f>
        <v>F</v>
      </c>
      <c r="U313" s="7"/>
      <c r="V313" s="7"/>
      <c r="W313" s="7"/>
      <c r="X313" s="7"/>
      <c r="Y313" s="7"/>
      <c r="Z313" s="7"/>
      <c r="AA313" s="7"/>
      <c r="AB313" s="7"/>
      <c r="AC313" s="7"/>
      <c r="AD313" s="7"/>
      <c r="AE313" s="7"/>
      <c r="AF313" s="7"/>
      <c r="AG313" s="7"/>
      <c r="AH313" s="7"/>
      <c r="AI313" s="7"/>
      <c r="AJ313" s="7"/>
    </row>
    <row r="314">
      <c r="A314" s="4">
        <v>42394.0</v>
      </c>
      <c r="B314" s="5" t="s">
        <v>520</v>
      </c>
      <c r="C314" s="5" t="s">
        <v>40</v>
      </c>
      <c r="D314" s="6" t="str">
        <f>IF(NOT(ISBLANK(C314)), VLOOKUP(C314,'Dataset Descriptions'!$A$2:$B$10, 2, FALSE), "")</f>
        <v>State-owned land and buildings.</v>
      </c>
      <c r="E314" s="5" t="s">
        <v>25</v>
      </c>
      <c r="F314" s="5" t="s">
        <v>25</v>
      </c>
      <c r="G314" s="5" t="s">
        <v>25</v>
      </c>
      <c r="H314" s="5" t="s">
        <v>25</v>
      </c>
      <c r="I314" s="5" t="s">
        <v>25</v>
      </c>
      <c r="J314" s="5" t="s">
        <v>25</v>
      </c>
      <c r="K314" s="5" t="s">
        <v>25</v>
      </c>
      <c r="L314" s="5" t="s">
        <v>23</v>
      </c>
      <c r="M314" s="5" t="s">
        <v>25</v>
      </c>
      <c r="N314" s="5" t="s">
        <v>23</v>
      </c>
      <c r="O314" s="5" t="s">
        <v>23</v>
      </c>
      <c r="P314" s="5" t="s">
        <v>25</v>
      </c>
      <c r="Q314" s="9" t="s">
        <v>533</v>
      </c>
      <c r="R314" s="6" t="s">
        <v>534</v>
      </c>
      <c r="S314" s="6">
        <f>IF(NOT(ISBLANK(E314)), ROUND(((IF(E314="yes",1,0)*'Grading Scale'!E$2)+(IF(F314="yes",1,0)*'Grading Scale'!E$3)+(IF(G314="yes",1,0)*'Grading Scale'!E$4)+(IF(H314="yes",1,0)*'Grading Scale'!E$5)+(IF(I314="yes",1,0)*'Grading Scale'!E$6)+(IF(J314="yes",1,0)*'Grading Scale'!E$7)+(IF(K314="yes",1,0)*'Grading Scale'!E$8)+(IF(L314="yes",1,0)*'Grading Scale'!E$9)+(IF(M314="yes",1,0)*'Grading Scale'!E$10)+(IF(N314="yes",1,0)*'Grading Scale'!E$11)+(IF(O314="yes",1,0)*'Grading Scale'!E$12)+(IF(P314="yes",1,0)*'Grading Scale'!E$13))/'Grading Scale'!E$14*100,0), "")</f>
        <v>85</v>
      </c>
      <c r="T314" s="6" t="str">
        <f>IF(ISNUMBER(S314),VLOOKUP(S314,'Grading Scale'!$A$2:$B$14, 2), "")</f>
        <v>B</v>
      </c>
      <c r="U314" s="7"/>
      <c r="V314" s="7"/>
      <c r="W314" s="7"/>
      <c r="X314" s="7"/>
      <c r="Y314" s="7"/>
      <c r="Z314" s="7"/>
      <c r="AA314" s="7"/>
      <c r="AB314" s="7"/>
      <c r="AC314" s="7"/>
      <c r="AD314" s="7"/>
      <c r="AE314" s="7"/>
      <c r="AF314" s="7"/>
      <c r="AG314" s="7"/>
      <c r="AH314" s="7"/>
      <c r="AI314" s="7"/>
      <c r="AJ314" s="7"/>
    </row>
    <row r="315">
      <c r="A315" s="4">
        <v>42395.0</v>
      </c>
      <c r="B315" s="5" t="s">
        <v>520</v>
      </c>
      <c r="C315" s="5" t="s">
        <v>43</v>
      </c>
      <c r="D315" s="6" t="str">
        <f>IF(NOT(ISBLANK(C315)), VLOOKUP(C315,'Dataset Descriptions'!$A$2:$B$10, 2, FALSE), "")</f>
        <v>Health inspections of establishments that serve food to the public.</v>
      </c>
      <c r="E315" s="5" t="s">
        <v>25</v>
      </c>
      <c r="F315" s="5" t="s">
        <v>25</v>
      </c>
      <c r="G315" s="5" t="s">
        <v>25</v>
      </c>
      <c r="H315" s="5" t="s">
        <v>22</v>
      </c>
      <c r="I315" s="5" t="s">
        <v>23</v>
      </c>
      <c r="J315" s="5" t="s">
        <v>25</v>
      </c>
      <c r="K315" s="5" t="s">
        <v>22</v>
      </c>
      <c r="L315" s="5" t="s">
        <v>23</v>
      </c>
      <c r="M315" s="5" t="s">
        <v>25</v>
      </c>
      <c r="N315" s="5" t="s">
        <v>23</v>
      </c>
      <c r="O315" s="5" t="s">
        <v>22</v>
      </c>
      <c r="P315" s="5" t="s">
        <v>23</v>
      </c>
      <c r="Q315" s="7"/>
      <c r="R315" s="6" t="s">
        <v>535</v>
      </c>
      <c r="S315" s="6">
        <f>IF(NOT(ISBLANK(E315)), ROUND(((IF(E315="yes",1,0)*'Grading Scale'!E$2)+(IF(F315="yes",1,0)*'Grading Scale'!E$3)+(IF(G315="yes",1,0)*'Grading Scale'!E$4)+(IF(H315="yes",1,0)*'Grading Scale'!E$5)+(IF(I315="yes",1,0)*'Grading Scale'!E$6)+(IF(J315="yes",1,0)*'Grading Scale'!E$7)+(IF(K315="yes",1,0)*'Grading Scale'!E$8)+(IF(L315="yes",1,0)*'Grading Scale'!E$9)+(IF(M315="yes",1,0)*'Grading Scale'!E$10)+(IF(N315="yes",1,0)*'Grading Scale'!E$11)+(IF(O315="yes",1,0)*'Grading Scale'!E$12)+(IF(P315="yes",1,0)*'Grading Scale'!E$13))/'Grading Scale'!E$14*100,0), "")</f>
        <v>55</v>
      </c>
      <c r="T315" s="6" t="str">
        <f>IF(ISNUMBER(S315),VLOOKUP(S315,'Grading Scale'!$A$2:$B$14, 2), "")</f>
        <v>F</v>
      </c>
      <c r="U315" s="7"/>
      <c r="V315" s="7"/>
      <c r="W315" s="7"/>
      <c r="X315" s="7"/>
      <c r="Y315" s="7"/>
      <c r="Z315" s="7"/>
      <c r="AA315" s="7"/>
      <c r="AB315" s="7"/>
      <c r="AC315" s="7"/>
      <c r="AD315" s="7"/>
      <c r="AE315" s="7"/>
      <c r="AF315" s="7"/>
      <c r="AG315" s="7"/>
      <c r="AH315" s="7"/>
      <c r="AI315" s="7"/>
      <c r="AJ315" s="7"/>
    </row>
    <row r="316">
      <c r="A316" s="4">
        <v>42394.0</v>
      </c>
      <c r="B316" s="5" t="s">
        <v>520</v>
      </c>
      <c r="C316" s="5" t="s">
        <v>46</v>
      </c>
      <c r="D316" s="6" t="str">
        <f>IF(NOT(ISBLANK(C316)), VLOOKUP(C316,'Dataset Descriptions'!$A$2:$B$10, 2, FALSE), "")</f>
        <v>Incident-level reportable motor vehicle crash records.</v>
      </c>
      <c r="E316" s="5" t="s">
        <v>25</v>
      </c>
      <c r="F316" s="5" t="s">
        <v>25</v>
      </c>
      <c r="G316" s="5" t="s">
        <v>25</v>
      </c>
      <c r="H316" s="5" t="s">
        <v>25</v>
      </c>
      <c r="I316" s="5" t="s">
        <v>25</v>
      </c>
      <c r="J316" s="5" t="s">
        <v>25</v>
      </c>
      <c r="K316" s="5" t="s">
        <v>23</v>
      </c>
      <c r="L316" s="5" t="s">
        <v>25</v>
      </c>
      <c r="M316" s="5" t="s">
        <v>25</v>
      </c>
      <c r="N316" s="5" t="s">
        <v>23</v>
      </c>
      <c r="O316" s="5" t="s">
        <v>25</v>
      </c>
      <c r="P316" s="5" t="s">
        <v>25</v>
      </c>
      <c r="Q316" s="9" t="s">
        <v>536</v>
      </c>
      <c r="R316" s="6" t="s">
        <v>537</v>
      </c>
      <c r="S316" s="6">
        <f>IF(NOT(ISBLANK(E316)), ROUND(((IF(E316="yes",1,0)*'Grading Scale'!E$2)+(IF(F316="yes",1,0)*'Grading Scale'!E$3)+(IF(G316="yes",1,0)*'Grading Scale'!E$4)+(IF(H316="yes",1,0)*'Grading Scale'!E$5)+(IF(I316="yes",1,0)*'Grading Scale'!E$6)+(IF(J316="yes",1,0)*'Grading Scale'!E$7)+(IF(K316="yes",1,0)*'Grading Scale'!E$8)+(IF(L316="yes",1,0)*'Grading Scale'!E$9)+(IF(M316="yes",1,0)*'Grading Scale'!E$10)+(IF(N316="yes",1,0)*'Grading Scale'!E$11)+(IF(O316="yes",1,0)*'Grading Scale'!E$12)+(IF(P316="yes",1,0)*'Grading Scale'!E$13))/'Grading Scale'!E$14*100,0), "")</f>
        <v>90</v>
      </c>
      <c r="T316" s="6" t="str">
        <f>IF(ISNUMBER(S316),VLOOKUP(S316,'Grading Scale'!$A$2:$B$14, 2), "")</f>
        <v>A−</v>
      </c>
      <c r="U316" s="7"/>
      <c r="V316" s="7"/>
      <c r="W316" s="7"/>
      <c r="X316" s="7"/>
      <c r="Y316" s="7"/>
      <c r="Z316" s="7"/>
      <c r="AA316" s="7"/>
      <c r="AB316" s="7"/>
      <c r="AC316" s="7"/>
      <c r="AD316" s="7"/>
      <c r="AE316" s="7"/>
      <c r="AF316" s="7"/>
      <c r="AG316" s="7"/>
      <c r="AH316" s="7"/>
      <c r="AI316" s="7"/>
      <c r="AJ316" s="7"/>
    </row>
    <row r="317">
      <c r="A317" s="4">
        <v>42381.0</v>
      </c>
      <c r="B317" s="5" t="s">
        <v>538</v>
      </c>
      <c r="C317" s="5" t="s">
        <v>21</v>
      </c>
      <c r="D317" s="6" t="str">
        <f>IF(NOT(ISBLANK(C317)), VLOOKUP(C317,'Dataset Descriptions'!$A$2:$B$10, 2, FALSE), "")</f>
        <v>The geographic coordinates for physical addresses.</v>
      </c>
      <c r="E317" s="5" t="s">
        <v>23</v>
      </c>
      <c r="F317" s="7"/>
      <c r="G317" s="7"/>
      <c r="H317" s="7"/>
      <c r="I317" s="7"/>
      <c r="J317" s="7"/>
      <c r="K317" s="7"/>
      <c r="L317" s="7"/>
      <c r="M317" s="7"/>
      <c r="N317" s="7"/>
      <c r="O317" s="7"/>
      <c r="P317" s="7"/>
      <c r="Q317" s="7"/>
      <c r="R317" s="6" t="s">
        <v>539</v>
      </c>
      <c r="S317" s="6">
        <f>IF(NOT(ISBLANK(E317)), ROUND(((IF(E317="yes",1,0)*'Grading Scale'!E$2)+(IF(F317="yes",1,0)*'Grading Scale'!E$3)+(IF(G317="yes",1,0)*'Grading Scale'!E$4)+(IF(H317="yes",1,0)*'Grading Scale'!E$5)+(IF(I317="yes",1,0)*'Grading Scale'!E$6)+(IF(J317="yes",1,0)*'Grading Scale'!E$7)+(IF(K317="yes",1,0)*'Grading Scale'!E$8)+(IF(L317="yes",1,0)*'Grading Scale'!E$9)+(IF(M317="yes",1,0)*'Grading Scale'!E$10)+(IF(N317="yes",1,0)*'Grading Scale'!E$11)+(IF(O317="yes",1,0)*'Grading Scale'!E$12)+(IF(P317="yes",1,0)*'Grading Scale'!E$13))/'Grading Scale'!E$14*100,0), "")</f>
        <v>0</v>
      </c>
      <c r="T317" s="6" t="str">
        <f>IF(ISNUMBER(S317),VLOOKUP(S317,'Grading Scale'!$A$2:$B$14, 2), "")</f>
        <v>F</v>
      </c>
      <c r="U317" s="7"/>
      <c r="V317" s="7"/>
      <c r="W317" s="7"/>
      <c r="X317" s="7"/>
      <c r="Y317" s="7"/>
      <c r="Z317" s="7"/>
      <c r="AA317" s="7"/>
      <c r="AB317" s="7"/>
      <c r="AC317" s="7"/>
      <c r="AD317" s="7"/>
      <c r="AE317" s="7"/>
      <c r="AF317" s="7"/>
      <c r="AG317" s="7"/>
      <c r="AH317" s="7"/>
      <c r="AI317" s="7"/>
      <c r="AJ317" s="7"/>
    </row>
    <row r="318">
      <c r="A318" s="4">
        <v>42434.0</v>
      </c>
      <c r="B318" s="5" t="s">
        <v>538</v>
      </c>
      <c r="C318" s="5" t="s">
        <v>24</v>
      </c>
      <c r="D318" s="6" t="str">
        <f>IF(NOT(ISBLANK(C318)), VLOOKUP(C318,'Dataset Descriptions'!$A$2:$B$10, 2, FALSE), "")</f>
        <v>Transaction-level, per-agency spending records.</v>
      </c>
      <c r="E318" s="5" t="s">
        <v>25</v>
      </c>
      <c r="F318" s="5" t="s">
        <v>25</v>
      </c>
      <c r="G318" s="5" t="s">
        <v>25</v>
      </c>
      <c r="H318" s="5" t="s">
        <v>25</v>
      </c>
      <c r="I318" s="5" t="s">
        <v>25</v>
      </c>
      <c r="J318" s="5" t="s">
        <v>25</v>
      </c>
      <c r="K318" s="5" t="s">
        <v>25</v>
      </c>
      <c r="L318" s="5" t="s">
        <v>25</v>
      </c>
      <c r="M318" s="5" t="s">
        <v>25</v>
      </c>
      <c r="N318" s="5" t="s">
        <v>25</v>
      </c>
      <c r="O318" s="5" t="s">
        <v>25</v>
      </c>
      <c r="P318" s="5" t="s">
        <v>25</v>
      </c>
      <c r="Q318" s="9" t="s">
        <v>540</v>
      </c>
      <c r="R318" s="6"/>
      <c r="S318" s="6">
        <f>IF(NOT(ISBLANK(E318)), ROUND(((IF(E318="yes",1,0)*'Grading Scale'!E$2)+(IF(F318="yes",1,0)*'Grading Scale'!E$3)+(IF(G318="yes",1,0)*'Grading Scale'!E$4)+(IF(H318="yes",1,0)*'Grading Scale'!E$5)+(IF(I318="yes",1,0)*'Grading Scale'!E$6)+(IF(J318="yes",1,0)*'Grading Scale'!E$7)+(IF(K318="yes",1,0)*'Grading Scale'!E$8)+(IF(L318="yes",1,0)*'Grading Scale'!E$9)+(IF(M318="yes",1,0)*'Grading Scale'!E$10)+(IF(N318="yes",1,0)*'Grading Scale'!E$11)+(IF(O318="yes",1,0)*'Grading Scale'!E$12)+(IF(P318="yes",1,0)*'Grading Scale'!E$13))/'Grading Scale'!E$14*100,0), "")</f>
        <v>100</v>
      </c>
      <c r="T318" s="6" t="str">
        <f>IF(ISNUMBER(S318),VLOOKUP(S318,'Grading Scale'!$A$2:$B$14, 2), "")</f>
        <v>A+</v>
      </c>
      <c r="U318" s="7"/>
      <c r="V318" s="7"/>
      <c r="W318" s="7"/>
      <c r="X318" s="7"/>
      <c r="Y318" s="7"/>
      <c r="Z318" s="7"/>
      <c r="AA318" s="7"/>
      <c r="AB318" s="7"/>
      <c r="AC318" s="7"/>
      <c r="AD318" s="7"/>
      <c r="AE318" s="7"/>
      <c r="AF318" s="7"/>
      <c r="AG318" s="7"/>
      <c r="AH318" s="7"/>
      <c r="AI318" s="7"/>
      <c r="AJ318" s="7"/>
    </row>
    <row r="319">
      <c r="A319" s="4">
        <v>42381.0</v>
      </c>
      <c r="B319" s="5" t="s">
        <v>538</v>
      </c>
      <c r="C319" s="5" t="s">
        <v>28</v>
      </c>
      <c r="D319" s="6" t="str">
        <f>IF(NOT(ISBLANK(C319)), VLOOKUP(C319,'Dataset Descriptions'!$A$2:$B$10, 2, FALSE), "")</f>
        <v>The register of all corporations that exist in the state.</v>
      </c>
      <c r="E319" s="5" t="s">
        <v>25</v>
      </c>
      <c r="F319" s="5" t="s">
        <v>25</v>
      </c>
      <c r="G319" s="5" t="s">
        <v>25</v>
      </c>
      <c r="H319" s="5" t="s">
        <v>23</v>
      </c>
      <c r="I319" s="5" t="s">
        <v>25</v>
      </c>
      <c r="J319" s="5" t="s">
        <v>25</v>
      </c>
      <c r="K319" s="5" t="s">
        <v>23</v>
      </c>
      <c r="L319" s="5" t="s">
        <v>22</v>
      </c>
      <c r="M319" s="5" t="s">
        <v>25</v>
      </c>
      <c r="N319" s="5" t="s">
        <v>23</v>
      </c>
      <c r="O319" s="5" t="s">
        <v>25</v>
      </c>
      <c r="P319" s="5" t="s">
        <v>25</v>
      </c>
      <c r="Q319" s="9" t="s">
        <v>541</v>
      </c>
      <c r="R319" s="6" t="s">
        <v>542</v>
      </c>
      <c r="S319" s="6">
        <f>IF(NOT(ISBLANK(E319)), ROUND(((IF(E319="yes",1,0)*'Grading Scale'!E$2)+(IF(F319="yes",1,0)*'Grading Scale'!E$3)+(IF(G319="yes",1,0)*'Grading Scale'!E$4)+(IF(H319="yes",1,0)*'Grading Scale'!E$5)+(IF(I319="yes",1,0)*'Grading Scale'!E$6)+(IF(J319="yes",1,0)*'Grading Scale'!E$7)+(IF(K319="yes",1,0)*'Grading Scale'!E$8)+(IF(L319="yes",1,0)*'Grading Scale'!E$9)+(IF(M319="yes",1,0)*'Grading Scale'!E$10)+(IF(N319="yes",1,0)*'Grading Scale'!E$11)+(IF(O319="yes",1,0)*'Grading Scale'!E$12)+(IF(P319="yes",1,0)*'Grading Scale'!E$13))/'Grading Scale'!E$14*100,0), "")</f>
        <v>70</v>
      </c>
      <c r="T319" s="6" t="str">
        <f>IF(ISNUMBER(S319),VLOOKUP(S319,'Grading Scale'!$A$2:$B$14, 2), "")</f>
        <v>C−</v>
      </c>
      <c r="U319" s="7"/>
      <c r="V319" s="7"/>
      <c r="W319" s="7"/>
      <c r="X319" s="7"/>
      <c r="Y319" s="7"/>
      <c r="Z319" s="7"/>
      <c r="AA319" s="7"/>
      <c r="AB319" s="7"/>
      <c r="AC319" s="7"/>
      <c r="AD319" s="7"/>
      <c r="AE319" s="7"/>
      <c r="AF319" s="7"/>
      <c r="AG319" s="7"/>
      <c r="AH319" s="7"/>
      <c r="AI319" s="7"/>
      <c r="AJ319" s="7"/>
    </row>
    <row r="320">
      <c r="A320" s="4">
        <v>42381.0</v>
      </c>
      <c r="B320" s="5" t="s">
        <v>538</v>
      </c>
      <c r="C320" s="5" t="s">
        <v>31</v>
      </c>
      <c r="D320" s="6" t="str">
        <f>IF(NOT(ISBLANK(C320)), VLOOKUP(C320,'Dataset Descriptions'!$A$2:$B$10, 2, FALSE), "")</f>
        <v>Per-facility inmate population records.</v>
      </c>
      <c r="E320" s="5" t="s">
        <v>25</v>
      </c>
      <c r="F320" s="5" t="s">
        <v>25</v>
      </c>
      <c r="G320" s="5" t="s">
        <v>25</v>
      </c>
      <c r="H320" s="5" t="s">
        <v>25</v>
      </c>
      <c r="I320" s="5" t="s">
        <v>25</v>
      </c>
      <c r="J320" s="5" t="s">
        <v>23</v>
      </c>
      <c r="K320" s="5" t="s">
        <v>22</v>
      </c>
      <c r="L320" s="5" t="s">
        <v>22</v>
      </c>
      <c r="M320" s="5" t="s">
        <v>22</v>
      </c>
      <c r="N320" s="5" t="s">
        <v>23</v>
      </c>
      <c r="O320" s="5" t="s">
        <v>23</v>
      </c>
      <c r="P320" s="5" t="s">
        <v>23</v>
      </c>
      <c r="Q320" s="9" t="s">
        <v>543</v>
      </c>
      <c r="R320" s="6" t="s">
        <v>544</v>
      </c>
      <c r="S320" s="6">
        <f>IF(NOT(ISBLANK(E320)), ROUND(((IF(E320="yes",1,0)*'Grading Scale'!E$2)+(IF(F320="yes",1,0)*'Grading Scale'!E$3)+(IF(G320="yes",1,0)*'Grading Scale'!E$4)+(IF(H320="yes",1,0)*'Grading Scale'!E$5)+(IF(I320="yes",1,0)*'Grading Scale'!E$6)+(IF(J320="yes",1,0)*'Grading Scale'!E$7)+(IF(K320="yes",1,0)*'Grading Scale'!E$8)+(IF(L320="yes",1,0)*'Grading Scale'!E$9)+(IF(M320="yes",1,0)*'Grading Scale'!E$10)+(IF(N320="yes",1,0)*'Grading Scale'!E$11)+(IF(O320="yes",1,0)*'Grading Scale'!E$12)+(IF(P320="yes",1,0)*'Grading Scale'!E$13))/'Grading Scale'!E$14*100,0), "")</f>
        <v>30</v>
      </c>
      <c r="T320" s="6" t="str">
        <f>IF(ISNUMBER(S320),VLOOKUP(S320,'Grading Scale'!$A$2:$B$14, 2), "")</f>
        <v>F</v>
      </c>
      <c r="U320" s="7"/>
      <c r="V320" s="7"/>
      <c r="W320" s="7"/>
      <c r="X320" s="7"/>
      <c r="Y320" s="7"/>
      <c r="Z320" s="7"/>
      <c r="AA320" s="7"/>
      <c r="AB320" s="7"/>
      <c r="AC320" s="7"/>
      <c r="AD320" s="7"/>
      <c r="AE320" s="7"/>
      <c r="AF320" s="7"/>
      <c r="AG320" s="7"/>
      <c r="AH320" s="7"/>
      <c r="AI320" s="7"/>
      <c r="AJ320" s="7"/>
    </row>
    <row r="321">
      <c r="A321" s="4">
        <v>42437.0</v>
      </c>
      <c r="B321" s="5" t="s">
        <v>538</v>
      </c>
      <c r="C321" s="5" t="s">
        <v>34</v>
      </c>
      <c r="D321" s="6" t="str">
        <f>IF(NOT(ISBLANK(C321)), VLOOKUP(C321,'Dataset Descriptions'!$A$2:$B$10, 2, FALSE), "")</f>
        <v>Bills before the legislature, and the legislators that comprise it.</v>
      </c>
      <c r="E321" s="5" t="s">
        <v>25</v>
      </c>
      <c r="F321" s="5" t="s">
        <v>25</v>
      </c>
      <c r="G321" s="5" t="s">
        <v>25</v>
      </c>
      <c r="H321" s="5" t="s">
        <v>25</v>
      </c>
      <c r="I321" s="5" t="s">
        <v>25</v>
      </c>
      <c r="J321" s="5" t="s">
        <v>25</v>
      </c>
      <c r="K321" s="5" t="s">
        <v>23</v>
      </c>
      <c r="L321" s="5" t="s">
        <v>25</v>
      </c>
      <c r="M321" s="5" t="s">
        <v>25</v>
      </c>
      <c r="N321" s="5" t="s">
        <v>23</v>
      </c>
      <c r="O321" s="5" t="s">
        <v>23</v>
      </c>
      <c r="P321" s="5" t="s">
        <v>25</v>
      </c>
      <c r="Q321" s="9" t="s">
        <v>545</v>
      </c>
      <c r="R321" s="8"/>
      <c r="S321" s="6">
        <f>IF(NOT(ISBLANK(E321)), ROUND(((IF(E321="yes",1,0)*'Grading Scale'!E$2)+(IF(F321="yes",1,0)*'Grading Scale'!E$3)+(IF(G321="yes",1,0)*'Grading Scale'!E$4)+(IF(H321="yes",1,0)*'Grading Scale'!E$5)+(IF(I321="yes",1,0)*'Grading Scale'!E$6)+(IF(J321="yes",1,0)*'Grading Scale'!E$7)+(IF(K321="yes",1,0)*'Grading Scale'!E$8)+(IF(L321="yes",1,0)*'Grading Scale'!E$9)+(IF(M321="yes",1,0)*'Grading Scale'!E$10)+(IF(N321="yes",1,0)*'Grading Scale'!E$11)+(IF(O321="yes",1,0)*'Grading Scale'!E$12)+(IF(P321="yes",1,0)*'Grading Scale'!E$13))/'Grading Scale'!E$14*100,0), "")</f>
        <v>85</v>
      </c>
      <c r="T321" s="6" t="str">
        <f>IF(ISNUMBER(S321),VLOOKUP(S321,'Grading Scale'!$A$2:$B$14, 2), "")</f>
        <v>B</v>
      </c>
      <c r="U321" s="7"/>
      <c r="V321" s="7"/>
      <c r="W321" s="7"/>
      <c r="X321" s="7"/>
      <c r="Y321" s="7"/>
      <c r="Z321" s="7"/>
      <c r="AA321" s="7"/>
      <c r="AB321" s="7"/>
      <c r="AC321" s="7"/>
      <c r="AD321" s="7"/>
      <c r="AE321" s="7"/>
      <c r="AF321" s="7"/>
      <c r="AG321" s="7"/>
      <c r="AH321" s="7"/>
      <c r="AI321" s="7"/>
      <c r="AJ321" s="7"/>
    </row>
    <row r="322">
      <c r="A322" s="4">
        <v>42381.0</v>
      </c>
      <c r="B322" s="5" t="s">
        <v>538</v>
      </c>
      <c r="C322" s="6" t="s">
        <v>37</v>
      </c>
      <c r="D322" s="6" t="str">
        <f>IF(NOT(ISBLANK(C322)), VLOOKUP(C322,'Dataset Descriptions'!$A$2:$B$10, 2, FALSE), "")</f>
        <v>Forecasts of municipal-level changes in population over coming years.</v>
      </c>
      <c r="E322" s="5" t="s">
        <v>25</v>
      </c>
      <c r="F322" s="5" t="s">
        <v>25</v>
      </c>
      <c r="G322" s="5" t="s">
        <v>25</v>
      </c>
      <c r="H322" s="5" t="s">
        <v>25</v>
      </c>
      <c r="I322" s="5" t="s">
        <v>25</v>
      </c>
      <c r="J322" s="5" t="s">
        <v>23</v>
      </c>
      <c r="K322" s="5" t="s">
        <v>25</v>
      </c>
      <c r="L322" s="5" t="s">
        <v>23</v>
      </c>
      <c r="M322" s="5" t="s">
        <v>25</v>
      </c>
      <c r="N322" s="5" t="s">
        <v>23</v>
      </c>
      <c r="O322" s="5" t="s">
        <v>23</v>
      </c>
      <c r="P322" s="5" t="s">
        <v>23</v>
      </c>
      <c r="Q322" s="9" t="s">
        <v>546</v>
      </c>
      <c r="R322" s="6" t="s">
        <v>547</v>
      </c>
      <c r="S322" s="6">
        <f>IF(NOT(ISBLANK(E322)), ROUND(((IF(E322="yes",1,0)*'Grading Scale'!E$2)+(IF(F322="yes",1,0)*'Grading Scale'!E$3)+(IF(G322="yes",1,0)*'Grading Scale'!E$4)+(IF(H322="yes",1,0)*'Grading Scale'!E$5)+(IF(I322="yes",1,0)*'Grading Scale'!E$6)+(IF(J322="yes",1,0)*'Grading Scale'!E$7)+(IF(K322="yes",1,0)*'Grading Scale'!E$8)+(IF(L322="yes",1,0)*'Grading Scale'!E$9)+(IF(M322="yes",1,0)*'Grading Scale'!E$10)+(IF(N322="yes",1,0)*'Grading Scale'!E$11)+(IF(O322="yes",1,0)*'Grading Scale'!E$12)+(IF(P322="yes",1,0)*'Grading Scale'!E$13))/'Grading Scale'!E$14*100,0), "")</f>
        <v>40</v>
      </c>
      <c r="T322" s="6" t="str">
        <f>IF(ISNUMBER(S322),VLOOKUP(S322,'Grading Scale'!$A$2:$B$14, 2), "")</f>
        <v>F</v>
      </c>
      <c r="U322" s="7"/>
      <c r="V322" s="7"/>
      <c r="W322" s="7"/>
      <c r="X322" s="7"/>
      <c r="Y322" s="7"/>
      <c r="Z322" s="7"/>
      <c r="AA322" s="7"/>
      <c r="AB322" s="7"/>
      <c r="AC322" s="7"/>
      <c r="AD322" s="7"/>
      <c r="AE322" s="7"/>
      <c r="AF322" s="7"/>
      <c r="AG322" s="7"/>
      <c r="AH322" s="7"/>
      <c r="AI322" s="7"/>
      <c r="AJ322" s="7"/>
    </row>
    <row r="323">
      <c r="A323" s="4">
        <v>42381.0</v>
      </c>
      <c r="B323" s="5" t="s">
        <v>538</v>
      </c>
      <c r="C323" s="5" t="s">
        <v>40</v>
      </c>
      <c r="D323" s="6" t="str">
        <f>IF(NOT(ISBLANK(C323)), VLOOKUP(C323,'Dataset Descriptions'!$A$2:$B$10, 2, FALSE), "")</f>
        <v>State-owned land and buildings.</v>
      </c>
      <c r="E323" s="5" t="s">
        <v>25</v>
      </c>
      <c r="F323" s="5" t="s">
        <v>25</v>
      </c>
      <c r="G323" s="5" t="s">
        <v>25</v>
      </c>
      <c r="H323" s="5" t="s">
        <v>25</v>
      </c>
      <c r="I323" s="5" t="s">
        <v>25</v>
      </c>
      <c r="J323" s="5" t="s">
        <v>25</v>
      </c>
      <c r="K323" s="5" t="s">
        <v>25</v>
      </c>
      <c r="L323" s="5" t="s">
        <v>25</v>
      </c>
      <c r="M323" s="5" t="s">
        <v>25</v>
      </c>
      <c r="N323" s="5" t="s">
        <v>25</v>
      </c>
      <c r="O323" s="5" t="s">
        <v>25</v>
      </c>
      <c r="P323" s="5" t="s">
        <v>25</v>
      </c>
      <c r="Q323" s="9" t="s">
        <v>548</v>
      </c>
      <c r="R323" s="6" t="s">
        <v>549</v>
      </c>
      <c r="S323" s="6">
        <f>IF(NOT(ISBLANK(E323)), ROUND(((IF(E323="yes",1,0)*'Grading Scale'!E$2)+(IF(F323="yes",1,0)*'Grading Scale'!E$3)+(IF(G323="yes",1,0)*'Grading Scale'!E$4)+(IF(H323="yes",1,0)*'Grading Scale'!E$5)+(IF(I323="yes",1,0)*'Grading Scale'!E$6)+(IF(J323="yes",1,0)*'Grading Scale'!E$7)+(IF(K323="yes",1,0)*'Grading Scale'!E$8)+(IF(L323="yes",1,0)*'Grading Scale'!E$9)+(IF(M323="yes",1,0)*'Grading Scale'!E$10)+(IF(N323="yes",1,0)*'Grading Scale'!E$11)+(IF(O323="yes",1,0)*'Grading Scale'!E$12)+(IF(P323="yes",1,0)*'Grading Scale'!E$13))/'Grading Scale'!E$14*100,0), "")</f>
        <v>100</v>
      </c>
      <c r="T323" s="6" t="str">
        <f>IF(ISNUMBER(S323),VLOOKUP(S323,'Grading Scale'!$A$2:$B$14, 2), "")</f>
        <v>A+</v>
      </c>
      <c r="U323" s="7"/>
      <c r="V323" s="7"/>
      <c r="W323" s="7"/>
      <c r="X323" s="7"/>
      <c r="Y323" s="7"/>
      <c r="Z323" s="7"/>
      <c r="AA323" s="7"/>
      <c r="AB323" s="7"/>
      <c r="AC323" s="7"/>
      <c r="AD323" s="7"/>
      <c r="AE323" s="7"/>
      <c r="AF323" s="7"/>
      <c r="AG323" s="7"/>
      <c r="AH323" s="7"/>
      <c r="AI323" s="7"/>
      <c r="AJ323" s="7"/>
    </row>
    <row r="324">
      <c r="A324" s="4">
        <v>42381.0</v>
      </c>
      <c r="B324" s="5" t="s">
        <v>538</v>
      </c>
      <c r="C324" s="5" t="s">
        <v>43</v>
      </c>
      <c r="D324" s="6" t="str">
        <f>IF(NOT(ISBLANK(C324)), VLOOKUP(C324,'Dataset Descriptions'!$A$2:$B$10, 2, FALSE), "")</f>
        <v>Health inspections of establishments that serve food to the public.</v>
      </c>
      <c r="E324" s="5" t="s">
        <v>25</v>
      </c>
      <c r="F324" s="5" t="s">
        <v>25</v>
      </c>
      <c r="G324" s="5" t="s">
        <v>25</v>
      </c>
      <c r="H324" s="5" t="s">
        <v>25</v>
      </c>
      <c r="I324" s="5" t="s">
        <v>25</v>
      </c>
      <c r="J324" s="5" t="s">
        <v>23</v>
      </c>
      <c r="K324" s="5" t="s">
        <v>23</v>
      </c>
      <c r="L324" s="5" t="s">
        <v>25</v>
      </c>
      <c r="M324" s="5" t="s">
        <v>25</v>
      </c>
      <c r="N324" s="5" t="s">
        <v>23</v>
      </c>
      <c r="O324" s="5" t="s">
        <v>25</v>
      </c>
      <c r="P324" s="5" t="s">
        <v>25</v>
      </c>
      <c r="Q324" s="9" t="s">
        <v>550</v>
      </c>
      <c r="R324" s="6" t="s">
        <v>551</v>
      </c>
      <c r="S324" s="6">
        <f>IF(NOT(ISBLANK(E324)), ROUND(((IF(E324="yes",1,0)*'Grading Scale'!E$2)+(IF(F324="yes",1,0)*'Grading Scale'!E$3)+(IF(G324="yes",1,0)*'Grading Scale'!E$4)+(IF(H324="yes",1,0)*'Grading Scale'!E$5)+(IF(I324="yes",1,0)*'Grading Scale'!E$6)+(IF(J324="yes",1,0)*'Grading Scale'!E$7)+(IF(K324="yes",1,0)*'Grading Scale'!E$8)+(IF(L324="yes",1,0)*'Grading Scale'!E$9)+(IF(M324="yes",1,0)*'Grading Scale'!E$10)+(IF(N324="yes",1,0)*'Grading Scale'!E$11)+(IF(O324="yes",1,0)*'Grading Scale'!E$12)+(IF(P324="yes",1,0)*'Grading Scale'!E$13))/'Grading Scale'!E$14*100,0), "")</f>
        <v>50</v>
      </c>
      <c r="T324" s="6" t="str">
        <f>IF(ISNUMBER(S324),VLOOKUP(S324,'Grading Scale'!$A$2:$B$14, 2), "")</f>
        <v>F</v>
      </c>
      <c r="U324" s="7"/>
      <c r="V324" s="7"/>
      <c r="W324" s="7"/>
      <c r="X324" s="7"/>
      <c r="Y324" s="7"/>
      <c r="Z324" s="7"/>
      <c r="AA324" s="7"/>
      <c r="AB324" s="7"/>
      <c r="AC324" s="7"/>
      <c r="AD324" s="7"/>
      <c r="AE324" s="7"/>
      <c r="AF324" s="7"/>
      <c r="AG324" s="7"/>
      <c r="AH324" s="7"/>
      <c r="AI324" s="7"/>
      <c r="AJ324" s="7"/>
    </row>
    <row r="325">
      <c r="A325" s="4">
        <v>42381.0</v>
      </c>
      <c r="B325" s="5" t="s">
        <v>538</v>
      </c>
      <c r="C325" s="5" t="s">
        <v>46</v>
      </c>
      <c r="D325" s="6" t="str">
        <f>IF(NOT(ISBLANK(C325)), VLOOKUP(C325,'Dataset Descriptions'!$A$2:$B$10, 2, FALSE), "")</f>
        <v>Incident-level reportable motor vehicle crash records.</v>
      </c>
      <c r="E325" s="5" t="s">
        <v>25</v>
      </c>
      <c r="F325" s="5" t="s">
        <v>25</v>
      </c>
      <c r="G325" s="5" t="s">
        <v>25</v>
      </c>
      <c r="H325" s="5" t="s">
        <v>25</v>
      </c>
      <c r="I325" s="5" t="s">
        <v>25</v>
      </c>
      <c r="J325" s="5" t="s">
        <v>23</v>
      </c>
      <c r="K325" s="5" t="s">
        <v>25</v>
      </c>
      <c r="L325" s="5" t="s">
        <v>23</v>
      </c>
      <c r="M325" s="5" t="s">
        <v>25</v>
      </c>
      <c r="N325" s="5" t="s">
        <v>23</v>
      </c>
      <c r="O325" s="5" t="s">
        <v>25</v>
      </c>
      <c r="P325" s="5" t="s">
        <v>23</v>
      </c>
      <c r="Q325" s="9" t="s">
        <v>552</v>
      </c>
      <c r="R325" s="22" t="s">
        <v>553</v>
      </c>
      <c r="S325" s="6">
        <f>IF(NOT(ISBLANK(E325)), ROUND(((IF(E325="yes",1,0)*'Grading Scale'!E$2)+(IF(F325="yes",1,0)*'Grading Scale'!E$3)+(IF(G325="yes",1,0)*'Grading Scale'!E$4)+(IF(H325="yes",1,0)*'Grading Scale'!E$5)+(IF(I325="yes",1,0)*'Grading Scale'!E$6)+(IF(J325="yes",1,0)*'Grading Scale'!E$7)+(IF(K325="yes",1,0)*'Grading Scale'!E$8)+(IF(L325="yes",1,0)*'Grading Scale'!E$9)+(IF(M325="yes",1,0)*'Grading Scale'!E$10)+(IF(N325="yes",1,0)*'Grading Scale'!E$11)+(IF(O325="yes",1,0)*'Grading Scale'!E$12)+(IF(P325="yes",1,0)*'Grading Scale'!E$13))/'Grading Scale'!E$14*100,0), "")</f>
        <v>45</v>
      </c>
      <c r="T325" s="6" t="str">
        <f>IF(ISNUMBER(S325),VLOOKUP(S325,'Grading Scale'!$A$2:$B$14, 2), "")</f>
        <v>F</v>
      </c>
      <c r="U325" s="7"/>
      <c r="V325" s="7"/>
      <c r="W325" s="7"/>
      <c r="X325" s="7"/>
      <c r="Y325" s="7"/>
      <c r="Z325" s="7"/>
      <c r="AA325" s="7"/>
      <c r="AB325" s="7"/>
      <c r="AC325" s="7"/>
      <c r="AD325" s="7"/>
      <c r="AE325" s="7"/>
      <c r="AF325" s="7"/>
      <c r="AG325" s="7"/>
      <c r="AH325" s="7"/>
      <c r="AI325" s="7"/>
      <c r="AJ325" s="7"/>
    </row>
    <row r="326">
      <c r="A326" s="4">
        <v>42380.0</v>
      </c>
      <c r="B326" s="5" t="s">
        <v>554</v>
      </c>
      <c r="C326" s="5" t="s">
        <v>21</v>
      </c>
      <c r="D326" s="6" t="str">
        <f>IF(NOT(ISBLANK(C326)), VLOOKUP(C326,'Dataset Descriptions'!$A$2:$B$10, 2, FALSE), "")</f>
        <v>The geographic coordinates for physical addresses.</v>
      </c>
      <c r="E326" s="5" t="s">
        <v>23</v>
      </c>
      <c r="F326" s="5" t="s">
        <v>23</v>
      </c>
      <c r="G326" s="5" t="s">
        <v>23</v>
      </c>
      <c r="H326" s="5" t="s">
        <v>23</v>
      </c>
      <c r="I326" s="5" t="s">
        <v>23</v>
      </c>
      <c r="J326" s="5" t="s">
        <v>23</v>
      </c>
      <c r="K326" s="5" t="s">
        <v>23</v>
      </c>
      <c r="L326" s="5" t="s">
        <v>23</v>
      </c>
      <c r="M326" s="5" t="s">
        <v>23</v>
      </c>
      <c r="N326" s="5" t="s">
        <v>23</v>
      </c>
      <c r="O326" s="5" t="s">
        <v>23</v>
      </c>
      <c r="P326" s="5" t="s">
        <v>23</v>
      </c>
      <c r="Q326" s="7"/>
      <c r="R326" s="6" t="s">
        <v>555</v>
      </c>
      <c r="S326" s="6">
        <f>IF(NOT(ISBLANK(E326)), ROUND(((IF(E326="yes",1,0)*'Grading Scale'!E$2)+(IF(F326="yes",1,0)*'Grading Scale'!E$3)+(IF(G326="yes",1,0)*'Grading Scale'!E$4)+(IF(H326="yes",1,0)*'Grading Scale'!E$5)+(IF(I326="yes",1,0)*'Grading Scale'!E$6)+(IF(J326="yes",1,0)*'Grading Scale'!E$7)+(IF(K326="yes",1,0)*'Grading Scale'!E$8)+(IF(L326="yes",1,0)*'Grading Scale'!E$9)+(IF(M326="yes",1,0)*'Grading Scale'!E$10)+(IF(N326="yes",1,0)*'Grading Scale'!E$11)+(IF(O326="yes",1,0)*'Grading Scale'!E$12)+(IF(P326="yes",1,0)*'Grading Scale'!E$13))/'Grading Scale'!E$14*100,0), "")</f>
        <v>0</v>
      </c>
      <c r="T326" s="6" t="str">
        <f>IF(ISNUMBER(S326),VLOOKUP(S326,'Grading Scale'!$A$2:$B$14, 2), "")</f>
        <v>F</v>
      </c>
      <c r="U326" s="7"/>
      <c r="V326" s="7"/>
      <c r="W326" s="7"/>
      <c r="X326" s="7"/>
      <c r="Y326" s="7"/>
      <c r="Z326" s="7"/>
      <c r="AA326" s="7"/>
      <c r="AB326" s="7"/>
      <c r="AC326" s="7"/>
      <c r="AD326" s="7"/>
      <c r="AE326" s="7"/>
      <c r="AF326" s="7"/>
      <c r="AG326" s="7"/>
      <c r="AH326" s="7"/>
      <c r="AI326" s="7"/>
      <c r="AJ326" s="7"/>
    </row>
    <row r="327">
      <c r="A327" s="4">
        <v>42380.0</v>
      </c>
      <c r="B327" s="5" t="s">
        <v>554</v>
      </c>
      <c r="C327" s="5" t="s">
        <v>24</v>
      </c>
      <c r="D327" s="6" t="str">
        <f>IF(NOT(ISBLANK(C327)), VLOOKUP(C327,'Dataset Descriptions'!$A$2:$B$10, 2, FALSE), "")</f>
        <v>Transaction-level, per-agency spending records.</v>
      </c>
      <c r="E327" s="5" t="s">
        <v>25</v>
      </c>
      <c r="F327" s="5" t="s">
        <v>25</v>
      </c>
      <c r="G327" s="5" t="s">
        <v>25</v>
      </c>
      <c r="H327" s="5" t="s">
        <v>25</v>
      </c>
      <c r="I327" s="5" t="s">
        <v>25</v>
      </c>
      <c r="J327" s="5" t="s">
        <v>25</v>
      </c>
      <c r="K327" s="5" t="s">
        <v>25</v>
      </c>
      <c r="L327" s="5" t="s">
        <v>25</v>
      </c>
      <c r="M327" s="5" t="s">
        <v>23</v>
      </c>
      <c r="N327" s="5" t="s">
        <v>25</v>
      </c>
      <c r="O327" s="5" t="s">
        <v>25</v>
      </c>
      <c r="P327" s="5" t="s">
        <v>23</v>
      </c>
      <c r="Q327" s="9" t="s">
        <v>556</v>
      </c>
      <c r="R327" s="6" t="s">
        <v>557</v>
      </c>
      <c r="S327" s="6">
        <f>IF(NOT(ISBLANK(E327)), ROUND(((IF(E327="yes",1,0)*'Grading Scale'!E$2)+(IF(F327="yes",1,0)*'Grading Scale'!E$3)+(IF(G327="yes",1,0)*'Grading Scale'!E$4)+(IF(H327="yes",1,0)*'Grading Scale'!E$5)+(IF(I327="yes",1,0)*'Grading Scale'!E$6)+(IF(J327="yes",1,0)*'Grading Scale'!E$7)+(IF(K327="yes",1,0)*'Grading Scale'!E$8)+(IF(L327="yes",1,0)*'Grading Scale'!E$9)+(IF(M327="yes",1,0)*'Grading Scale'!E$10)+(IF(N327="yes",1,0)*'Grading Scale'!E$11)+(IF(O327="yes",1,0)*'Grading Scale'!E$12)+(IF(P327="yes",1,0)*'Grading Scale'!E$13))/'Grading Scale'!E$14*100,0), "")</f>
        <v>90</v>
      </c>
      <c r="T327" s="6" t="str">
        <f>IF(ISNUMBER(S327),VLOOKUP(S327,'Grading Scale'!$A$2:$B$14, 2), "")</f>
        <v>A−</v>
      </c>
      <c r="U327" s="7"/>
      <c r="V327" s="7"/>
      <c r="W327" s="7"/>
      <c r="X327" s="7"/>
      <c r="Y327" s="7"/>
      <c r="Z327" s="7"/>
      <c r="AA327" s="7"/>
      <c r="AB327" s="7"/>
      <c r="AC327" s="7"/>
      <c r="AD327" s="7"/>
      <c r="AE327" s="7"/>
      <c r="AF327" s="7"/>
      <c r="AG327" s="7"/>
      <c r="AH327" s="7"/>
      <c r="AI327" s="7"/>
      <c r="AJ327" s="7"/>
    </row>
    <row r="328">
      <c r="A328" s="4">
        <v>42376.0</v>
      </c>
      <c r="B328" s="5" t="s">
        <v>554</v>
      </c>
      <c r="C328" s="5" t="s">
        <v>28</v>
      </c>
      <c r="D328" s="6" t="str">
        <f>IF(NOT(ISBLANK(C328)), VLOOKUP(C328,'Dataset Descriptions'!$A$2:$B$10, 2, FALSE), "")</f>
        <v>The register of all corporations that exist in the state.</v>
      </c>
      <c r="E328" s="5" t="s">
        <v>25</v>
      </c>
      <c r="F328" s="5" t="s">
        <v>25</v>
      </c>
      <c r="G328" s="5" t="s">
        <v>25</v>
      </c>
      <c r="H328" s="5" t="s">
        <v>25</v>
      </c>
      <c r="I328" s="5" t="s">
        <v>25</v>
      </c>
      <c r="J328" s="5" t="s">
        <v>25</v>
      </c>
      <c r="K328" s="5" t="s">
        <v>25</v>
      </c>
      <c r="L328" s="5" t="s">
        <v>25</v>
      </c>
      <c r="M328" s="5" t="s">
        <v>25</v>
      </c>
      <c r="N328" s="5" t="s">
        <v>25</v>
      </c>
      <c r="O328" s="5" t="s">
        <v>25</v>
      </c>
      <c r="P328" s="5" t="s">
        <v>23</v>
      </c>
      <c r="Q328" s="9" t="s">
        <v>558</v>
      </c>
      <c r="R328" s="6" t="s">
        <v>559</v>
      </c>
      <c r="S328" s="6">
        <f>IF(NOT(ISBLANK(E328)), ROUND(((IF(E328="yes",1,0)*'Grading Scale'!E$2)+(IF(F328="yes",1,0)*'Grading Scale'!E$3)+(IF(G328="yes",1,0)*'Grading Scale'!E$4)+(IF(H328="yes",1,0)*'Grading Scale'!E$5)+(IF(I328="yes",1,0)*'Grading Scale'!E$6)+(IF(J328="yes",1,0)*'Grading Scale'!E$7)+(IF(K328="yes",1,0)*'Grading Scale'!E$8)+(IF(L328="yes",1,0)*'Grading Scale'!E$9)+(IF(M328="yes",1,0)*'Grading Scale'!E$10)+(IF(N328="yes",1,0)*'Grading Scale'!E$11)+(IF(O328="yes",1,0)*'Grading Scale'!E$12)+(IF(P328="yes",1,0)*'Grading Scale'!E$13))/'Grading Scale'!E$14*100,0), "")</f>
        <v>95</v>
      </c>
      <c r="T328" s="6" t="str">
        <f>IF(ISNUMBER(S328),VLOOKUP(S328,'Grading Scale'!$A$2:$B$14, 2), "")</f>
        <v>A</v>
      </c>
      <c r="U328" s="7"/>
      <c r="V328" s="7"/>
      <c r="W328" s="7"/>
      <c r="X328" s="7"/>
      <c r="Y328" s="7"/>
      <c r="Z328" s="7"/>
      <c r="AA328" s="7"/>
      <c r="AB328" s="7"/>
      <c r="AC328" s="7"/>
      <c r="AD328" s="7"/>
      <c r="AE328" s="7"/>
      <c r="AF328" s="7"/>
      <c r="AG328" s="7"/>
      <c r="AH328" s="7"/>
      <c r="AI328" s="7"/>
      <c r="AJ328" s="7"/>
    </row>
    <row r="329">
      <c r="A329" s="4">
        <v>42380.0</v>
      </c>
      <c r="B329" s="5" t="s">
        <v>554</v>
      </c>
      <c r="C329" s="5" t="s">
        <v>31</v>
      </c>
      <c r="D329" s="6" t="str">
        <f>IF(NOT(ISBLANK(C329)), VLOOKUP(C329,'Dataset Descriptions'!$A$2:$B$10, 2, FALSE), "")</f>
        <v>Per-facility inmate population records.</v>
      </c>
      <c r="E329" s="5" t="s">
        <v>22</v>
      </c>
      <c r="F329" s="5" t="s">
        <v>22</v>
      </c>
      <c r="G329" s="5" t="s">
        <v>22</v>
      </c>
      <c r="H329" s="5" t="s">
        <v>22</v>
      </c>
      <c r="I329" s="5" t="s">
        <v>23</v>
      </c>
      <c r="J329" s="5" t="s">
        <v>22</v>
      </c>
      <c r="K329" s="5" t="s">
        <v>22</v>
      </c>
      <c r="L329" s="5" t="s">
        <v>22</v>
      </c>
      <c r="M329" s="5" t="s">
        <v>22</v>
      </c>
      <c r="N329" s="5" t="s">
        <v>23</v>
      </c>
      <c r="O329" s="5" t="s">
        <v>22</v>
      </c>
      <c r="P329" s="5" t="s">
        <v>22</v>
      </c>
      <c r="Q329" s="7"/>
      <c r="R329" s="6" t="s">
        <v>560</v>
      </c>
      <c r="S329" s="6">
        <f>IF(NOT(ISBLANK(E329)), ROUND(((IF(E329="yes",1,0)*'Grading Scale'!E$2)+(IF(F329="yes",1,0)*'Grading Scale'!E$3)+(IF(G329="yes",1,0)*'Grading Scale'!E$4)+(IF(H329="yes",1,0)*'Grading Scale'!E$5)+(IF(I329="yes",1,0)*'Grading Scale'!E$6)+(IF(J329="yes",1,0)*'Grading Scale'!E$7)+(IF(K329="yes",1,0)*'Grading Scale'!E$8)+(IF(L329="yes",1,0)*'Grading Scale'!E$9)+(IF(M329="yes",1,0)*'Grading Scale'!E$10)+(IF(N329="yes",1,0)*'Grading Scale'!E$11)+(IF(O329="yes",1,0)*'Grading Scale'!E$12)+(IF(P329="yes",1,0)*'Grading Scale'!E$13))/'Grading Scale'!E$14*100,0), "")</f>
        <v>0</v>
      </c>
      <c r="T329" s="6" t="str">
        <f>IF(ISNUMBER(S329),VLOOKUP(S329,'Grading Scale'!$A$2:$B$14, 2), "")</f>
        <v>F</v>
      </c>
      <c r="U329" s="7"/>
      <c r="V329" s="7"/>
      <c r="W329" s="7"/>
      <c r="X329" s="7"/>
      <c r="Y329" s="7"/>
      <c r="Z329" s="7"/>
      <c r="AA329" s="7"/>
      <c r="AB329" s="7"/>
      <c r="AC329" s="7"/>
      <c r="AD329" s="7"/>
      <c r="AE329" s="7"/>
      <c r="AF329" s="7"/>
      <c r="AG329" s="7"/>
      <c r="AH329" s="7"/>
      <c r="AI329" s="7"/>
      <c r="AJ329" s="7"/>
    </row>
    <row r="330">
      <c r="A330" s="4">
        <v>42381.0</v>
      </c>
      <c r="B330" s="5" t="s">
        <v>554</v>
      </c>
      <c r="C330" s="5" t="s">
        <v>34</v>
      </c>
      <c r="D330" s="6" t="str">
        <f>IF(NOT(ISBLANK(C330)), VLOOKUP(C330,'Dataset Descriptions'!$A$2:$B$10, 2, FALSE), "")</f>
        <v>Bills before the legislature, and the legislators that comprise it.</v>
      </c>
      <c r="E330" s="5" t="s">
        <v>25</v>
      </c>
      <c r="F330" s="5" t="s">
        <v>25</v>
      </c>
      <c r="G330" s="5" t="s">
        <v>25</v>
      </c>
      <c r="H330" s="5" t="s">
        <v>25</v>
      </c>
      <c r="I330" s="5" t="s">
        <v>25</v>
      </c>
      <c r="J330" s="5" t="s">
        <v>23</v>
      </c>
      <c r="K330" s="5" t="s">
        <v>23</v>
      </c>
      <c r="L330" s="5" t="s">
        <v>25</v>
      </c>
      <c r="M330" s="5" t="s">
        <v>25</v>
      </c>
      <c r="N330" s="5" t="s">
        <v>23</v>
      </c>
      <c r="O330" s="5" t="s">
        <v>25</v>
      </c>
      <c r="P330" s="5" t="s">
        <v>25</v>
      </c>
      <c r="Q330" s="9" t="s">
        <v>561</v>
      </c>
      <c r="R330" s="6" t="s">
        <v>551</v>
      </c>
      <c r="S330" s="6">
        <f>IF(NOT(ISBLANK(E330)), ROUND(((IF(E330="yes",1,0)*'Grading Scale'!E$2)+(IF(F330="yes",1,0)*'Grading Scale'!E$3)+(IF(G330="yes",1,0)*'Grading Scale'!E$4)+(IF(H330="yes",1,0)*'Grading Scale'!E$5)+(IF(I330="yes",1,0)*'Grading Scale'!E$6)+(IF(J330="yes",1,0)*'Grading Scale'!E$7)+(IF(K330="yes",1,0)*'Grading Scale'!E$8)+(IF(L330="yes",1,0)*'Grading Scale'!E$9)+(IF(M330="yes",1,0)*'Grading Scale'!E$10)+(IF(N330="yes",1,0)*'Grading Scale'!E$11)+(IF(O330="yes",1,0)*'Grading Scale'!E$12)+(IF(P330="yes",1,0)*'Grading Scale'!E$13))/'Grading Scale'!E$14*100,0), "")</f>
        <v>50</v>
      </c>
      <c r="T330" s="6" t="str">
        <f>IF(ISNUMBER(S330),VLOOKUP(S330,'Grading Scale'!$A$2:$B$14, 2), "")</f>
        <v>F</v>
      </c>
      <c r="U330" s="7"/>
      <c r="V330" s="7"/>
      <c r="W330" s="7"/>
      <c r="X330" s="7"/>
      <c r="Y330" s="7"/>
      <c r="Z330" s="7"/>
      <c r="AA330" s="7"/>
      <c r="AB330" s="7"/>
      <c r="AC330" s="7"/>
      <c r="AD330" s="7"/>
      <c r="AE330" s="7"/>
      <c r="AF330" s="7"/>
      <c r="AG330" s="7"/>
      <c r="AH330" s="7"/>
      <c r="AI330" s="7"/>
      <c r="AJ330" s="7"/>
    </row>
    <row r="331">
      <c r="A331" s="4">
        <v>42381.0</v>
      </c>
      <c r="B331" s="5" t="s">
        <v>554</v>
      </c>
      <c r="C331" s="6" t="s">
        <v>37</v>
      </c>
      <c r="D331" s="6" t="str">
        <f>IF(NOT(ISBLANK(C331)), VLOOKUP(C331,'Dataset Descriptions'!$A$2:$B$10, 2, FALSE), "")</f>
        <v>Forecasts of municipal-level changes in population over coming years.</v>
      </c>
      <c r="E331" s="5" t="s">
        <v>25</v>
      </c>
      <c r="F331" s="5" t="s">
        <v>25</v>
      </c>
      <c r="G331" s="5" t="s">
        <v>25</v>
      </c>
      <c r="H331" s="5" t="s">
        <v>25</v>
      </c>
      <c r="I331" s="5" t="s">
        <v>25</v>
      </c>
      <c r="J331" s="5" t="s">
        <v>25</v>
      </c>
      <c r="K331" s="5" t="s">
        <v>25</v>
      </c>
      <c r="L331" s="5" t="s">
        <v>25</v>
      </c>
      <c r="M331" s="5" t="s">
        <v>25</v>
      </c>
      <c r="N331" s="5" t="s">
        <v>23</v>
      </c>
      <c r="O331" s="5" t="s">
        <v>25</v>
      </c>
      <c r="P331" s="5" t="s">
        <v>23</v>
      </c>
      <c r="Q331" s="9" t="s">
        <v>562</v>
      </c>
      <c r="R331" s="6" t="s">
        <v>563</v>
      </c>
      <c r="S331" s="6">
        <f>IF(NOT(ISBLANK(E331)), ROUND(((IF(E331="yes",1,0)*'Grading Scale'!E$2)+(IF(F331="yes",1,0)*'Grading Scale'!E$3)+(IF(G331="yes",1,0)*'Grading Scale'!E$4)+(IF(H331="yes",1,0)*'Grading Scale'!E$5)+(IF(I331="yes",1,0)*'Grading Scale'!E$6)+(IF(J331="yes",1,0)*'Grading Scale'!E$7)+(IF(K331="yes",1,0)*'Grading Scale'!E$8)+(IF(L331="yes",1,0)*'Grading Scale'!E$9)+(IF(M331="yes",1,0)*'Grading Scale'!E$10)+(IF(N331="yes",1,0)*'Grading Scale'!E$11)+(IF(O331="yes",1,0)*'Grading Scale'!E$12)+(IF(P331="yes",1,0)*'Grading Scale'!E$13))/'Grading Scale'!E$14*100,0), "")</f>
        <v>90</v>
      </c>
      <c r="T331" s="6" t="str">
        <f>IF(ISNUMBER(S331),VLOOKUP(S331,'Grading Scale'!$A$2:$B$14, 2), "")</f>
        <v>A−</v>
      </c>
      <c r="U331" s="7"/>
      <c r="V331" s="7"/>
      <c r="W331" s="7"/>
      <c r="X331" s="7"/>
      <c r="Y331" s="7"/>
      <c r="Z331" s="7"/>
      <c r="AA331" s="7"/>
      <c r="AB331" s="7"/>
      <c r="AC331" s="7"/>
      <c r="AD331" s="7"/>
      <c r="AE331" s="7"/>
      <c r="AF331" s="7"/>
      <c r="AG331" s="7"/>
      <c r="AH331" s="7"/>
      <c r="AI331" s="7"/>
      <c r="AJ331" s="7"/>
    </row>
    <row r="332">
      <c r="A332" s="4">
        <v>42380.0</v>
      </c>
      <c r="B332" s="5" t="s">
        <v>554</v>
      </c>
      <c r="C332" s="5" t="s">
        <v>40</v>
      </c>
      <c r="D332" s="6" t="str">
        <f>IF(NOT(ISBLANK(C332)), VLOOKUP(C332,'Dataset Descriptions'!$A$2:$B$10, 2, FALSE), "")</f>
        <v>State-owned land and buildings.</v>
      </c>
      <c r="E332" s="5" t="s">
        <v>25</v>
      </c>
      <c r="F332" s="5" t="s">
        <v>25</v>
      </c>
      <c r="G332" s="5" t="s">
        <v>25</v>
      </c>
      <c r="H332" s="5" t="s">
        <v>25</v>
      </c>
      <c r="I332" s="5" t="s">
        <v>25</v>
      </c>
      <c r="J332" s="5" t="s">
        <v>25</v>
      </c>
      <c r="K332" s="5" t="s">
        <v>25</v>
      </c>
      <c r="L332" s="5" t="s">
        <v>25</v>
      </c>
      <c r="M332" s="5" t="s">
        <v>23</v>
      </c>
      <c r="N332" s="5" t="s">
        <v>25</v>
      </c>
      <c r="O332" s="5" t="s">
        <v>25</v>
      </c>
      <c r="P332" s="5" t="s">
        <v>23</v>
      </c>
      <c r="Q332" s="9" t="s">
        <v>564</v>
      </c>
      <c r="R332" s="6" t="s">
        <v>565</v>
      </c>
      <c r="S332" s="6">
        <f>IF(NOT(ISBLANK(E332)), ROUND(((IF(E332="yes",1,0)*'Grading Scale'!E$2)+(IF(F332="yes",1,0)*'Grading Scale'!E$3)+(IF(G332="yes",1,0)*'Grading Scale'!E$4)+(IF(H332="yes",1,0)*'Grading Scale'!E$5)+(IF(I332="yes",1,0)*'Grading Scale'!E$6)+(IF(J332="yes",1,0)*'Grading Scale'!E$7)+(IF(K332="yes",1,0)*'Grading Scale'!E$8)+(IF(L332="yes",1,0)*'Grading Scale'!E$9)+(IF(M332="yes",1,0)*'Grading Scale'!E$10)+(IF(N332="yes",1,0)*'Grading Scale'!E$11)+(IF(O332="yes",1,0)*'Grading Scale'!E$12)+(IF(P332="yes",1,0)*'Grading Scale'!E$13))/'Grading Scale'!E$14*100,0), "")</f>
        <v>90</v>
      </c>
      <c r="T332" s="6" t="str">
        <f>IF(ISNUMBER(S332),VLOOKUP(S332,'Grading Scale'!$A$2:$B$14, 2), "")</f>
        <v>A−</v>
      </c>
      <c r="U332" s="7"/>
      <c r="V332" s="7"/>
      <c r="W332" s="7"/>
      <c r="X332" s="7"/>
      <c r="Y332" s="7"/>
      <c r="Z332" s="7"/>
      <c r="AA332" s="7"/>
      <c r="AB332" s="7"/>
      <c r="AC332" s="7"/>
      <c r="AD332" s="7"/>
      <c r="AE332" s="7"/>
      <c r="AF332" s="7"/>
      <c r="AG332" s="7"/>
      <c r="AH332" s="7"/>
      <c r="AI332" s="7"/>
      <c r="AJ332" s="7"/>
    </row>
    <row r="333">
      <c r="A333" s="4">
        <v>42381.0</v>
      </c>
      <c r="B333" s="5" t="s">
        <v>554</v>
      </c>
      <c r="C333" s="5" t="s">
        <v>43</v>
      </c>
      <c r="D333" s="6" t="str">
        <f>IF(NOT(ISBLANK(C333)), VLOOKUP(C333,'Dataset Descriptions'!$A$2:$B$10, 2, FALSE), "")</f>
        <v>Health inspections of establishments that serve food to the public.</v>
      </c>
      <c r="E333" s="5" t="s">
        <v>23</v>
      </c>
      <c r="F333" s="5" t="s">
        <v>23</v>
      </c>
      <c r="G333" s="5" t="s">
        <v>23</v>
      </c>
      <c r="H333" s="5" t="s">
        <v>23</v>
      </c>
      <c r="I333" s="5" t="s">
        <v>23</v>
      </c>
      <c r="J333" s="5" t="s">
        <v>23</v>
      </c>
      <c r="K333" s="5" t="s">
        <v>23</v>
      </c>
      <c r="L333" s="5" t="s">
        <v>23</v>
      </c>
      <c r="M333" s="5" t="s">
        <v>23</v>
      </c>
      <c r="N333" s="5" t="s">
        <v>23</v>
      </c>
      <c r="O333" s="5" t="s">
        <v>23</v>
      </c>
      <c r="P333" s="5" t="s">
        <v>23</v>
      </c>
      <c r="Q333" s="7"/>
      <c r="R333" s="6" t="s">
        <v>566</v>
      </c>
      <c r="S333" s="6">
        <f>IF(NOT(ISBLANK(E333)), ROUND(((IF(E333="yes",1,0)*'Grading Scale'!E$2)+(IF(F333="yes",1,0)*'Grading Scale'!E$3)+(IF(G333="yes",1,0)*'Grading Scale'!E$4)+(IF(H333="yes",1,0)*'Grading Scale'!E$5)+(IF(I333="yes",1,0)*'Grading Scale'!E$6)+(IF(J333="yes",1,0)*'Grading Scale'!E$7)+(IF(K333="yes",1,0)*'Grading Scale'!E$8)+(IF(L333="yes",1,0)*'Grading Scale'!E$9)+(IF(M333="yes",1,0)*'Grading Scale'!E$10)+(IF(N333="yes",1,0)*'Grading Scale'!E$11)+(IF(O333="yes",1,0)*'Grading Scale'!E$12)+(IF(P333="yes",1,0)*'Grading Scale'!E$13))/'Grading Scale'!E$14*100,0), "")</f>
        <v>0</v>
      </c>
      <c r="T333" s="6" t="str">
        <f>IF(ISNUMBER(S333),VLOOKUP(S333,'Grading Scale'!$A$2:$B$14, 2), "")</f>
        <v>F</v>
      </c>
      <c r="U333" s="7"/>
      <c r="V333" s="7"/>
      <c r="W333" s="7"/>
      <c r="X333" s="7"/>
      <c r="Y333" s="7"/>
      <c r="Z333" s="7"/>
      <c r="AA333" s="7"/>
      <c r="AB333" s="7"/>
      <c r="AC333" s="7"/>
      <c r="AD333" s="7"/>
      <c r="AE333" s="7"/>
      <c r="AF333" s="7"/>
      <c r="AG333" s="7"/>
      <c r="AH333" s="7"/>
      <c r="AI333" s="7"/>
      <c r="AJ333" s="7"/>
    </row>
    <row r="334">
      <c r="A334" s="4">
        <v>42381.0</v>
      </c>
      <c r="B334" s="5" t="s">
        <v>554</v>
      </c>
      <c r="C334" s="5" t="s">
        <v>46</v>
      </c>
      <c r="D334" s="6" t="str">
        <f>IF(NOT(ISBLANK(C334)), VLOOKUP(C334,'Dataset Descriptions'!$A$2:$B$10, 2, FALSE), "")</f>
        <v>Incident-level reportable motor vehicle crash records.</v>
      </c>
      <c r="E334" s="5" t="s">
        <v>25</v>
      </c>
      <c r="F334" s="5" t="s">
        <v>25</v>
      </c>
      <c r="G334" s="5" t="s">
        <v>25</v>
      </c>
      <c r="H334" s="5" t="s">
        <v>25</v>
      </c>
      <c r="I334" s="5" t="s">
        <v>25</v>
      </c>
      <c r="J334" s="5" t="s">
        <v>23</v>
      </c>
      <c r="K334" s="5" t="s">
        <v>25</v>
      </c>
      <c r="L334" s="5" t="s">
        <v>25</v>
      </c>
      <c r="M334" s="5" t="s">
        <v>23</v>
      </c>
      <c r="N334" s="5" t="s">
        <v>23</v>
      </c>
      <c r="O334" s="5" t="s">
        <v>25</v>
      </c>
      <c r="P334" s="5" t="s">
        <v>23</v>
      </c>
      <c r="Q334" s="9" t="s">
        <v>567</v>
      </c>
      <c r="R334" s="6" t="s">
        <v>568</v>
      </c>
      <c r="S334" s="6">
        <f>IF(NOT(ISBLANK(E334)), ROUND(((IF(E334="yes",1,0)*'Grading Scale'!E$2)+(IF(F334="yes",1,0)*'Grading Scale'!E$3)+(IF(G334="yes",1,0)*'Grading Scale'!E$4)+(IF(H334="yes",1,0)*'Grading Scale'!E$5)+(IF(I334="yes",1,0)*'Grading Scale'!E$6)+(IF(J334="yes",1,0)*'Grading Scale'!E$7)+(IF(K334="yes",1,0)*'Grading Scale'!E$8)+(IF(L334="yes",1,0)*'Grading Scale'!E$9)+(IF(M334="yes",1,0)*'Grading Scale'!E$10)+(IF(N334="yes",1,0)*'Grading Scale'!E$11)+(IF(O334="yes",1,0)*'Grading Scale'!E$12)+(IF(P334="yes",1,0)*'Grading Scale'!E$13))/'Grading Scale'!E$14*100,0), "")</f>
        <v>45</v>
      </c>
      <c r="T334" s="6" t="str">
        <f>IF(ISNUMBER(S334),VLOOKUP(S334,'Grading Scale'!$A$2:$B$14, 2), "")</f>
        <v>F</v>
      </c>
      <c r="U334" s="7"/>
      <c r="V334" s="7"/>
      <c r="W334" s="7"/>
      <c r="X334" s="7"/>
      <c r="Y334" s="7"/>
      <c r="Z334" s="7"/>
      <c r="AA334" s="7"/>
      <c r="AB334" s="7"/>
      <c r="AC334" s="7"/>
      <c r="AD334" s="7"/>
      <c r="AE334" s="7"/>
      <c r="AF334" s="7"/>
      <c r="AG334" s="7"/>
      <c r="AH334" s="7"/>
      <c r="AI334" s="7"/>
      <c r="AJ334" s="7"/>
    </row>
    <row r="335">
      <c r="A335" s="10">
        <v>42338.0</v>
      </c>
      <c r="B335" s="6" t="s">
        <v>569</v>
      </c>
      <c r="C335" s="6" t="s">
        <v>21</v>
      </c>
      <c r="D335" s="6" t="str">
        <f>IF(NOT(ISBLANK(C335)), VLOOKUP(C335,'Dataset Descriptions'!$A$2:$B$10, 2, FALSE), "")</f>
        <v>The geographic coordinates for physical addresses.</v>
      </c>
      <c r="E335" s="6" t="s">
        <v>23</v>
      </c>
      <c r="F335" s="6" t="s">
        <v>23</v>
      </c>
      <c r="G335" s="6" t="s">
        <v>23</v>
      </c>
      <c r="H335" s="6" t="s">
        <v>23</v>
      </c>
      <c r="I335" s="6" t="s">
        <v>23</v>
      </c>
      <c r="J335" s="6" t="s">
        <v>23</v>
      </c>
      <c r="K335" s="6" t="s">
        <v>23</v>
      </c>
      <c r="L335" s="6" t="s">
        <v>23</v>
      </c>
      <c r="M335" s="6" t="s">
        <v>23</v>
      </c>
      <c r="N335" s="6" t="s">
        <v>23</v>
      </c>
      <c r="O335" s="6" t="s">
        <v>23</v>
      </c>
      <c r="P335" s="6" t="s">
        <v>23</v>
      </c>
      <c r="Q335" s="8"/>
      <c r="R335" s="11"/>
      <c r="S335" s="6">
        <f>IF(NOT(ISBLANK(E335)), ROUND(((IF(E335="yes",1,0)*'Grading Scale'!E$2)+(IF(F335="yes",1,0)*'Grading Scale'!E$3)+(IF(G335="yes",1,0)*'Grading Scale'!E$4)+(IF(H335="yes",1,0)*'Grading Scale'!E$5)+(IF(I335="yes",1,0)*'Grading Scale'!E$6)+(IF(J335="yes",1,0)*'Grading Scale'!E$7)+(IF(K335="yes",1,0)*'Grading Scale'!E$8)+(IF(L335="yes",1,0)*'Grading Scale'!E$9)+(IF(M335="yes",1,0)*'Grading Scale'!E$10)+(IF(N335="yes",1,0)*'Grading Scale'!E$11)+(IF(O335="yes",1,0)*'Grading Scale'!E$12)+(IF(P335="yes",1,0)*'Grading Scale'!E$13))/'Grading Scale'!E$14*100,0), "")</f>
        <v>0</v>
      </c>
      <c r="T335" s="6" t="str">
        <f>IF(ISNUMBER(S335),VLOOKUP(S335,'Grading Scale'!$A$2:$B$14, 2), "")</f>
        <v>F</v>
      </c>
      <c r="U335" s="7"/>
      <c r="V335" s="7"/>
      <c r="W335" s="7"/>
      <c r="X335" s="7"/>
      <c r="Y335" s="7"/>
      <c r="Z335" s="7"/>
      <c r="AA335" s="7"/>
      <c r="AB335" s="7"/>
      <c r="AC335" s="7"/>
      <c r="AD335" s="7"/>
      <c r="AE335" s="7"/>
      <c r="AF335" s="7"/>
      <c r="AG335" s="7"/>
      <c r="AH335" s="7"/>
      <c r="AI335" s="7"/>
      <c r="AJ335" s="7"/>
    </row>
    <row r="336">
      <c r="A336" s="10">
        <v>42338.0</v>
      </c>
      <c r="B336" s="6" t="s">
        <v>569</v>
      </c>
      <c r="C336" s="6" t="s">
        <v>24</v>
      </c>
      <c r="D336" s="6" t="str">
        <f>IF(NOT(ISBLANK(C336)), VLOOKUP(C336,'Dataset Descriptions'!$A$2:$B$10, 2, FALSE), "")</f>
        <v>Transaction-level, per-agency spending records.</v>
      </c>
      <c r="E336" s="6" t="s">
        <v>25</v>
      </c>
      <c r="F336" s="6" t="s">
        <v>25</v>
      </c>
      <c r="G336" s="6" t="s">
        <v>25</v>
      </c>
      <c r="H336" s="6" t="s">
        <v>25</v>
      </c>
      <c r="I336" s="6" t="s">
        <v>25</v>
      </c>
      <c r="J336" s="6" t="s">
        <v>23</v>
      </c>
      <c r="K336" s="6" t="s">
        <v>23</v>
      </c>
      <c r="L336" s="6" t="s">
        <v>23</v>
      </c>
      <c r="M336" s="6" t="s">
        <v>25</v>
      </c>
      <c r="N336" s="6" t="s">
        <v>23</v>
      </c>
      <c r="O336" s="6" t="s">
        <v>23</v>
      </c>
      <c r="P336" s="6" t="s">
        <v>23</v>
      </c>
      <c r="Q336" s="15" t="s">
        <v>570</v>
      </c>
      <c r="R336" s="14" t="s">
        <v>571</v>
      </c>
      <c r="S336" s="6">
        <f>IF(NOT(ISBLANK(E336)), ROUND(((IF(E336="yes",1,0)*'Grading Scale'!E$2)+(IF(F336="yes",1,0)*'Grading Scale'!E$3)+(IF(G336="yes",1,0)*'Grading Scale'!E$4)+(IF(H336="yes",1,0)*'Grading Scale'!E$5)+(IF(I336="yes",1,0)*'Grading Scale'!E$6)+(IF(J336="yes",1,0)*'Grading Scale'!E$7)+(IF(K336="yes",1,0)*'Grading Scale'!E$8)+(IF(L336="yes",1,0)*'Grading Scale'!E$9)+(IF(M336="yes",1,0)*'Grading Scale'!E$10)+(IF(N336="yes",1,0)*'Grading Scale'!E$11)+(IF(O336="yes",1,0)*'Grading Scale'!E$12)+(IF(P336="yes",1,0)*'Grading Scale'!E$13))/'Grading Scale'!E$14*100,0), "")</f>
        <v>35</v>
      </c>
      <c r="T336" s="6" t="str">
        <f>IF(ISNUMBER(S336),VLOOKUP(S336,'Grading Scale'!$A$2:$B$14, 2), "")</f>
        <v>F</v>
      </c>
      <c r="U336" s="7"/>
      <c r="V336" s="7"/>
      <c r="W336" s="7"/>
      <c r="X336" s="7"/>
      <c r="Y336" s="7"/>
      <c r="Z336" s="7"/>
      <c r="AA336" s="7"/>
      <c r="AB336" s="7"/>
      <c r="AC336" s="7"/>
      <c r="AD336" s="7"/>
      <c r="AE336" s="7"/>
      <c r="AF336" s="7"/>
      <c r="AG336" s="7"/>
      <c r="AH336" s="7"/>
      <c r="AI336" s="7"/>
      <c r="AJ336" s="7"/>
    </row>
    <row r="337">
      <c r="A337" s="10">
        <v>42338.0</v>
      </c>
      <c r="B337" s="6" t="s">
        <v>569</v>
      </c>
      <c r="C337" s="6" t="s">
        <v>28</v>
      </c>
      <c r="D337" s="6" t="str">
        <f>IF(NOT(ISBLANK(C337)), VLOOKUP(C337,'Dataset Descriptions'!$A$2:$B$10, 2, FALSE), "")</f>
        <v>The register of all corporations that exist in the state.</v>
      </c>
      <c r="E337" s="6" t="s">
        <v>25</v>
      </c>
      <c r="F337" s="6" t="s">
        <v>25</v>
      </c>
      <c r="G337" s="6" t="s">
        <v>25</v>
      </c>
      <c r="H337" s="6" t="s">
        <v>25</v>
      </c>
      <c r="I337" s="6" t="s">
        <v>25</v>
      </c>
      <c r="J337" s="6" t="s">
        <v>23</v>
      </c>
      <c r="K337" s="6" t="s">
        <v>23</v>
      </c>
      <c r="L337" s="6" t="s">
        <v>23</v>
      </c>
      <c r="M337" s="6" t="s">
        <v>25</v>
      </c>
      <c r="N337" s="6" t="s">
        <v>23</v>
      </c>
      <c r="O337" s="6" t="s">
        <v>23</v>
      </c>
      <c r="P337" s="6" t="s">
        <v>25</v>
      </c>
      <c r="Q337" s="15" t="s">
        <v>572</v>
      </c>
      <c r="R337" s="11"/>
      <c r="S337" s="6">
        <f>IF(NOT(ISBLANK(E337)), ROUND(((IF(E337="yes",1,0)*'Grading Scale'!E$2)+(IF(F337="yes",1,0)*'Grading Scale'!E$3)+(IF(G337="yes",1,0)*'Grading Scale'!E$4)+(IF(H337="yes",1,0)*'Grading Scale'!E$5)+(IF(I337="yes",1,0)*'Grading Scale'!E$6)+(IF(J337="yes",1,0)*'Grading Scale'!E$7)+(IF(K337="yes",1,0)*'Grading Scale'!E$8)+(IF(L337="yes",1,0)*'Grading Scale'!E$9)+(IF(M337="yes",1,0)*'Grading Scale'!E$10)+(IF(N337="yes",1,0)*'Grading Scale'!E$11)+(IF(O337="yes",1,0)*'Grading Scale'!E$12)+(IF(P337="yes",1,0)*'Grading Scale'!E$13))/'Grading Scale'!E$14*100,0), "")</f>
        <v>40</v>
      </c>
      <c r="T337" s="6" t="str">
        <f>IF(ISNUMBER(S337),VLOOKUP(S337,'Grading Scale'!$A$2:$B$14, 2), "")</f>
        <v>F</v>
      </c>
      <c r="U337" s="7"/>
      <c r="V337" s="7"/>
      <c r="W337" s="7"/>
      <c r="X337" s="7"/>
      <c r="Y337" s="7"/>
      <c r="Z337" s="7"/>
      <c r="AA337" s="7"/>
      <c r="AB337" s="7"/>
      <c r="AC337" s="7"/>
      <c r="AD337" s="7"/>
      <c r="AE337" s="7"/>
      <c r="AF337" s="7"/>
      <c r="AG337" s="7"/>
      <c r="AH337" s="7"/>
      <c r="AI337" s="7"/>
      <c r="AJ337" s="7"/>
    </row>
    <row r="338">
      <c r="A338" s="10">
        <v>42338.0</v>
      </c>
      <c r="B338" s="6" t="s">
        <v>569</v>
      </c>
      <c r="C338" s="6" t="s">
        <v>31</v>
      </c>
      <c r="D338" s="6" t="str">
        <f>IF(NOT(ISBLANK(C338)), VLOOKUP(C338,'Dataset Descriptions'!$A$2:$B$10, 2, FALSE), "")</f>
        <v>Per-facility inmate population records.</v>
      </c>
      <c r="E338" s="6" t="s">
        <v>25</v>
      </c>
      <c r="F338" s="6" t="s">
        <v>25</v>
      </c>
      <c r="G338" s="6" t="s">
        <v>25</v>
      </c>
      <c r="H338" s="6" t="s">
        <v>25</v>
      </c>
      <c r="I338" s="6" t="s">
        <v>25</v>
      </c>
      <c r="J338" s="6" t="s">
        <v>23</v>
      </c>
      <c r="K338" s="6" t="s">
        <v>23</v>
      </c>
      <c r="L338" s="6" t="s">
        <v>25</v>
      </c>
      <c r="M338" s="6" t="s">
        <v>25</v>
      </c>
      <c r="N338" s="6" t="s">
        <v>23</v>
      </c>
      <c r="O338" s="6" t="s">
        <v>23</v>
      </c>
      <c r="P338" s="8"/>
      <c r="Q338" s="15" t="s">
        <v>573</v>
      </c>
      <c r="R338" s="14" t="s">
        <v>574</v>
      </c>
      <c r="S338" s="6">
        <f>IF(NOT(ISBLANK(E338)), ROUND(((IF(E338="yes",1,0)*'Grading Scale'!E$2)+(IF(F338="yes",1,0)*'Grading Scale'!E$3)+(IF(G338="yes",1,0)*'Grading Scale'!E$4)+(IF(H338="yes",1,0)*'Grading Scale'!E$5)+(IF(I338="yes",1,0)*'Grading Scale'!E$6)+(IF(J338="yes",1,0)*'Grading Scale'!E$7)+(IF(K338="yes",1,0)*'Grading Scale'!E$8)+(IF(L338="yes",1,0)*'Grading Scale'!E$9)+(IF(M338="yes",1,0)*'Grading Scale'!E$10)+(IF(N338="yes",1,0)*'Grading Scale'!E$11)+(IF(O338="yes",1,0)*'Grading Scale'!E$12)+(IF(P338="yes",1,0)*'Grading Scale'!E$13))/'Grading Scale'!E$14*100,0), "")</f>
        <v>40</v>
      </c>
      <c r="T338" s="6" t="str">
        <f>IF(ISNUMBER(S338),VLOOKUP(S338,'Grading Scale'!$A$2:$B$14, 2), "")</f>
        <v>F</v>
      </c>
      <c r="U338" s="7"/>
      <c r="V338" s="7"/>
      <c r="W338" s="7"/>
      <c r="X338" s="7"/>
      <c r="Y338" s="7"/>
      <c r="Z338" s="7"/>
      <c r="AA338" s="7"/>
      <c r="AB338" s="7"/>
      <c r="AC338" s="7"/>
      <c r="AD338" s="7"/>
      <c r="AE338" s="7"/>
      <c r="AF338" s="7"/>
      <c r="AG338" s="7"/>
      <c r="AH338" s="7"/>
      <c r="AI338" s="7"/>
      <c r="AJ338" s="7"/>
    </row>
    <row r="339">
      <c r="A339" s="10">
        <v>42338.0</v>
      </c>
      <c r="B339" s="6" t="s">
        <v>569</v>
      </c>
      <c r="C339" s="6" t="s">
        <v>34</v>
      </c>
      <c r="D339" s="6" t="str">
        <f>IF(NOT(ISBLANK(C339)), VLOOKUP(C339,'Dataset Descriptions'!$A$2:$B$10, 2, FALSE), "")</f>
        <v>Bills before the legislature, and the legislators that comprise it.</v>
      </c>
      <c r="E339" s="6" t="s">
        <v>25</v>
      </c>
      <c r="F339" s="6" t="s">
        <v>25</v>
      </c>
      <c r="G339" s="6" t="s">
        <v>25</v>
      </c>
      <c r="H339" s="6" t="s">
        <v>25</v>
      </c>
      <c r="I339" s="6" t="s">
        <v>25</v>
      </c>
      <c r="J339" s="6" t="s">
        <v>23</v>
      </c>
      <c r="K339" s="6" t="s">
        <v>23</v>
      </c>
      <c r="L339" s="6" t="s">
        <v>25</v>
      </c>
      <c r="M339" s="8"/>
      <c r="N339" s="6" t="s">
        <v>23</v>
      </c>
      <c r="O339" s="8"/>
      <c r="P339" s="8"/>
      <c r="Q339" s="15" t="s">
        <v>575</v>
      </c>
      <c r="R339" s="11"/>
      <c r="S339" s="6">
        <f>IF(NOT(ISBLANK(E339)), ROUND(((IF(E339="yes",1,0)*'Grading Scale'!E$2)+(IF(F339="yes",1,0)*'Grading Scale'!E$3)+(IF(G339="yes",1,0)*'Grading Scale'!E$4)+(IF(H339="yes",1,0)*'Grading Scale'!E$5)+(IF(I339="yes",1,0)*'Grading Scale'!E$6)+(IF(J339="yes",1,0)*'Grading Scale'!E$7)+(IF(K339="yes",1,0)*'Grading Scale'!E$8)+(IF(L339="yes",1,0)*'Grading Scale'!E$9)+(IF(M339="yes",1,0)*'Grading Scale'!E$10)+(IF(N339="yes",1,0)*'Grading Scale'!E$11)+(IF(O339="yes",1,0)*'Grading Scale'!E$12)+(IF(P339="yes",1,0)*'Grading Scale'!E$13))/'Grading Scale'!E$14*100,0), "")</f>
        <v>35</v>
      </c>
      <c r="T339" s="6" t="str">
        <f>IF(ISNUMBER(S339),VLOOKUP(S339,'Grading Scale'!$A$2:$B$14, 2), "")</f>
        <v>F</v>
      </c>
      <c r="U339" s="7"/>
      <c r="V339" s="7"/>
      <c r="W339" s="7"/>
      <c r="X339" s="7"/>
      <c r="Y339" s="7"/>
      <c r="Z339" s="7"/>
      <c r="AA339" s="7"/>
      <c r="AB339" s="7"/>
      <c r="AC339" s="7"/>
      <c r="AD339" s="7"/>
      <c r="AE339" s="7"/>
      <c r="AF339" s="7"/>
      <c r="AG339" s="7"/>
      <c r="AH339" s="7"/>
      <c r="AI339" s="7"/>
      <c r="AJ339" s="7"/>
    </row>
    <row r="340">
      <c r="A340" s="10">
        <v>42338.0</v>
      </c>
      <c r="B340" s="6" t="s">
        <v>569</v>
      </c>
      <c r="C340" s="6" t="s">
        <v>37</v>
      </c>
      <c r="D340" s="6" t="str">
        <f>IF(NOT(ISBLANK(C340)), VLOOKUP(C340,'Dataset Descriptions'!$A$2:$B$10, 2, FALSE), "")</f>
        <v>Forecasts of municipal-level changes in population over coming years.</v>
      </c>
      <c r="E340" s="6" t="s">
        <v>25</v>
      </c>
      <c r="F340" s="6" t="s">
        <v>25</v>
      </c>
      <c r="G340" s="6" t="s">
        <v>25</v>
      </c>
      <c r="H340" s="6" t="s">
        <v>25</v>
      </c>
      <c r="I340" s="6" t="s">
        <v>25</v>
      </c>
      <c r="J340" s="6" t="s">
        <v>25</v>
      </c>
      <c r="K340" s="6" t="s">
        <v>25</v>
      </c>
      <c r="L340" s="6" t="s">
        <v>23</v>
      </c>
      <c r="M340" s="6" t="s">
        <v>23</v>
      </c>
      <c r="N340" s="6" t="s">
        <v>23</v>
      </c>
      <c r="O340" s="6" t="s">
        <v>23</v>
      </c>
      <c r="P340" s="6" t="s">
        <v>23</v>
      </c>
      <c r="Q340" s="15" t="s">
        <v>576</v>
      </c>
      <c r="R340" s="14" t="s">
        <v>577</v>
      </c>
      <c r="S340" s="6">
        <f>IF(NOT(ISBLANK(E340)), ROUND(((IF(E340="yes",1,0)*'Grading Scale'!E$2)+(IF(F340="yes",1,0)*'Grading Scale'!E$3)+(IF(G340="yes",1,0)*'Grading Scale'!E$4)+(IF(H340="yes",1,0)*'Grading Scale'!E$5)+(IF(I340="yes",1,0)*'Grading Scale'!E$6)+(IF(J340="yes",1,0)*'Grading Scale'!E$7)+(IF(K340="yes",1,0)*'Grading Scale'!E$8)+(IF(L340="yes",1,0)*'Grading Scale'!E$9)+(IF(M340="yes",1,0)*'Grading Scale'!E$10)+(IF(N340="yes",1,0)*'Grading Scale'!E$11)+(IF(O340="yes",1,0)*'Grading Scale'!E$12)+(IF(P340="yes",1,0)*'Grading Scale'!E$13))/'Grading Scale'!E$14*100,0), "")</f>
        <v>75</v>
      </c>
      <c r="T340" s="6" t="str">
        <f>IF(ISNUMBER(S340),VLOOKUP(S340,'Grading Scale'!$A$2:$B$14, 2), "")</f>
        <v>C</v>
      </c>
      <c r="U340" s="7"/>
      <c r="V340" s="7"/>
      <c r="W340" s="7"/>
      <c r="X340" s="7"/>
      <c r="Y340" s="7"/>
      <c r="Z340" s="7"/>
      <c r="AA340" s="7"/>
      <c r="AB340" s="7"/>
      <c r="AC340" s="7"/>
      <c r="AD340" s="7"/>
      <c r="AE340" s="7"/>
      <c r="AF340" s="7"/>
      <c r="AG340" s="7"/>
      <c r="AH340" s="7"/>
      <c r="AI340" s="7"/>
      <c r="AJ340" s="7"/>
    </row>
    <row r="341">
      <c r="A341" s="10">
        <v>42338.0</v>
      </c>
      <c r="B341" s="6" t="s">
        <v>569</v>
      </c>
      <c r="C341" s="6" t="s">
        <v>40</v>
      </c>
      <c r="D341" s="6" t="str">
        <f>IF(NOT(ISBLANK(C341)), VLOOKUP(C341,'Dataset Descriptions'!$A$2:$B$10, 2, FALSE), "")</f>
        <v>State-owned land and buildings.</v>
      </c>
      <c r="E341" s="6" t="s">
        <v>25</v>
      </c>
      <c r="F341" s="6" t="s">
        <v>25</v>
      </c>
      <c r="G341" s="6" t="s">
        <v>25</v>
      </c>
      <c r="H341" s="6" t="s">
        <v>25</v>
      </c>
      <c r="I341" s="6" t="s">
        <v>25</v>
      </c>
      <c r="J341" s="6" t="s">
        <v>23</v>
      </c>
      <c r="K341" s="6" t="s">
        <v>23</v>
      </c>
      <c r="L341" s="6" t="s">
        <v>23</v>
      </c>
      <c r="M341" s="6" t="s">
        <v>25</v>
      </c>
      <c r="N341" s="6" t="s">
        <v>23</v>
      </c>
      <c r="O341" s="6" t="s">
        <v>23</v>
      </c>
      <c r="P341" s="6" t="s">
        <v>25</v>
      </c>
      <c r="Q341" s="15" t="s">
        <v>578</v>
      </c>
      <c r="R341" s="14" t="s">
        <v>579</v>
      </c>
      <c r="S341" s="6">
        <f>IF(NOT(ISBLANK(E341)), ROUND(((IF(E341="yes",1,0)*'Grading Scale'!E$2)+(IF(F341="yes",1,0)*'Grading Scale'!E$3)+(IF(G341="yes",1,0)*'Grading Scale'!E$4)+(IF(H341="yes",1,0)*'Grading Scale'!E$5)+(IF(I341="yes",1,0)*'Grading Scale'!E$6)+(IF(J341="yes",1,0)*'Grading Scale'!E$7)+(IF(K341="yes",1,0)*'Grading Scale'!E$8)+(IF(L341="yes",1,0)*'Grading Scale'!E$9)+(IF(M341="yes",1,0)*'Grading Scale'!E$10)+(IF(N341="yes",1,0)*'Grading Scale'!E$11)+(IF(O341="yes",1,0)*'Grading Scale'!E$12)+(IF(P341="yes",1,0)*'Grading Scale'!E$13))/'Grading Scale'!E$14*100,0), "")</f>
        <v>40</v>
      </c>
      <c r="T341" s="6" t="str">
        <f>IF(ISNUMBER(S341),VLOOKUP(S341,'Grading Scale'!$A$2:$B$14, 2), "")</f>
        <v>F</v>
      </c>
      <c r="U341" s="7"/>
      <c r="V341" s="7"/>
      <c r="W341" s="7"/>
      <c r="X341" s="7"/>
      <c r="Y341" s="7"/>
      <c r="Z341" s="7"/>
      <c r="AA341" s="7"/>
      <c r="AB341" s="7"/>
      <c r="AC341" s="7"/>
      <c r="AD341" s="7"/>
      <c r="AE341" s="7"/>
      <c r="AF341" s="7"/>
      <c r="AG341" s="7"/>
      <c r="AH341" s="7"/>
      <c r="AI341" s="7"/>
      <c r="AJ341" s="7"/>
    </row>
    <row r="342">
      <c r="A342" s="10">
        <v>42440.0</v>
      </c>
      <c r="B342" s="6" t="s">
        <v>569</v>
      </c>
      <c r="C342" s="6" t="s">
        <v>43</v>
      </c>
      <c r="D342" s="6" t="str">
        <f>IF(NOT(ISBLANK(C342)), VLOOKUP(C342,'Dataset Descriptions'!$A$2:$B$10, 2, FALSE), "")</f>
        <v>Health inspections of establishments that serve food to the public.</v>
      </c>
      <c r="E342" s="6" t="s">
        <v>25</v>
      </c>
      <c r="F342" s="6" t="s">
        <v>25</v>
      </c>
      <c r="G342" s="6" t="s">
        <v>25</v>
      </c>
      <c r="H342" s="6" t="s">
        <v>25</v>
      </c>
      <c r="I342" s="6" t="s">
        <v>25</v>
      </c>
      <c r="J342" s="6" t="s">
        <v>23</v>
      </c>
      <c r="K342" s="6" t="s">
        <v>23</v>
      </c>
      <c r="L342" s="6" t="s">
        <v>23</v>
      </c>
      <c r="M342" s="6" t="s">
        <v>25</v>
      </c>
      <c r="N342" s="6" t="s">
        <v>23</v>
      </c>
      <c r="O342" s="6" t="s">
        <v>25</v>
      </c>
      <c r="P342" s="6" t="s">
        <v>25</v>
      </c>
      <c r="Q342" s="15" t="s">
        <v>580</v>
      </c>
      <c r="R342" s="14"/>
      <c r="S342" s="6">
        <f>IF(NOT(ISBLANK(E342)), ROUND(((IF(E342="yes",1,0)*'Grading Scale'!E$2)+(IF(F342="yes",1,0)*'Grading Scale'!E$3)+(IF(G342="yes",1,0)*'Grading Scale'!E$4)+(IF(H342="yes",1,0)*'Grading Scale'!E$5)+(IF(I342="yes",1,0)*'Grading Scale'!E$6)+(IF(J342="yes",1,0)*'Grading Scale'!E$7)+(IF(K342="yes",1,0)*'Grading Scale'!E$8)+(IF(L342="yes",1,0)*'Grading Scale'!E$9)+(IF(M342="yes",1,0)*'Grading Scale'!E$10)+(IF(N342="yes",1,0)*'Grading Scale'!E$11)+(IF(O342="yes",1,0)*'Grading Scale'!E$12)+(IF(P342="yes",1,0)*'Grading Scale'!E$13))/'Grading Scale'!E$14*100,0), "")</f>
        <v>45</v>
      </c>
      <c r="T342" s="6" t="str">
        <f>IF(ISNUMBER(S342),VLOOKUP(S342,'Grading Scale'!$A$2:$B$14, 2), "")</f>
        <v>F</v>
      </c>
      <c r="U342" s="7"/>
      <c r="V342" s="7"/>
      <c r="W342" s="7"/>
      <c r="X342" s="7"/>
      <c r="Y342" s="7"/>
      <c r="Z342" s="7"/>
      <c r="AA342" s="7"/>
      <c r="AB342" s="7"/>
      <c r="AC342" s="7"/>
      <c r="AD342" s="7"/>
      <c r="AE342" s="7"/>
      <c r="AF342" s="7"/>
      <c r="AG342" s="7"/>
      <c r="AH342" s="7"/>
      <c r="AI342" s="7"/>
      <c r="AJ342" s="7"/>
    </row>
    <row r="343">
      <c r="A343" s="10">
        <v>42361.0</v>
      </c>
      <c r="B343" s="6" t="s">
        <v>569</v>
      </c>
      <c r="C343" s="6" t="s">
        <v>46</v>
      </c>
      <c r="D343" s="6" t="str">
        <f>IF(NOT(ISBLANK(C343)), VLOOKUP(C343,'Dataset Descriptions'!$A$2:$B$10, 2, FALSE), "")</f>
        <v>Incident-level reportable motor vehicle crash records.</v>
      </c>
      <c r="E343" s="6" t="s">
        <v>25</v>
      </c>
      <c r="F343" s="6" t="s">
        <v>25</v>
      </c>
      <c r="G343" s="6" t="s">
        <v>25</v>
      </c>
      <c r="H343" s="6" t="s">
        <v>25</v>
      </c>
      <c r="I343" s="6" t="s">
        <v>25</v>
      </c>
      <c r="J343" s="6" t="s">
        <v>23</v>
      </c>
      <c r="K343" s="6" t="s">
        <v>23</v>
      </c>
      <c r="L343" s="6" t="s">
        <v>25</v>
      </c>
      <c r="M343" s="6" t="s">
        <v>25</v>
      </c>
      <c r="N343" s="6" t="s">
        <v>23</v>
      </c>
      <c r="O343" s="6" t="s">
        <v>25</v>
      </c>
      <c r="P343" s="6" t="s">
        <v>23</v>
      </c>
      <c r="Q343" s="15" t="s">
        <v>581</v>
      </c>
      <c r="R343" s="13" t="s">
        <v>582</v>
      </c>
      <c r="S343" s="6">
        <f>IF(NOT(ISBLANK(E343)), ROUND(((IF(E343="yes",1,0)*'Grading Scale'!E$2)+(IF(F343="yes",1,0)*'Grading Scale'!E$3)+(IF(G343="yes",1,0)*'Grading Scale'!E$4)+(IF(H343="yes",1,0)*'Grading Scale'!E$5)+(IF(I343="yes",1,0)*'Grading Scale'!E$6)+(IF(J343="yes",1,0)*'Grading Scale'!E$7)+(IF(K343="yes",1,0)*'Grading Scale'!E$8)+(IF(L343="yes",1,0)*'Grading Scale'!E$9)+(IF(M343="yes",1,0)*'Grading Scale'!E$10)+(IF(N343="yes",1,0)*'Grading Scale'!E$11)+(IF(O343="yes",1,0)*'Grading Scale'!E$12)+(IF(P343="yes",1,0)*'Grading Scale'!E$13))/'Grading Scale'!E$14*100,0), "")</f>
        <v>45</v>
      </c>
      <c r="T343" s="6" t="str">
        <f>IF(ISNUMBER(S343),VLOOKUP(S343,'Grading Scale'!$A$2:$B$14, 2), "")</f>
        <v>F</v>
      </c>
      <c r="Y343" s="24"/>
      <c r="Z343" s="7"/>
      <c r="AA343" s="7"/>
      <c r="AB343" s="7"/>
      <c r="AC343" s="7"/>
      <c r="AD343" s="7"/>
      <c r="AE343" s="7"/>
      <c r="AF343" s="7"/>
      <c r="AG343" s="7"/>
      <c r="AH343" s="7"/>
      <c r="AI343" s="7"/>
      <c r="AJ343" s="7"/>
    </row>
    <row r="344">
      <c r="A344" s="10">
        <v>42411.0</v>
      </c>
      <c r="B344" s="5" t="s">
        <v>583</v>
      </c>
      <c r="C344" s="5" t="s">
        <v>21</v>
      </c>
      <c r="D344" s="6" t="str">
        <f>IF(NOT(ISBLANK(C344)), VLOOKUP(C344,'Dataset Descriptions'!$A$2:$B$10, 2, FALSE), "")</f>
        <v>The geographic coordinates for physical addresses.</v>
      </c>
      <c r="E344" s="5" t="s">
        <v>25</v>
      </c>
      <c r="F344" s="5" t="s">
        <v>25</v>
      </c>
      <c r="G344" s="5" t="s">
        <v>25</v>
      </c>
      <c r="H344" s="5" t="s">
        <v>25</v>
      </c>
      <c r="I344" s="5" t="s">
        <v>25</v>
      </c>
      <c r="J344" s="5" t="s">
        <v>25</v>
      </c>
      <c r="K344" s="5" t="s">
        <v>25</v>
      </c>
      <c r="L344" s="5" t="s">
        <v>25</v>
      </c>
      <c r="M344" s="5" t="s">
        <v>23</v>
      </c>
      <c r="N344" s="5" t="s">
        <v>25</v>
      </c>
      <c r="O344" s="5" t="s">
        <v>25</v>
      </c>
      <c r="P344" s="5" t="s">
        <v>23</v>
      </c>
      <c r="Q344" s="9" t="s">
        <v>584</v>
      </c>
      <c r="R344" s="6" t="s">
        <v>585</v>
      </c>
      <c r="S344" s="6">
        <f>IF(NOT(ISBLANK(E344)), ROUND(((IF(E344="yes",1,0)*'Grading Scale'!E$2)+(IF(F344="yes",1,0)*'Grading Scale'!E$3)+(IF(G344="yes",1,0)*'Grading Scale'!E$4)+(IF(H344="yes",1,0)*'Grading Scale'!E$5)+(IF(I344="yes",1,0)*'Grading Scale'!E$6)+(IF(J344="yes",1,0)*'Grading Scale'!E$7)+(IF(K344="yes",1,0)*'Grading Scale'!E$8)+(IF(L344="yes",1,0)*'Grading Scale'!E$9)+(IF(M344="yes",1,0)*'Grading Scale'!E$10)+(IF(N344="yes",1,0)*'Grading Scale'!E$11)+(IF(O344="yes",1,0)*'Grading Scale'!E$12)+(IF(P344="yes",1,0)*'Grading Scale'!E$13))/'Grading Scale'!E$14*100,0), "")</f>
        <v>90</v>
      </c>
      <c r="T344" s="6" t="str">
        <f>IF(ISNUMBER(S344),VLOOKUP(S344,'Grading Scale'!$A$2:$B$14, 2), "")</f>
        <v>A−</v>
      </c>
      <c r="U344" s="7"/>
      <c r="V344" s="7"/>
      <c r="W344" s="7"/>
      <c r="X344" s="7"/>
      <c r="Y344" s="7"/>
      <c r="Z344" s="7"/>
      <c r="AA344" s="7"/>
      <c r="AB344" s="7"/>
      <c r="AC344" s="7"/>
      <c r="AD344" s="7"/>
      <c r="AE344" s="7"/>
      <c r="AF344" s="7"/>
      <c r="AG344" s="7"/>
      <c r="AH344" s="7"/>
      <c r="AI344" s="7"/>
      <c r="AJ344" s="7"/>
    </row>
    <row r="345">
      <c r="A345" s="4">
        <v>42339.0</v>
      </c>
      <c r="B345" s="5" t="s">
        <v>583</v>
      </c>
      <c r="C345" s="5" t="s">
        <v>24</v>
      </c>
      <c r="D345" s="6" t="str">
        <f>IF(NOT(ISBLANK(C345)), VLOOKUP(C345,'Dataset Descriptions'!$A$2:$B$10, 2, FALSE), "")</f>
        <v>Transaction-level, per-agency spending records.</v>
      </c>
      <c r="E345" s="5" t="s">
        <v>22</v>
      </c>
      <c r="F345" s="5" t="s">
        <v>22</v>
      </c>
      <c r="G345" s="5" t="s">
        <v>22</v>
      </c>
      <c r="H345" s="5" t="s">
        <v>22</v>
      </c>
      <c r="I345" s="5" t="s">
        <v>22</v>
      </c>
      <c r="J345" s="5" t="s">
        <v>22</v>
      </c>
      <c r="K345" s="5" t="s">
        <v>22</v>
      </c>
      <c r="L345" s="5" t="s">
        <v>22</v>
      </c>
      <c r="M345" s="5" t="s">
        <v>22</v>
      </c>
      <c r="N345" s="5" t="s">
        <v>23</v>
      </c>
      <c r="O345" s="5" t="s">
        <v>22</v>
      </c>
      <c r="P345" s="5" t="s">
        <v>22</v>
      </c>
      <c r="Q345" s="7"/>
      <c r="R345" s="8"/>
      <c r="S345" s="6">
        <f>IF(NOT(ISBLANK(E345)), ROUND(((IF(E345="yes",1,0)*'Grading Scale'!E$2)+(IF(F345="yes",1,0)*'Grading Scale'!E$3)+(IF(G345="yes",1,0)*'Grading Scale'!E$4)+(IF(H345="yes",1,0)*'Grading Scale'!E$5)+(IF(I345="yes",1,0)*'Grading Scale'!E$6)+(IF(J345="yes",1,0)*'Grading Scale'!E$7)+(IF(K345="yes",1,0)*'Grading Scale'!E$8)+(IF(L345="yes",1,0)*'Grading Scale'!E$9)+(IF(M345="yes",1,0)*'Grading Scale'!E$10)+(IF(N345="yes",1,0)*'Grading Scale'!E$11)+(IF(O345="yes",1,0)*'Grading Scale'!E$12)+(IF(P345="yes",1,0)*'Grading Scale'!E$13))/'Grading Scale'!E$14*100,0), "")</f>
        <v>0</v>
      </c>
      <c r="T345" s="6" t="str">
        <f>IF(ISNUMBER(S345),VLOOKUP(S345,'Grading Scale'!$A$2:$B$14, 2), "")</f>
        <v>F</v>
      </c>
      <c r="U345" s="7"/>
      <c r="V345" s="7"/>
      <c r="W345" s="7"/>
      <c r="X345" s="7"/>
      <c r="Y345" s="7"/>
      <c r="Z345" s="7"/>
      <c r="AA345" s="7"/>
      <c r="AB345" s="7"/>
      <c r="AC345" s="7"/>
      <c r="AD345" s="7"/>
      <c r="AE345" s="7"/>
      <c r="AF345" s="7"/>
      <c r="AG345" s="7"/>
      <c r="AH345" s="7"/>
      <c r="AI345" s="7"/>
      <c r="AJ345" s="7"/>
    </row>
    <row r="346">
      <c r="A346" s="10">
        <v>42360.0</v>
      </c>
      <c r="B346" s="5" t="s">
        <v>583</v>
      </c>
      <c r="C346" s="5" t="s">
        <v>28</v>
      </c>
      <c r="D346" s="6" t="str">
        <f>IF(NOT(ISBLANK(C346)), VLOOKUP(C346,'Dataset Descriptions'!$A$2:$B$10, 2, FALSE), "")</f>
        <v>The register of all corporations that exist in the state.</v>
      </c>
      <c r="E346" s="5" t="s">
        <v>25</v>
      </c>
      <c r="F346" s="5" t="s">
        <v>25</v>
      </c>
      <c r="G346" s="5" t="s">
        <v>25</v>
      </c>
      <c r="H346" s="5" t="s">
        <v>25</v>
      </c>
      <c r="I346" s="5" t="s">
        <v>25</v>
      </c>
      <c r="J346" s="5" t="s">
        <v>25</v>
      </c>
      <c r="K346" s="5" t="s">
        <v>25</v>
      </c>
      <c r="L346" s="5" t="s">
        <v>25</v>
      </c>
      <c r="M346" s="5" t="s">
        <v>22</v>
      </c>
      <c r="N346" s="5" t="s">
        <v>25</v>
      </c>
      <c r="O346" s="5" t="s">
        <v>25</v>
      </c>
      <c r="P346" s="5" t="s">
        <v>23</v>
      </c>
      <c r="Q346" s="9" t="s">
        <v>586</v>
      </c>
      <c r="R346" s="6" t="s">
        <v>587</v>
      </c>
      <c r="S346" s="6">
        <f>IF(NOT(ISBLANK(E346)), ROUND(((IF(E346="yes",1,0)*'Grading Scale'!E$2)+(IF(F346="yes",1,0)*'Grading Scale'!E$3)+(IF(G346="yes",1,0)*'Grading Scale'!E$4)+(IF(H346="yes",1,0)*'Grading Scale'!E$5)+(IF(I346="yes",1,0)*'Grading Scale'!E$6)+(IF(J346="yes",1,0)*'Grading Scale'!E$7)+(IF(K346="yes",1,0)*'Grading Scale'!E$8)+(IF(L346="yes",1,0)*'Grading Scale'!E$9)+(IF(M346="yes",1,0)*'Grading Scale'!E$10)+(IF(N346="yes",1,0)*'Grading Scale'!E$11)+(IF(O346="yes",1,0)*'Grading Scale'!E$12)+(IF(P346="yes",1,0)*'Grading Scale'!E$13))/'Grading Scale'!E$14*100,0), "")</f>
        <v>90</v>
      </c>
      <c r="T346" s="6" t="str">
        <f>IF(ISNUMBER(S346),VLOOKUP(S346,'Grading Scale'!$A$2:$B$14, 2), "")</f>
        <v>A−</v>
      </c>
      <c r="U346" s="7"/>
      <c r="V346" s="7"/>
      <c r="W346" s="7"/>
      <c r="X346" s="7"/>
      <c r="Y346" s="7"/>
      <c r="Z346" s="7"/>
      <c r="AA346" s="7"/>
      <c r="AB346" s="7"/>
      <c r="AC346" s="7"/>
      <c r="AD346" s="7"/>
      <c r="AE346" s="7"/>
      <c r="AF346" s="7"/>
      <c r="AG346" s="7"/>
      <c r="AH346" s="7"/>
      <c r="AI346" s="7"/>
      <c r="AJ346" s="7"/>
    </row>
    <row r="347">
      <c r="A347" s="10">
        <v>42339.0</v>
      </c>
      <c r="B347" s="5" t="s">
        <v>583</v>
      </c>
      <c r="C347" s="5" t="s">
        <v>31</v>
      </c>
      <c r="D347" s="6" t="str">
        <f>IF(NOT(ISBLANK(C347)), VLOOKUP(C347,'Dataset Descriptions'!$A$2:$B$10, 2, FALSE), "")</f>
        <v>Per-facility inmate population records.</v>
      </c>
      <c r="E347" s="5" t="s">
        <v>22</v>
      </c>
      <c r="F347" s="5" t="s">
        <v>22</v>
      </c>
      <c r="G347" s="5" t="s">
        <v>22</v>
      </c>
      <c r="H347" s="5" t="s">
        <v>22</v>
      </c>
      <c r="I347" s="5" t="s">
        <v>22</v>
      </c>
      <c r="J347" s="5" t="s">
        <v>22</v>
      </c>
      <c r="K347" s="5" t="s">
        <v>22</v>
      </c>
      <c r="L347" s="5" t="s">
        <v>22</v>
      </c>
      <c r="M347" s="5" t="s">
        <v>22</v>
      </c>
      <c r="N347" s="5" t="s">
        <v>23</v>
      </c>
      <c r="O347" s="5" t="s">
        <v>22</v>
      </c>
      <c r="P347" s="5" t="s">
        <v>22</v>
      </c>
      <c r="Q347" s="7"/>
      <c r="R347" s="8"/>
      <c r="S347" s="6">
        <f>IF(NOT(ISBLANK(E347)), ROUND(((IF(E347="yes",1,0)*'Grading Scale'!E$2)+(IF(F347="yes",1,0)*'Grading Scale'!E$3)+(IF(G347="yes",1,0)*'Grading Scale'!E$4)+(IF(H347="yes",1,0)*'Grading Scale'!E$5)+(IF(I347="yes",1,0)*'Grading Scale'!E$6)+(IF(J347="yes",1,0)*'Grading Scale'!E$7)+(IF(K347="yes",1,0)*'Grading Scale'!E$8)+(IF(L347="yes",1,0)*'Grading Scale'!E$9)+(IF(M347="yes",1,0)*'Grading Scale'!E$10)+(IF(N347="yes",1,0)*'Grading Scale'!E$11)+(IF(O347="yes",1,0)*'Grading Scale'!E$12)+(IF(P347="yes",1,0)*'Grading Scale'!E$13))/'Grading Scale'!E$14*100,0), "")</f>
        <v>0</v>
      </c>
      <c r="T347" s="6" t="str">
        <f>IF(ISNUMBER(S347),VLOOKUP(S347,'Grading Scale'!$A$2:$B$14, 2), "")</f>
        <v>F</v>
      </c>
      <c r="U347" s="7"/>
      <c r="V347" s="7"/>
      <c r="W347" s="7"/>
      <c r="X347" s="7"/>
      <c r="Y347" s="7"/>
      <c r="Z347" s="7"/>
      <c r="AA347" s="7"/>
      <c r="AB347" s="7"/>
      <c r="AC347" s="7"/>
      <c r="AD347" s="7"/>
      <c r="AE347" s="7"/>
      <c r="AF347" s="7"/>
      <c r="AG347" s="7"/>
      <c r="AH347" s="7"/>
      <c r="AI347" s="7"/>
      <c r="AJ347" s="7"/>
    </row>
    <row r="348">
      <c r="A348" s="4">
        <v>42361.0</v>
      </c>
      <c r="B348" s="5" t="s">
        <v>583</v>
      </c>
      <c r="C348" s="5" t="s">
        <v>34</v>
      </c>
      <c r="D348" s="6" t="str">
        <f>IF(NOT(ISBLANK(C348)), VLOOKUP(C348,'Dataset Descriptions'!$A$2:$B$10, 2, FALSE), "")</f>
        <v>Bills before the legislature, and the legislators that comprise it.</v>
      </c>
      <c r="E348" s="5" t="s">
        <v>25</v>
      </c>
      <c r="F348" s="5" t="s">
        <v>25</v>
      </c>
      <c r="G348" s="5" t="s">
        <v>25</v>
      </c>
      <c r="H348" s="5" t="s">
        <v>25</v>
      </c>
      <c r="I348" s="5" t="s">
        <v>25</v>
      </c>
      <c r="J348" s="5" t="s">
        <v>23</v>
      </c>
      <c r="K348" s="5" t="s">
        <v>23</v>
      </c>
      <c r="L348" s="5" t="s">
        <v>23</v>
      </c>
      <c r="M348" s="5" t="s">
        <v>25</v>
      </c>
      <c r="N348" s="5" t="s">
        <v>23</v>
      </c>
      <c r="O348" s="5" t="s">
        <v>23</v>
      </c>
      <c r="P348" s="5" t="s">
        <v>25</v>
      </c>
      <c r="Q348" s="9" t="s">
        <v>588</v>
      </c>
      <c r="R348" s="6" t="s">
        <v>589</v>
      </c>
      <c r="S348" s="6">
        <f>IF(NOT(ISBLANK(E348)), ROUND(((IF(E348="yes",1,0)*'Grading Scale'!E$2)+(IF(F348="yes",1,0)*'Grading Scale'!E$3)+(IF(G348="yes",1,0)*'Grading Scale'!E$4)+(IF(H348="yes",1,0)*'Grading Scale'!E$5)+(IF(I348="yes",1,0)*'Grading Scale'!E$6)+(IF(J348="yes",1,0)*'Grading Scale'!E$7)+(IF(K348="yes",1,0)*'Grading Scale'!E$8)+(IF(L348="yes",1,0)*'Grading Scale'!E$9)+(IF(M348="yes",1,0)*'Grading Scale'!E$10)+(IF(N348="yes",1,0)*'Grading Scale'!E$11)+(IF(O348="yes",1,0)*'Grading Scale'!E$12)+(IF(P348="yes",1,0)*'Grading Scale'!E$13))/'Grading Scale'!E$14*100,0), "")</f>
        <v>40</v>
      </c>
      <c r="T348" s="6" t="str">
        <f>IF(ISNUMBER(S348),VLOOKUP(S348,'Grading Scale'!$A$2:$B$14, 2), "")</f>
        <v>F</v>
      </c>
      <c r="U348" s="7"/>
      <c r="V348" s="7"/>
      <c r="W348" s="7"/>
      <c r="X348" s="7"/>
      <c r="Y348" s="7"/>
      <c r="Z348" s="7"/>
      <c r="AA348" s="7"/>
      <c r="AB348" s="7"/>
      <c r="AC348" s="7"/>
      <c r="AD348" s="7"/>
      <c r="AE348" s="7"/>
      <c r="AF348" s="7"/>
      <c r="AG348" s="7"/>
      <c r="AH348" s="7"/>
      <c r="AI348" s="7"/>
      <c r="AJ348" s="7"/>
    </row>
    <row r="349">
      <c r="A349" s="4">
        <v>42339.0</v>
      </c>
      <c r="B349" s="5" t="s">
        <v>583</v>
      </c>
      <c r="C349" s="6" t="s">
        <v>37</v>
      </c>
      <c r="D349" s="6" t="str">
        <f>IF(NOT(ISBLANK(C349)), VLOOKUP(C349,'Dataset Descriptions'!$A$2:$B$10, 2, FALSE), "")</f>
        <v>Forecasts of municipal-level changes in population over coming years.</v>
      </c>
      <c r="E349" s="5" t="s">
        <v>25</v>
      </c>
      <c r="F349" s="5" t="s">
        <v>25</v>
      </c>
      <c r="G349" s="5" t="s">
        <v>25</v>
      </c>
      <c r="H349" s="5" t="s">
        <v>25</v>
      </c>
      <c r="I349" s="5" t="s">
        <v>25</v>
      </c>
      <c r="J349" s="5" t="s">
        <v>25</v>
      </c>
      <c r="K349" s="5" t="s">
        <v>23</v>
      </c>
      <c r="L349" s="5" t="s">
        <v>23</v>
      </c>
      <c r="M349" s="5" t="s">
        <v>25</v>
      </c>
      <c r="N349" s="5" t="s">
        <v>23</v>
      </c>
      <c r="O349" s="5" t="s">
        <v>23</v>
      </c>
      <c r="P349" s="5" t="s">
        <v>23</v>
      </c>
      <c r="Q349" s="9" t="s">
        <v>590</v>
      </c>
      <c r="R349" s="6" t="s">
        <v>591</v>
      </c>
      <c r="S349" s="6">
        <f>IF(NOT(ISBLANK(E349)), ROUND(((IF(E349="yes",1,0)*'Grading Scale'!E$2)+(IF(F349="yes",1,0)*'Grading Scale'!E$3)+(IF(G349="yes",1,0)*'Grading Scale'!E$4)+(IF(H349="yes",1,0)*'Grading Scale'!E$5)+(IF(I349="yes",1,0)*'Grading Scale'!E$6)+(IF(J349="yes",1,0)*'Grading Scale'!E$7)+(IF(K349="yes",1,0)*'Grading Scale'!E$8)+(IF(L349="yes",1,0)*'Grading Scale'!E$9)+(IF(M349="yes",1,0)*'Grading Scale'!E$10)+(IF(N349="yes",1,0)*'Grading Scale'!E$11)+(IF(O349="yes",1,0)*'Grading Scale'!E$12)+(IF(P349="yes",1,0)*'Grading Scale'!E$13))/'Grading Scale'!E$14*100,0), "")</f>
        <v>75</v>
      </c>
      <c r="T349" s="6" t="str">
        <f>IF(ISNUMBER(S349),VLOOKUP(S349,'Grading Scale'!$A$2:$B$14, 2), "")</f>
        <v>C</v>
      </c>
      <c r="U349" s="7"/>
      <c r="V349" s="7"/>
      <c r="W349" s="7"/>
      <c r="X349" s="7"/>
      <c r="Y349" s="7"/>
      <c r="Z349" s="7"/>
      <c r="AA349" s="7"/>
      <c r="AB349" s="7"/>
      <c r="AC349" s="7"/>
      <c r="AD349" s="7"/>
      <c r="AE349" s="7"/>
      <c r="AF349" s="7"/>
      <c r="AG349" s="7"/>
      <c r="AH349" s="7"/>
      <c r="AI349" s="7"/>
      <c r="AJ349" s="7"/>
    </row>
    <row r="350">
      <c r="A350" s="4">
        <v>42339.0</v>
      </c>
      <c r="B350" s="5" t="s">
        <v>583</v>
      </c>
      <c r="C350" s="5" t="s">
        <v>40</v>
      </c>
      <c r="D350" s="6" t="str">
        <f>IF(NOT(ISBLANK(C350)), VLOOKUP(C350,'Dataset Descriptions'!$A$2:$B$10, 2, FALSE), "")</f>
        <v>State-owned land and buildings.</v>
      </c>
      <c r="E350" s="5" t="s">
        <v>25</v>
      </c>
      <c r="F350" s="5" t="s">
        <v>25</v>
      </c>
      <c r="G350" s="5" t="s">
        <v>25</v>
      </c>
      <c r="H350" s="5" t="s">
        <v>25</v>
      </c>
      <c r="I350" s="5" t="s">
        <v>25</v>
      </c>
      <c r="J350" s="5" t="s">
        <v>25</v>
      </c>
      <c r="K350" s="5" t="s">
        <v>25</v>
      </c>
      <c r="L350" s="5" t="s">
        <v>25</v>
      </c>
      <c r="M350" s="5" t="s">
        <v>23</v>
      </c>
      <c r="N350" s="5" t="s">
        <v>25</v>
      </c>
      <c r="O350" s="5" t="s">
        <v>25</v>
      </c>
      <c r="P350" s="5" t="s">
        <v>22</v>
      </c>
      <c r="Q350" s="9" t="s">
        <v>592</v>
      </c>
      <c r="R350" s="6" t="s">
        <v>593</v>
      </c>
      <c r="S350" s="6">
        <f>IF(NOT(ISBLANK(E350)), ROUND(((IF(E350="yes",1,0)*'Grading Scale'!E$2)+(IF(F350="yes",1,0)*'Grading Scale'!E$3)+(IF(G350="yes",1,0)*'Grading Scale'!E$4)+(IF(H350="yes",1,0)*'Grading Scale'!E$5)+(IF(I350="yes",1,0)*'Grading Scale'!E$6)+(IF(J350="yes",1,0)*'Grading Scale'!E$7)+(IF(K350="yes",1,0)*'Grading Scale'!E$8)+(IF(L350="yes",1,0)*'Grading Scale'!E$9)+(IF(M350="yes",1,0)*'Grading Scale'!E$10)+(IF(N350="yes",1,0)*'Grading Scale'!E$11)+(IF(O350="yes",1,0)*'Grading Scale'!E$12)+(IF(P350="yes",1,0)*'Grading Scale'!E$13))/'Grading Scale'!E$14*100,0), "")</f>
        <v>90</v>
      </c>
      <c r="T350" s="6" t="str">
        <f>IF(ISNUMBER(S350),VLOOKUP(S350,'Grading Scale'!$A$2:$B$14, 2), "")</f>
        <v>A−</v>
      </c>
      <c r="U350" s="7"/>
      <c r="V350" s="7"/>
      <c r="W350" s="7"/>
      <c r="X350" s="7"/>
      <c r="Y350" s="7"/>
      <c r="Z350" s="7"/>
      <c r="AA350" s="7"/>
      <c r="AB350" s="7"/>
      <c r="AC350" s="7"/>
      <c r="AD350" s="7"/>
      <c r="AE350" s="7"/>
      <c r="AF350" s="7"/>
      <c r="AG350" s="7"/>
      <c r="AH350" s="7"/>
      <c r="AI350" s="7"/>
      <c r="AJ350" s="7"/>
    </row>
    <row r="351">
      <c r="A351" s="4">
        <v>42342.0</v>
      </c>
      <c r="B351" s="5" t="s">
        <v>583</v>
      </c>
      <c r="C351" s="5" t="s">
        <v>43</v>
      </c>
      <c r="D351" s="6" t="str">
        <f>IF(NOT(ISBLANK(C351)), VLOOKUP(C351,'Dataset Descriptions'!$A$2:$B$10, 2, FALSE), "")</f>
        <v>Health inspections of establishments that serve food to the public.</v>
      </c>
      <c r="E351" s="5" t="s">
        <v>22</v>
      </c>
      <c r="F351" s="5" t="s">
        <v>22</v>
      </c>
      <c r="G351" s="5" t="s">
        <v>22</v>
      </c>
      <c r="H351" s="5" t="s">
        <v>22</v>
      </c>
      <c r="I351" s="5" t="s">
        <v>22</v>
      </c>
      <c r="J351" s="5" t="s">
        <v>22</v>
      </c>
      <c r="K351" s="5" t="s">
        <v>22</v>
      </c>
      <c r="L351" s="5" t="s">
        <v>22</v>
      </c>
      <c r="M351" s="5" t="s">
        <v>22</v>
      </c>
      <c r="N351" s="5" t="s">
        <v>23</v>
      </c>
      <c r="O351" s="5" t="s">
        <v>22</v>
      </c>
      <c r="P351" s="5" t="s">
        <v>22</v>
      </c>
      <c r="Q351" s="7"/>
      <c r="R351" s="8"/>
      <c r="S351" s="6">
        <f>IF(NOT(ISBLANK(E351)), ROUND(((IF(E351="yes",1,0)*'Grading Scale'!E$2)+(IF(F351="yes",1,0)*'Grading Scale'!E$3)+(IF(G351="yes",1,0)*'Grading Scale'!E$4)+(IF(H351="yes",1,0)*'Grading Scale'!E$5)+(IF(I351="yes",1,0)*'Grading Scale'!E$6)+(IF(J351="yes",1,0)*'Grading Scale'!E$7)+(IF(K351="yes",1,0)*'Grading Scale'!E$8)+(IF(L351="yes",1,0)*'Grading Scale'!E$9)+(IF(M351="yes",1,0)*'Grading Scale'!E$10)+(IF(N351="yes",1,0)*'Grading Scale'!E$11)+(IF(O351="yes",1,0)*'Grading Scale'!E$12)+(IF(P351="yes",1,0)*'Grading Scale'!E$13))/'Grading Scale'!E$14*100,0), "")</f>
        <v>0</v>
      </c>
      <c r="T351" s="6" t="str">
        <f>IF(ISNUMBER(S351),VLOOKUP(S351,'Grading Scale'!$A$2:$B$14, 2), "")</f>
        <v>F</v>
      </c>
      <c r="U351" s="7"/>
      <c r="V351" s="7"/>
      <c r="W351" s="7"/>
      <c r="X351" s="7"/>
      <c r="Y351" s="7"/>
      <c r="Z351" s="7"/>
      <c r="AA351" s="7"/>
      <c r="AB351" s="7"/>
      <c r="AC351" s="7"/>
      <c r="AD351" s="7"/>
      <c r="AE351" s="7"/>
      <c r="AF351" s="7"/>
      <c r="AG351" s="7"/>
      <c r="AH351" s="7"/>
      <c r="AI351" s="7"/>
      <c r="AJ351" s="7"/>
    </row>
    <row r="352">
      <c r="A352" s="4">
        <v>42354.0</v>
      </c>
      <c r="B352" s="5" t="s">
        <v>583</v>
      </c>
      <c r="C352" s="17" t="s">
        <v>46</v>
      </c>
      <c r="D352" s="6" t="str">
        <f>IF(NOT(ISBLANK(C352)), VLOOKUP(C352,'Dataset Descriptions'!$A$2:$B$10, 2, FALSE), "")</f>
        <v>Incident-level reportable motor vehicle crash records.</v>
      </c>
      <c r="E352" s="5" t="s">
        <v>22</v>
      </c>
      <c r="F352" s="5" t="s">
        <v>22</v>
      </c>
      <c r="G352" s="5" t="s">
        <v>22</v>
      </c>
      <c r="H352" s="5" t="s">
        <v>22</v>
      </c>
      <c r="I352" s="5" t="s">
        <v>22</v>
      </c>
      <c r="J352" s="5" t="s">
        <v>22</v>
      </c>
      <c r="K352" s="5" t="s">
        <v>22</v>
      </c>
      <c r="L352" s="5" t="s">
        <v>22</v>
      </c>
      <c r="M352" s="5" t="s">
        <v>22</v>
      </c>
      <c r="N352" s="5" t="s">
        <v>23</v>
      </c>
      <c r="O352" s="5" t="s">
        <v>22</v>
      </c>
      <c r="P352" s="5" t="s">
        <v>22</v>
      </c>
      <c r="Q352" s="5"/>
      <c r="R352" s="6"/>
      <c r="S352" s="6">
        <f>IF(NOT(ISBLANK(E352)), ROUND(((IF(E352="yes",1,0)*'Grading Scale'!E$2)+(IF(F352="yes",1,0)*'Grading Scale'!E$3)+(IF(G352="yes",1,0)*'Grading Scale'!E$4)+(IF(H352="yes",1,0)*'Grading Scale'!E$5)+(IF(I352="yes",1,0)*'Grading Scale'!E$6)+(IF(J352="yes",1,0)*'Grading Scale'!E$7)+(IF(K352="yes",1,0)*'Grading Scale'!E$8)+(IF(L352="yes",1,0)*'Grading Scale'!E$9)+(IF(M352="yes",1,0)*'Grading Scale'!E$10)+(IF(N352="yes",1,0)*'Grading Scale'!E$11)+(IF(O352="yes",1,0)*'Grading Scale'!E$12)+(IF(P352="yes",1,0)*'Grading Scale'!E$13))/'Grading Scale'!E$14*100,0), "")</f>
        <v>0</v>
      </c>
      <c r="T352" s="6" t="str">
        <f>IF(ISNUMBER(S352),VLOOKUP(S352,'Grading Scale'!$A$2:$B$14, 2), "")</f>
        <v>F</v>
      </c>
      <c r="U352" s="7"/>
      <c r="V352" s="7"/>
      <c r="W352" s="7"/>
      <c r="X352" s="7"/>
      <c r="Y352" s="7"/>
      <c r="Z352" s="7"/>
      <c r="AA352" s="7"/>
      <c r="AB352" s="7"/>
      <c r="AC352" s="7"/>
      <c r="AD352" s="7"/>
      <c r="AE352" s="7"/>
      <c r="AF352" s="7"/>
      <c r="AG352" s="7"/>
      <c r="AH352" s="7"/>
      <c r="AI352" s="7"/>
      <c r="AJ352" s="7"/>
    </row>
    <row r="353">
      <c r="A353" s="4">
        <v>42402.0</v>
      </c>
      <c r="B353" s="5" t="s">
        <v>594</v>
      </c>
      <c r="C353" s="5" t="s">
        <v>21</v>
      </c>
      <c r="D353" s="6" t="str">
        <f>IF(NOT(ISBLANK(C353)), VLOOKUP(C353,'Dataset Descriptions'!$A$2:$B$10, 2, FALSE), "")</f>
        <v>The geographic coordinates for physical addresses.</v>
      </c>
      <c r="E353" s="5" t="s">
        <v>25</v>
      </c>
      <c r="F353" s="5" t="s">
        <v>25</v>
      </c>
      <c r="G353" s="5" t="s">
        <v>25</v>
      </c>
      <c r="H353" s="5" t="s">
        <v>25</v>
      </c>
      <c r="I353" s="5" t="s">
        <v>25</v>
      </c>
      <c r="J353" s="5" t="s">
        <v>25</v>
      </c>
      <c r="K353" s="5" t="s">
        <v>25</v>
      </c>
      <c r="L353" s="5" t="s">
        <v>23</v>
      </c>
      <c r="M353" s="5" t="s">
        <v>25</v>
      </c>
      <c r="N353" s="5" t="s">
        <v>23</v>
      </c>
      <c r="O353" s="5" t="s">
        <v>23</v>
      </c>
      <c r="P353" s="5" t="s">
        <v>25</v>
      </c>
      <c r="Q353" s="9" t="s">
        <v>595</v>
      </c>
      <c r="R353" s="6" t="s">
        <v>596</v>
      </c>
      <c r="S353" s="6">
        <f>IF(NOT(ISBLANK(E353)), ROUND(((IF(E353="yes",1,0)*'Grading Scale'!E$2)+(IF(F353="yes",1,0)*'Grading Scale'!E$3)+(IF(G353="yes",1,0)*'Grading Scale'!E$4)+(IF(H353="yes",1,0)*'Grading Scale'!E$5)+(IF(I353="yes",1,0)*'Grading Scale'!E$6)+(IF(J353="yes",1,0)*'Grading Scale'!E$7)+(IF(K353="yes",1,0)*'Grading Scale'!E$8)+(IF(L353="yes",1,0)*'Grading Scale'!E$9)+(IF(M353="yes",1,0)*'Grading Scale'!E$10)+(IF(N353="yes",1,0)*'Grading Scale'!E$11)+(IF(O353="yes",1,0)*'Grading Scale'!E$12)+(IF(P353="yes",1,0)*'Grading Scale'!E$13))/'Grading Scale'!E$14*100,0), "")</f>
        <v>85</v>
      </c>
      <c r="T353" s="6" t="str">
        <f>IF(ISNUMBER(S353),VLOOKUP(S353,'Grading Scale'!$A$2:$B$14, 2), "")</f>
        <v>B</v>
      </c>
      <c r="U353" s="7"/>
      <c r="V353" s="7"/>
      <c r="W353" s="7"/>
      <c r="X353" s="7"/>
      <c r="Y353" s="7"/>
      <c r="Z353" s="7"/>
      <c r="AA353" s="7"/>
      <c r="AB353" s="7"/>
      <c r="AC353" s="7"/>
      <c r="AD353" s="7"/>
      <c r="AE353" s="7"/>
      <c r="AF353" s="7"/>
      <c r="AG353" s="7"/>
      <c r="AH353" s="7"/>
      <c r="AI353" s="7"/>
      <c r="AJ353" s="7"/>
    </row>
    <row r="354">
      <c r="A354" s="4">
        <v>42402.0</v>
      </c>
      <c r="B354" s="5" t="s">
        <v>594</v>
      </c>
      <c r="C354" s="5" t="s">
        <v>24</v>
      </c>
      <c r="D354" s="6" t="str">
        <f>IF(NOT(ISBLANK(C354)), VLOOKUP(C354,'Dataset Descriptions'!$A$2:$B$10, 2, FALSE), "")</f>
        <v>Transaction-level, per-agency spending records.</v>
      </c>
      <c r="E354" s="5" t="s">
        <v>25</v>
      </c>
      <c r="F354" s="5" t="s">
        <v>25</v>
      </c>
      <c r="G354" s="5" t="s">
        <v>25</v>
      </c>
      <c r="H354" s="5" t="s">
        <v>25</v>
      </c>
      <c r="I354" s="5" t="s">
        <v>25</v>
      </c>
      <c r="J354" s="5" t="s">
        <v>25</v>
      </c>
      <c r="K354" s="5" t="s">
        <v>23</v>
      </c>
      <c r="L354" s="5" t="s">
        <v>25</v>
      </c>
      <c r="M354" s="5" t="s">
        <v>25</v>
      </c>
      <c r="N354" s="5" t="s">
        <v>23</v>
      </c>
      <c r="O354" s="5" t="s">
        <v>23</v>
      </c>
      <c r="P354" s="5" t="s">
        <v>23</v>
      </c>
      <c r="Q354" s="9" t="s">
        <v>597</v>
      </c>
      <c r="R354" s="6" t="s">
        <v>598</v>
      </c>
      <c r="S354" s="6">
        <f>IF(NOT(ISBLANK(E354)), ROUND(((IF(E354="yes",1,0)*'Grading Scale'!E$2)+(IF(F354="yes",1,0)*'Grading Scale'!E$3)+(IF(G354="yes",1,0)*'Grading Scale'!E$4)+(IF(H354="yes",1,0)*'Grading Scale'!E$5)+(IF(I354="yes",1,0)*'Grading Scale'!E$6)+(IF(J354="yes",1,0)*'Grading Scale'!E$7)+(IF(K354="yes",1,0)*'Grading Scale'!E$8)+(IF(L354="yes",1,0)*'Grading Scale'!E$9)+(IF(M354="yes",1,0)*'Grading Scale'!E$10)+(IF(N354="yes",1,0)*'Grading Scale'!E$11)+(IF(O354="yes",1,0)*'Grading Scale'!E$12)+(IF(P354="yes",1,0)*'Grading Scale'!E$13))/'Grading Scale'!E$14*100,0), "")</f>
        <v>80</v>
      </c>
      <c r="T354" s="6" t="str">
        <f>IF(ISNUMBER(S354),VLOOKUP(S354,'Grading Scale'!$A$2:$B$14, 2), "")</f>
        <v>B−</v>
      </c>
      <c r="U354" s="7"/>
      <c r="V354" s="7"/>
      <c r="W354" s="7"/>
      <c r="X354" s="7"/>
      <c r="Y354" s="7"/>
      <c r="Z354" s="7"/>
      <c r="AA354" s="7"/>
      <c r="AB354" s="7"/>
      <c r="AC354" s="7"/>
      <c r="AD354" s="7"/>
      <c r="AE354" s="7"/>
      <c r="AF354" s="7"/>
      <c r="AG354" s="7"/>
      <c r="AH354" s="7"/>
      <c r="AI354" s="7"/>
      <c r="AJ354" s="7"/>
    </row>
    <row r="355">
      <c r="A355" s="4">
        <v>42402.0</v>
      </c>
      <c r="B355" s="5" t="s">
        <v>594</v>
      </c>
      <c r="C355" s="5" t="s">
        <v>28</v>
      </c>
      <c r="D355" s="6" t="str">
        <f>IF(NOT(ISBLANK(C355)), VLOOKUP(C355,'Dataset Descriptions'!$A$2:$B$10, 2, FALSE), "")</f>
        <v>The register of all corporations that exist in the state.</v>
      </c>
      <c r="E355" s="5" t="s">
        <v>25</v>
      </c>
      <c r="F355" s="5" t="s">
        <v>25</v>
      </c>
      <c r="G355" s="5" t="s">
        <v>25</v>
      </c>
      <c r="H355" s="5" t="s">
        <v>25</v>
      </c>
      <c r="I355" s="5" t="s">
        <v>25</v>
      </c>
      <c r="J355" s="5" t="s">
        <v>23</v>
      </c>
      <c r="K355" s="5" t="s">
        <v>23</v>
      </c>
      <c r="L355" s="5" t="s">
        <v>23</v>
      </c>
      <c r="M355" s="5" t="s">
        <v>25</v>
      </c>
      <c r="N355" s="5" t="s">
        <v>23</v>
      </c>
      <c r="O355" s="5" t="s">
        <v>23</v>
      </c>
      <c r="P355" s="5" t="s">
        <v>25</v>
      </c>
      <c r="Q355" s="9" t="s">
        <v>599</v>
      </c>
      <c r="R355" s="8"/>
      <c r="S355" s="6">
        <f>IF(NOT(ISBLANK(E355)), ROUND(((IF(E355="yes",1,0)*'Grading Scale'!E$2)+(IF(F355="yes",1,0)*'Grading Scale'!E$3)+(IF(G355="yes",1,0)*'Grading Scale'!E$4)+(IF(H355="yes",1,0)*'Grading Scale'!E$5)+(IF(I355="yes",1,0)*'Grading Scale'!E$6)+(IF(J355="yes",1,0)*'Grading Scale'!E$7)+(IF(K355="yes",1,0)*'Grading Scale'!E$8)+(IF(L355="yes",1,0)*'Grading Scale'!E$9)+(IF(M355="yes",1,0)*'Grading Scale'!E$10)+(IF(N355="yes",1,0)*'Grading Scale'!E$11)+(IF(O355="yes",1,0)*'Grading Scale'!E$12)+(IF(P355="yes",1,0)*'Grading Scale'!E$13))/'Grading Scale'!E$14*100,0), "")</f>
        <v>40</v>
      </c>
      <c r="T355" s="6" t="str">
        <f>IF(ISNUMBER(S355),VLOOKUP(S355,'Grading Scale'!$A$2:$B$14, 2), "")</f>
        <v>F</v>
      </c>
      <c r="U355" s="7"/>
      <c r="V355" s="7"/>
      <c r="W355" s="7"/>
      <c r="X355" s="7"/>
      <c r="Y355" s="7"/>
      <c r="Z355" s="7"/>
      <c r="AA355" s="7"/>
      <c r="AB355" s="7"/>
      <c r="AC355" s="7"/>
      <c r="AD355" s="7"/>
      <c r="AE355" s="7"/>
      <c r="AF355" s="7"/>
      <c r="AG355" s="7"/>
      <c r="AH355" s="7"/>
      <c r="AI355" s="7"/>
      <c r="AJ355" s="7"/>
    </row>
    <row r="356">
      <c r="A356" s="4">
        <v>42402.0</v>
      </c>
      <c r="B356" s="5" t="s">
        <v>594</v>
      </c>
      <c r="C356" s="5" t="s">
        <v>31</v>
      </c>
      <c r="D356" s="6" t="str">
        <f>IF(NOT(ISBLANK(C356)), VLOOKUP(C356,'Dataset Descriptions'!$A$2:$B$10, 2, FALSE), "")</f>
        <v>Per-facility inmate population records.</v>
      </c>
      <c r="E356" s="5" t="s">
        <v>25</v>
      </c>
      <c r="F356" s="5" t="s">
        <v>25</v>
      </c>
      <c r="G356" s="5" t="s">
        <v>25</v>
      </c>
      <c r="H356" s="5" t="s">
        <v>25</v>
      </c>
      <c r="I356" s="5" t="s">
        <v>25</v>
      </c>
      <c r="J356" s="5" t="s">
        <v>23</v>
      </c>
      <c r="K356" s="5" t="s">
        <v>25</v>
      </c>
      <c r="L356" s="5" t="s">
        <v>25</v>
      </c>
      <c r="M356" s="5" t="s">
        <v>23</v>
      </c>
      <c r="N356" s="5" t="s">
        <v>23</v>
      </c>
      <c r="O356" s="5" t="s">
        <v>23</v>
      </c>
      <c r="P356" s="5" t="s">
        <v>25</v>
      </c>
      <c r="Q356" s="9" t="s">
        <v>600</v>
      </c>
      <c r="R356" s="6" t="s">
        <v>601</v>
      </c>
      <c r="S356" s="6">
        <f>IF(NOT(ISBLANK(E356)), ROUND(((IF(E356="yes",1,0)*'Grading Scale'!E$2)+(IF(F356="yes",1,0)*'Grading Scale'!E$3)+(IF(G356="yes",1,0)*'Grading Scale'!E$4)+(IF(H356="yes",1,0)*'Grading Scale'!E$5)+(IF(I356="yes",1,0)*'Grading Scale'!E$6)+(IF(J356="yes",1,0)*'Grading Scale'!E$7)+(IF(K356="yes",1,0)*'Grading Scale'!E$8)+(IF(L356="yes",1,0)*'Grading Scale'!E$9)+(IF(M356="yes",1,0)*'Grading Scale'!E$10)+(IF(N356="yes",1,0)*'Grading Scale'!E$11)+(IF(O356="yes",1,0)*'Grading Scale'!E$12)+(IF(P356="yes",1,0)*'Grading Scale'!E$13))/'Grading Scale'!E$14*100,0), "")</f>
        <v>45</v>
      </c>
      <c r="T356" s="6" t="str">
        <f>IF(ISNUMBER(S356),VLOOKUP(S356,'Grading Scale'!$A$2:$B$14, 2), "")</f>
        <v>F</v>
      </c>
      <c r="U356" s="7"/>
      <c r="V356" s="7"/>
      <c r="W356" s="7"/>
      <c r="X356" s="7"/>
      <c r="Y356" s="7"/>
      <c r="Z356" s="7"/>
      <c r="AA356" s="7"/>
      <c r="AB356" s="7"/>
      <c r="AC356" s="7"/>
      <c r="AD356" s="7"/>
      <c r="AE356" s="7"/>
      <c r="AF356" s="7"/>
      <c r="AG356" s="7"/>
      <c r="AH356" s="7"/>
      <c r="AI356" s="7"/>
      <c r="AJ356" s="7"/>
    </row>
    <row r="357">
      <c r="A357" s="4">
        <v>42404.0</v>
      </c>
      <c r="B357" s="5" t="s">
        <v>594</v>
      </c>
      <c r="C357" s="5" t="s">
        <v>34</v>
      </c>
      <c r="D357" s="6" t="str">
        <f>IF(NOT(ISBLANK(C357)), VLOOKUP(C357,'Dataset Descriptions'!$A$2:$B$10, 2, FALSE), "")</f>
        <v>Bills before the legislature, and the legislators that comprise it.</v>
      </c>
      <c r="E357" s="5" t="s">
        <v>25</v>
      </c>
      <c r="F357" s="5" t="s">
        <v>25</v>
      </c>
      <c r="G357" s="5" t="s">
        <v>25</v>
      </c>
      <c r="H357" s="5" t="s">
        <v>25</v>
      </c>
      <c r="I357" s="5" t="s">
        <v>25</v>
      </c>
      <c r="J357" s="5" t="s">
        <v>23</v>
      </c>
      <c r="K357" s="5" t="s">
        <v>23</v>
      </c>
      <c r="L357" s="5" t="s">
        <v>23</v>
      </c>
      <c r="M357" s="5" t="s">
        <v>25</v>
      </c>
      <c r="N357" s="5" t="s">
        <v>23</v>
      </c>
      <c r="O357" s="5" t="s">
        <v>23</v>
      </c>
      <c r="P357" s="5" t="s">
        <v>25</v>
      </c>
      <c r="Q357" s="9" t="s">
        <v>602</v>
      </c>
      <c r="R357" s="8"/>
      <c r="S357" s="6">
        <f>IF(NOT(ISBLANK(E357)), ROUND(((IF(E357="yes",1,0)*'Grading Scale'!E$2)+(IF(F357="yes",1,0)*'Grading Scale'!E$3)+(IF(G357="yes",1,0)*'Grading Scale'!E$4)+(IF(H357="yes",1,0)*'Grading Scale'!E$5)+(IF(I357="yes",1,0)*'Grading Scale'!E$6)+(IF(J357="yes",1,0)*'Grading Scale'!E$7)+(IF(K357="yes",1,0)*'Grading Scale'!E$8)+(IF(L357="yes",1,0)*'Grading Scale'!E$9)+(IF(M357="yes",1,0)*'Grading Scale'!E$10)+(IF(N357="yes",1,0)*'Grading Scale'!E$11)+(IF(O357="yes",1,0)*'Grading Scale'!E$12)+(IF(P357="yes",1,0)*'Grading Scale'!E$13))/'Grading Scale'!E$14*100,0), "")</f>
        <v>40</v>
      </c>
      <c r="T357" s="6" t="str">
        <f>IF(ISNUMBER(S357),VLOOKUP(S357,'Grading Scale'!$A$2:$B$14, 2), "")</f>
        <v>F</v>
      </c>
      <c r="U357" s="7"/>
      <c r="V357" s="7"/>
      <c r="W357" s="7"/>
      <c r="X357" s="7"/>
      <c r="Y357" s="7"/>
      <c r="Z357" s="7"/>
      <c r="AA357" s="7"/>
      <c r="AB357" s="7"/>
      <c r="AC357" s="7"/>
      <c r="AD357" s="7"/>
      <c r="AE357" s="7"/>
      <c r="AF357" s="7"/>
      <c r="AG357" s="7"/>
      <c r="AH357" s="7"/>
      <c r="AI357" s="7"/>
      <c r="AJ357" s="7"/>
    </row>
    <row r="358">
      <c r="A358" s="4">
        <v>42404.0</v>
      </c>
      <c r="B358" s="5" t="s">
        <v>594</v>
      </c>
      <c r="C358" s="6" t="s">
        <v>37</v>
      </c>
      <c r="D358" s="6" t="str">
        <f>IF(NOT(ISBLANK(C358)), VLOOKUP(C358,'Dataset Descriptions'!$A$2:$B$10, 2, FALSE), "")</f>
        <v>Forecasts of municipal-level changes in population over coming years.</v>
      </c>
      <c r="E358" s="5" t="s">
        <v>25</v>
      </c>
      <c r="F358" s="5" t="s">
        <v>25</v>
      </c>
      <c r="G358" s="5" t="s">
        <v>25</v>
      </c>
      <c r="H358" s="5" t="s">
        <v>25</v>
      </c>
      <c r="I358" s="5" t="s">
        <v>25</v>
      </c>
      <c r="J358" s="5" t="s">
        <v>25</v>
      </c>
      <c r="K358" s="5" t="s">
        <v>25</v>
      </c>
      <c r="L358" s="5" t="s">
        <v>25</v>
      </c>
      <c r="M358" s="5" t="s">
        <v>25</v>
      </c>
      <c r="N358" s="5" t="s">
        <v>23</v>
      </c>
      <c r="O358" s="5" t="s">
        <v>23</v>
      </c>
      <c r="P358" s="5" t="s">
        <v>23</v>
      </c>
      <c r="Q358" s="9" t="s">
        <v>603</v>
      </c>
      <c r="R358" s="6" t="s">
        <v>604</v>
      </c>
      <c r="S358" s="6">
        <f>IF(NOT(ISBLANK(E358)), ROUND(((IF(E358="yes",1,0)*'Grading Scale'!E$2)+(IF(F358="yes",1,0)*'Grading Scale'!E$3)+(IF(G358="yes",1,0)*'Grading Scale'!E$4)+(IF(H358="yes",1,0)*'Grading Scale'!E$5)+(IF(I358="yes",1,0)*'Grading Scale'!E$6)+(IF(J358="yes",1,0)*'Grading Scale'!E$7)+(IF(K358="yes",1,0)*'Grading Scale'!E$8)+(IF(L358="yes",1,0)*'Grading Scale'!E$9)+(IF(M358="yes",1,0)*'Grading Scale'!E$10)+(IF(N358="yes",1,0)*'Grading Scale'!E$11)+(IF(O358="yes",1,0)*'Grading Scale'!E$12)+(IF(P358="yes",1,0)*'Grading Scale'!E$13))/'Grading Scale'!E$14*100,0), "")</f>
        <v>85</v>
      </c>
      <c r="T358" s="6" t="str">
        <f>IF(ISNUMBER(S358),VLOOKUP(S358,'Grading Scale'!$A$2:$B$14, 2), "")</f>
        <v>B</v>
      </c>
      <c r="U358" s="7"/>
      <c r="V358" s="7"/>
      <c r="W358" s="7"/>
      <c r="X358" s="7"/>
      <c r="Y358" s="7"/>
      <c r="Z358" s="7"/>
      <c r="AA358" s="7"/>
      <c r="AB358" s="7"/>
      <c r="AC358" s="7"/>
      <c r="AD358" s="7"/>
      <c r="AE358" s="7"/>
      <c r="AF358" s="7"/>
      <c r="AG358" s="7"/>
      <c r="AH358" s="7"/>
      <c r="AI358" s="7"/>
      <c r="AJ358" s="7"/>
    </row>
    <row r="359">
      <c r="A359" s="4">
        <v>42402.0</v>
      </c>
      <c r="B359" s="5" t="s">
        <v>594</v>
      </c>
      <c r="C359" s="5" t="s">
        <v>40</v>
      </c>
      <c r="D359" s="6" t="str">
        <f>IF(NOT(ISBLANK(C359)), VLOOKUP(C359,'Dataset Descriptions'!$A$2:$B$10, 2, FALSE), "")</f>
        <v>State-owned land and buildings.</v>
      </c>
      <c r="E359" s="5" t="s">
        <v>22</v>
      </c>
      <c r="F359" s="5" t="s">
        <v>22</v>
      </c>
      <c r="G359" s="5" t="s">
        <v>22</v>
      </c>
      <c r="H359" s="5" t="s">
        <v>22</v>
      </c>
      <c r="I359" s="5" t="s">
        <v>23</v>
      </c>
      <c r="J359" s="5" t="s">
        <v>22</v>
      </c>
      <c r="K359" s="5" t="s">
        <v>22</v>
      </c>
      <c r="L359" s="5" t="s">
        <v>22</v>
      </c>
      <c r="M359" s="5" t="s">
        <v>22</v>
      </c>
      <c r="N359" s="5" t="s">
        <v>23</v>
      </c>
      <c r="O359" s="5" t="s">
        <v>22</v>
      </c>
      <c r="P359" s="5" t="s">
        <v>22</v>
      </c>
      <c r="Q359" s="7"/>
      <c r="R359" s="8"/>
      <c r="S359" s="6">
        <f>IF(NOT(ISBLANK(E359)), ROUND(((IF(E359="yes",1,0)*'Grading Scale'!E$2)+(IF(F359="yes",1,0)*'Grading Scale'!E$3)+(IF(G359="yes",1,0)*'Grading Scale'!E$4)+(IF(H359="yes",1,0)*'Grading Scale'!E$5)+(IF(I359="yes",1,0)*'Grading Scale'!E$6)+(IF(J359="yes",1,0)*'Grading Scale'!E$7)+(IF(K359="yes",1,0)*'Grading Scale'!E$8)+(IF(L359="yes",1,0)*'Grading Scale'!E$9)+(IF(M359="yes",1,0)*'Grading Scale'!E$10)+(IF(N359="yes",1,0)*'Grading Scale'!E$11)+(IF(O359="yes",1,0)*'Grading Scale'!E$12)+(IF(P359="yes",1,0)*'Grading Scale'!E$13))/'Grading Scale'!E$14*100,0), "")</f>
        <v>0</v>
      </c>
      <c r="T359" s="6" t="str">
        <f>IF(ISNUMBER(S359),VLOOKUP(S359,'Grading Scale'!$A$2:$B$14, 2), "")</f>
        <v>F</v>
      </c>
      <c r="U359" s="7"/>
      <c r="V359" s="7"/>
      <c r="W359" s="7"/>
      <c r="X359" s="7"/>
      <c r="Y359" s="7"/>
      <c r="Z359" s="7"/>
      <c r="AA359" s="7"/>
      <c r="AB359" s="7"/>
      <c r="AC359" s="7"/>
      <c r="AD359" s="7"/>
      <c r="AE359" s="7"/>
      <c r="AF359" s="7"/>
      <c r="AG359" s="7"/>
      <c r="AH359" s="7"/>
      <c r="AI359" s="7"/>
      <c r="AJ359" s="7"/>
    </row>
    <row r="360">
      <c r="A360" s="4">
        <v>42404.0</v>
      </c>
      <c r="B360" s="5" t="s">
        <v>594</v>
      </c>
      <c r="C360" s="5" t="s">
        <v>43</v>
      </c>
      <c r="D360" s="6" t="str">
        <f>IF(NOT(ISBLANK(C360)), VLOOKUP(C360,'Dataset Descriptions'!$A$2:$B$10, 2, FALSE), "")</f>
        <v>Health inspections of establishments that serve food to the public.</v>
      </c>
      <c r="E360" s="5" t="s">
        <v>25</v>
      </c>
      <c r="F360" s="5" t="s">
        <v>25</v>
      </c>
      <c r="G360" s="5" t="s">
        <v>25</v>
      </c>
      <c r="H360" s="5" t="s">
        <v>25</v>
      </c>
      <c r="I360" s="5" t="s">
        <v>25</v>
      </c>
      <c r="J360" s="5" t="s">
        <v>23</v>
      </c>
      <c r="K360" s="5" t="s">
        <v>23</v>
      </c>
      <c r="L360" s="5" t="s">
        <v>25</v>
      </c>
      <c r="M360" s="5" t="s">
        <v>25</v>
      </c>
      <c r="N360" s="5" t="s">
        <v>23</v>
      </c>
      <c r="O360" s="5" t="s">
        <v>23</v>
      </c>
      <c r="P360" s="5" t="s">
        <v>25</v>
      </c>
      <c r="Q360" s="9" t="s">
        <v>605</v>
      </c>
      <c r="R360" s="8"/>
      <c r="S360" s="6">
        <f>IF(NOT(ISBLANK(E360)), ROUND(((IF(E360="yes",1,0)*'Grading Scale'!E$2)+(IF(F360="yes",1,0)*'Grading Scale'!E$3)+(IF(G360="yes",1,0)*'Grading Scale'!E$4)+(IF(H360="yes",1,0)*'Grading Scale'!E$5)+(IF(I360="yes",1,0)*'Grading Scale'!E$6)+(IF(J360="yes",1,0)*'Grading Scale'!E$7)+(IF(K360="yes",1,0)*'Grading Scale'!E$8)+(IF(L360="yes",1,0)*'Grading Scale'!E$9)+(IF(M360="yes",1,0)*'Grading Scale'!E$10)+(IF(N360="yes",1,0)*'Grading Scale'!E$11)+(IF(O360="yes",1,0)*'Grading Scale'!E$12)+(IF(P360="yes",1,0)*'Grading Scale'!E$13))/'Grading Scale'!E$14*100,0), "")</f>
        <v>45</v>
      </c>
      <c r="T360" s="6" t="str">
        <f>IF(ISNUMBER(S360),VLOOKUP(S360,'Grading Scale'!$A$2:$B$14, 2), "")</f>
        <v>F</v>
      </c>
      <c r="U360" s="7"/>
      <c r="V360" s="7"/>
      <c r="W360" s="7"/>
      <c r="X360" s="7"/>
      <c r="Y360" s="7"/>
      <c r="Z360" s="7"/>
      <c r="AA360" s="7"/>
      <c r="AB360" s="7"/>
      <c r="AC360" s="7"/>
      <c r="AD360" s="7"/>
      <c r="AE360" s="7"/>
      <c r="AF360" s="7"/>
      <c r="AG360" s="7"/>
      <c r="AH360" s="7"/>
      <c r="AI360" s="7"/>
      <c r="AJ360" s="7"/>
    </row>
    <row r="361">
      <c r="A361" s="4">
        <v>42404.0</v>
      </c>
      <c r="B361" s="5" t="s">
        <v>594</v>
      </c>
      <c r="C361" s="5" t="s">
        <v>46</v>
      </c>
      <c r="D361" s="6" t="str">
        <f>IF(NOT(ISBLANK(C361)), VLOOKUP(C361,'Dataset Descriptions'!$A$2:$B$10, 2, FALSE), "")</f>
        <v>Incident-level reportable motor vehicle crash records.</v>
      </c>
      <c r="E361" s="5" t="s">
        <v>22</v>
      </c>
      <c r="F361" s="5" t="s">
        <v>22</v>
      </c>
      <c r="G361" s="5" t="s">
        <v>22</v>
      </c>
      <c r="H361" s="5" t="s">
        <v>22</v>
      </c>
      <c r="I361" s="5" t="s">
        <v>23</v>
      </c>
      <c r="J361" s="5" t="s">
        <v>22</v>
      </c>
      <c r="K361" s="5" t="s">
        <v>22</v>
      </c>
      <c r="L361" s="5" t="s">
        <v>22</v>
      </c>
      <c r="M361" s="5" t="s">
        <v>22</v>
      </c>
      <c r="N361" s="5" t="s">
        <v>23</v>
      </c>
      <c r="O361" s="5" t="s">
        <v>22</v>
      </c>
      <c r="P361" s="5" t="s">
        <v>22</v>
      </c>
      <c r="Q361" s="7"/>
      <c r="R361" s="6" t="s">
        <v>606</v>
      </c>
      <c r="S361" s="6">
        <f>IF(NOT(ISBLANK(E361)), ROUND(((IF(E361="yes",1,0)*'Grading Scale'!E$2)+(IF(F361="yes",1,0)*'Grading Scale'!E$3)+(IF(G361="yes",1,0)*'Grading Scale'!E$4)+(IF(H361="yes",1,0)*'Grading Scale'!E$5)+(IF(I361="yes",1,0)*'Grading Scale'!E$6)+(IF(J361="yes",1,0)*'Grading Scale'!E$7)+(IF(K361="yes",1,0)*'Grading Scale'!E$8)+(IF(L361="yes",1,0)*'Grading Scale'!E$9)+(IF(M361="yes",1,0)*'Grading Scale'!E$10)+(IF(N361="yes",1,0)*'Grading Scale'!E$11)+(IF(O361="yes",1,0)*'Grading Scale'!E$12)+(IF(P361="yes",1,0)*'Grading Scale'!E$13))/'Grading Scale'!E$14*100,0), "")</f>
        <v>0</v>
      </c>
      <c r="T361" s="6" t="str">
        <f>IF(ISNUMBER(S361),VLOOKUP(S361,'Grading Scale'!$A$2:$B$14, 2), "")</f>
        <v>F</v>
      </c>
      <c r="U361" s="7"/>
      <c r="V361" s="7"/>
      <c r="W361" s="7"/>
      <c r="X361" s="7"/>
      <c r="Y361" s="7"/>
      <c r="Z361" s="7"/>
      <c r="AA361" s="7"/>
      <c r="AB361" s="7"/>
      <c r="AC361" s="7"/>
      <c r="AD361" s="7"/>
      <c r="AE361" s="7"/>
      <c r="AF361" s="7"/>
      <c r="AG361" s="7"/>
      <c r="AH361" s="7"/>
      <c r="AI361" s="7"/>
      <c r="AJ361" s="7"/>
    </row>
    <row r="362">
      <c r="A362" s="4">
        <v>42353.0</v>
      </c>
      <c r="B362" s="5" t="s">
        <v>607</v>
      </c>
      <c r="C362" s="5" t="s">
        <v>21</v>
      </c>
      <c r="D362" s="6" t="str">
        <f>IF(NOT(ISBLANK(C362)), VLOOKUP(C362,'Dataset Descriptions'!$A$2:$B$10, 2, FALSE), "")</f>
        <v>The geographic coordinates for physical addresses.</v>
      </c>
      <c r="E362" s="5" t="s">
        <v>25</v>
      </c>
      <c r="F362" s="5" t="s">
        <v>25</v>
      </c>
      <c r="G362" s="5" t="s">
        <v>23</v>
      </c>
      <c r="H362" s="5" t="s">
        <v>25</v>
      </c>
      <c r="I362" s="5" t="s">
        <v>23</v>
      </c>
      <c r="J362" s="5" t="s">
        <v>25</v>
      </c>
      <c r="K362" s="5" t="s">
        <v>23</v>
      </c>
      <c r="L362" s="5" t="s">
        <v>23</v>
      </c>
      <c r="M362" s="5" t="s">
        <v>22</v>
      </c>
      <c r="N362" s="5" t="s">
        <v>23</v>
      </c>
      <c r="O362" s="5" t="s">
        <v>23</v>
      </c>
      <c r="P362" s="5" t="s">
        <v>23</v>
      </c>
      <c r="Q362" s="9" t="s">
        <v>608</v>
      </c>
      <c r="R362" s="6" t="s">
        <v>609</v>
      </c>
      <c r="S362" s="6">
        <f>IF(NOT(ISBLANK(E362)), ROUND(((IF(E362="yes",1,0)*'Grading Scale'!E$2)+(IF(F362="yes",1,0)*'Grading Scale'!E$3)+(IF(G362="yes",1,0)*'Grading Scale'!E$4)+(IF(H362="yes",1,0)*'Grading Scale'!E$5)+(IF(I362="yes",1,0)*'Grading Scale'!E$6)+(IF(J362="yes",1,0)*'Grading Scale'!E$7)+(IF(K362="yes",1,0)*'Grading Scale'!E$8)+(IF(L362="yes",1,0)*'Grading Scale'!E$9)+(IF(M362="yes",1,0)*'Grading Scale'!E$10)+(IF(N362="yes",1,0)*'Grading Scale'!E$11)+(IF(O362="yes",1,0)*'Grading Scale'!E$12)+(IF(P362="yes",1,0)*'Grading Scale'!E$13))/'Grading Scale'!E$14*100,0), "")</f>
        <v>60</v>
      </c>
      <c r="T362" s="6" t="str">
        <f>IF(ISNUMBER(S362),VLOOKUP(S362,'Grading Scale'!$A$2:$B$14, 2), "")</f>
        <v>D−</v>
      </c>
      <c r="U362" s="7"/>
      <c r="V362" s="7"/>
      <c r="W362" s="7"/>
      <c r="X362" s="7"/>
      <c r="Y362" s="7"/>
      <c r="Z362" s="7"/>
      <c r="AA362" s="7"/>
      <c r="AB362" s="7"/>
      <c r="AC362" s="7"/>
      <c r="AD362" s="7"/>
      <c r="AE362" s="7"/>
      <c r="AF362" s="7"/>
      <c r="AG362" s="7"/>
      <c r="AH362" s="7"/>
      <c r="AI362" s="7"/>
      <c r="AJ362" s="7"/>
    </row>
    <row r="363">
      <c r="A363" s="4">
        <v>42352.0</v>
      </c>
      <c r="B363" s="5" t="s">
        <v>607</v>
      </c>
      <c r="C363" s="5" t="s">
        <v>24</v>
      </c>
      <c r="D363" s="6" t="str">
        <f>IF(NOT(ISBLANK(C363)), VLOOKUP(C363,'Dataset Descriptions'!$A$2:$B$10, 2, FALSE), "")</f>
        <v>Transaction-level, per-agency spending records.</v>
      </c>
      <c r="E363" s="5" t="s">
        <v>25</v>
      </c>
      <c r="F363" s="5" t="s">
        <v>25</v>
      </c>
      <c r="G363" s="5" t="s">
        <v>25</v>
      </c>
      <c r="H363" s="5" t="s">
        <v>25</v>
      </c>
      <c r="I363" s="5" t="s">
        <v>25</v>
      </c>
      <c r="J363" s="5" t="s">
        <v>25</v>
      </c>
      <c r="K363" s="5" t="s">
        <v>23</v>
      </c>
      <c r="L363" s="5" t="s">
        <v>25</v>
      </c>
      <c r="M363" s="5" t="s">
        <v>23</v>
      </c>
      <c r="N363" s="5" t="s">
        <v>23</v>
      </c>
      <c r="O363" s="5" t="s">
        <v>25</v>
      </c>
      <c r="P363" s="5" t="s">
        <v>23</v>
      </c>
      <c r="Q363" s="9" t="s">
        <v>610</v>
      </c>
      <c r="R363" s="6" t="s">
        <v>611</v>
      </c>
      <c r="S363" s="6">
        <f>IF(NOT(ISBLANK(E363)), ROUND(((IF(E363="yes",1,0)*'Grading Scale'!E$2)+(IF(F363="yes",1,0)*'Grading Scale'!E$3)+(IF(G363="yes",1,0)*'Grading Scale'!E$4)+(IF(H363="yes",1,0)*'Grading Scale'!E$5)+(IF(I363="yes",1,0)*'Grading Scale'!E$6)+(IF(J363="yes",1,0)*'Grading Scale'!E$7)+(IF(K363="yes",1,0)*'Grading Scale'!E$8)+(IF(L363="yes",1,0)*'Grading Scale'!E$9)+(IF(M363="yes",1,0)*'Grading Scale'!E$10)+(IF(N363="yes",1,0)*'Grading Scale'!E$11)+(IF(O363="yes",1,0)*'Grading Scale'!E$12)+(IF(P363="yes",1,0)*'Grading Scale'!E$13))/'Grading Scale'!E$14*100,0), "")</f>
        <v>80</v>
      </c>
      <c r="T363" s="6" t="str">
        <f>IF(ISNUMBER(S363),VLOOKUP(S363,'Grading Scale'!$A$2:$B$14, 2), "")</f>
        <v>B−</v>
      </c>
      <c r="U363" s="7"/>
      <c r="V363" s="7"/>
      <c r="W363" s="7"/>
      <c r="X363" s="7"/>
      <c r="Y363" s="7"/>
      <c r="Z363" s="7"/>
      <c r="AA363" s="7"/>
      <c r="AB363" s="7"/>
      <c r="AC363" s="7"/>
      <c r="AD363" s="7"/>
      <c r="AE363" s="7"/>
      <c r="AF363" s="7"/>
      <c r="AG363" s="7"/>
      <c r="AH363" s="7"/>
      <c r="AI363" s="7"/>
      <c r="AJ363" s="7"/>
    </row>
    <row r="364">
      <c r="A364" s="4">
        <v>42396.0</v>
      </c>
      <c r="B364" s="5" t="s">
        <v>607</v>
      </c>
      <c r="C364" s="5" t="s">
        <v>28</v>
      </c>
      <c r="D364" s="6" t="str">
        <f>IF(NOT(ISBLANK(C364)), VLOOKUP(C364,'Dataset Descriptions'!$A$2:$B$10, 2, FALSE), "")</f>
        <v>The register of all corporations that exist in the state.</v>
      </c>
      <c r="E364" s="5" t="s">
        <v>25</v>
      </c>
      <c r="F364" s="5" t="s">
        <v>25</v>
      </c>
      <c r="G364" s="5" t="s">
        <v>25</v>
      </c>
      <c r="H364" s="5" t="s">
        <v>23</v>
      </c>
      <c r="I364" s="5" t="s">
        <v>25</v>
      </c>
      <c r="J364" s="5" t="s">
        <v>25</v>
      </c>
      <c r="K364" s="5" t="s">
        <v>22</v>
      </c>
      <c r="L364" s="5" t="s">
        <v>23</v>
      </c>
      <c r="M364" s="5" t="s">
        <v>25</v>
      </c>
      <c r="N364" s="5" t="s">
        <v>23</v>
      </c>
      <c r="O364" s="5" t="s">
        <v>22</v>
      </c>
      <c r="P364" s="5" t="s">
        <v>25</v>
      </c>
      <c r="Q364" s="9" t="s">
        <v>612</v>
      </c>
      <c r="R364" s="6" t="s">
        <v>613</v>
      </c>
      <c r="S364" s="6">
        <f>IF(NOT(ISBLANK(E364)), ROUND(((IF(E364="yes",1,0)*'Grading Scale'!E$2)+(IF(F364="yes",1,0)*'Grading Scale'!E$3)+(IF(G364="yes",1,0)*'Grading Scale'!E$4)+(IF(H364="yes",1,0)*'Grading Scale'!E$5)+(IF(I364="yes",1,0)*'Grading Scale'!E$6)+(IF(J364="yes",1,0)*'Grading Scale'!E$7)+(IF(K364="yes",1,0)*'Grading Scale'!E$8)+(IF(L364="yes",1,0)*'Grading Scale'!E$9)+(IF(M364="yes",1,0)*'Grading Scale'!E$10)+(IF(N364="yes",1,0)*'Grading Scale'!E$11)+(IF(O364="yes",1,0)*'Grading Scale'!E$12)+(IF(P364="yes",1,0)*'Grading Scale'!E$13))/'Grading Scale'!E$14*100,0), "")</f>
        <v>65</v>
      </c>
      <c r="T364" s="6" t="str">
        <f>IF(ISNUMBER(S364),VLOOKUP(S364,'Grading Scale'!$A$2:$B$14, 2), "")</f>
        <v>D</v>
      </c>
      <c r="U364" s="7"/>
      <c r="V364" s="7"/>
      <c r="W364" s="7"/>
      <c r="X364" s="7"/>
      <c r="Y364" s="7"/>
      <c r="Z364" s="7"/>
      <c r="AA364" s="7"/>
      <c r="AB364" s="7"/>
      <c r="AC364" s="7"/>
      <c r="AD364" s="7"/>
      <c r="AE364" s="7"/>
      <c r="AF364" s="7"/>
      <c r="AG364" s="7"/>
      <c r="AH364" s="7"/>
      <c r="AI364" s="7"/>
      <c r="AJ364" s="7"/>
    </row>
    <row r="365">
      <c r="A365" s="4">
        <v>42352.0</v>
      </c>
      <c r="B365" s="5" t="s">
        <v>607</v>
      </c>
      <c r="C365" s="5" t="s">
        <v>31</v>
      </c>
      <c r="D365" s="6" t="str">
        <f>IF(NOT(ISBLANK(C365)), VLOOKUP(C365,'Dataset Descriptions'!$A$2:$B$10, 2, FALSE), "")</f>
        <v>Per-facility inmate population records.</v>
      </c>
      <c r="E365" s="5" t="s">
        <v>25</v>
      </c>
      <c r="F365" s="5" t="s">
        <v>25</v>
      </c>
      <c r="G365" s="5" t="s">
        <v>25</v>
      </c>
      <c r="H365" s="5" t="s">
        <v>25</v>
      </c>
      <c r="I365" s="5" t="s">
        <v>25</v>
      </c>
      <c r="J365" s="5" t="s">
        <v>25</v>
      </c>
      <c r="K365" s="5" t="s">
        <v>23</v>
      </c>
      <c r="L365" s="5" t="s">
        <v>23</v>
      </c>
      <c r="M365" s="5" t="s">
        <v>25</v>
      </c>
      <c r="N365" s="5" t="s">
        <v>23</v>
      </c>
      <c r="O365" s="5" t="s">
        <v>23</v>
      </c>
      <c r="P365" s="5" t="s">
        <v>23</v>
      </c>
      <c r="Q365" s="9" t="s">
        <v>614</v>
      </c>
      <c r="R365" s="6" t="s">
        <v>615</v>
      </c>
      <c r="S365" s="6">
        <f>IF(NOT(ISBLANK(E365)), ROUND(((IF(E365="yes",1,0)*'Grading Scale'!E$2)+(IF(F365="yes",1,0)*'Grading Scale'!E$3)+(IF(G365="yes",1,0)*'Grading Scale'!E$4)+(IF(H365="yes",1,0)*'Grading Scale'!E$5)+(IF(I365="yes",1,0)*'Grading Scale'!E$6)+(IF(J365="yes",1,0)*'Grading Scale'!E$7)+(IF(K365="yes",1,0)*'Grading Scale'!E$8)+(IF(L365="yes",1,0)*'Grading Scale'!E$9)+(IF(M365="yes",1,0)*'Grading Scale'!E$10)+(IF(N365="yes",1,0)*'Grading Scale'!E$11)+(IF(O365="yes",1,0)*'Grading Scale'!E$12)+(IF(P365="yes",1,0)*'Grading Scale'!E$13))/'Grading Scale'!E$14*100,0), "")</f>
        <v>75</v>
      </c>
      <c r="T365" s="6" t="str">
        <f>IF(ISNUMBER(S365),VLOOKUP(S365,'Grading Scale'!$A$2:$B$14, 2), "")</f>
        <v>C</v>
      </c>
      <c r="U365" s="7"/>
      <c r="V365" s="7"/>
      <c r="W365" s="7"/>
      <c r="X365" s="7"/>
      <c r="Y365" s="7"/>
      <c r="Z365" s="7"/>
      <c r="AA365" s="7"/>
      <c r="AB365" s="7"/>
      <c r="AC365" s="7"/>
      <c r="AD365" s="7"/>
      <c r="AE365" s="7"/>
      <c r="AF365" s="7"/>
      <c r="AG365" s="7"/>
      <c r="AH365" s="7"/>
      <c r="AI365" s="7"/>
      <c r="AJ365" s="7"/>
    </row>
    <row r="366">
      <c r="A366" s="4">
        <v>42353.0</v>
      </c>
      <c r="B366" s="5" t="s">
        <v>607</v>
      </c>
      <c r="C366" s="5" t="s">
        <v>34</v>
      </c>
      <c r="D366" s="6" t="str">
        <f>IF(NOT(ISBLANK(C366)), VLOOKUP(C366,'Dataset Descriptions'!$A$2:$B$10, 2, FALSE), "")</f>
        <v>Bills before the legislature, and the legislators that comprise it.</v>
      </c>
      <c r="E366" s="5" t="s">
        <v>25</v>
      </c>
      <c r="F366" s="5" t="s">
        <v>25</v>
      </c>
      <c r="G366" s="5" t="s">
        <v>25</v>
      </c>
      <c r="H366" s="5" t="s">
        <v>25</v>
      </c>
      <c r="I366" s="5" t="s">
        <v>25</v>
      </c>
      <c r="J366" s="5" t="s">
        <v>23</v>
      </c>
      <c r="K366" s="5" t="s">
        <v>23</v>
      </c>
      <c r="L366" s="5" t="s">
        <v>25</v>
      </c>
      <c r="M366" s="5" t="s">
        <v>25</v>
      </c>
      <c r="N366" s="5" t="s">
        <v>23</v>
      </c>
      <c r="O366" s="5" t="s">
        <v>23</v>
      </c>
      <c r="P366" s="5" t="s">
        <v>25</v>
      </c>
      <c r="Q366" s="9" t="s">
        <v>616</v>
      </c>
      <c r="R366" s="8"/>
      <c r="S366" s="6">
        <f>IF(NOT(ISBLANK(E366)), ROUND(((IF(E366="yes",1,0)*'Grading Scale'!E$2)+(IF(F366="yes",1,0)*'Grading Scale'!E$3)+(IF(G366="yes",1,0)*'Grading Scale'!E$4)+(IF(H366="yes",1,0)*'Grading Scale'!E$5)+(IF(I366="yes",1,0)*'Grading Scale'!E$6)+(IF(J366="yes",1,0)*'Grading Scale'!E$7)+(IF(K366="yes",1,0)*'Grading Scale'!E$8)+(IF(L366="yes",1,0)*'Grading Scale'!E$9)+(IF(M366="yes",1,0)*'Grading Scale'!E$10)+(IF(N366="yes",1,0)*'Grading Scale'!E$11)+(IF(O366="yes",1,0)*'Grading Scale'!E$12)+(IF(P366="yes",1,0)*'Grading Scale'!E$13))/'Grading Scale'!E$14*100,0), "")</f>
        <v>45</v>
      </c>
      <c r="T366" s="6" t="str">
        <f>IF(ISNUMBER(S366),VLOOKUP(S366,'Grading Scale'!$A$2:$B$14, 2), "")</f>
        <v>F</v>
      </c>
      <c r="U366" s="7"/>
      <c r="V366" s="7"/>
      <c r="W366" s="7"/>
      <c r="X366" s="7"/>
      <c r="Y366" s="7"/>
      <c r="Z366" s="7"/>
      <c r="AA366" s="7"/>
      <c r="AB366" s="7"/>
      <c r="AC366" s="7"/>
      <c r="AD366" s="7"/>
      <c r="AE366" s="7"/>
      <c r="AF366" s="7"/>
      <c r="AG366" s="7"/>
      <c r="AH366" s="7"/>
      <c r="AI366" s="7"/>
      <c r="AJ366" s="7"/>
    </row>
    <row r="367" ht="18.0" customHeight="1">
      <c r="A367" s="4">
        <v>42353.0</v>
      </c>
      <c r="B367" s="5" t="s">
        <v>607</v>
      </c>
      <c r="C367" s="6" t="s">
        <v>37</v>
      </c>
      <c r="D367" s="6" t="str">
        <f>IF(NOT(ISBLANK(C367)), VLOOKUP(C367,'Dataset Descriptions'!$A$2:$B$10, 2, FALSE), "")</f>
        <v>Forecasts of municipal-level changes in population over coming years.</v>
      </c>
      <c r="E367" s="5" t="s">
        <v>25</v>
      </c>
      <c r="F367" s="5" t="s">
        <v>25</v>
      </c>
      <c r="G367" s="5" t="s">
        <v>25</v>
      </c>
      <c r="H367" s="5" t="s">
        <v>25</v>
      </c>
      <c r="I367" s="5" t="s">
        <v>25</v>
      </c>
      <c r="J367" s="5" t="s">
        <v>23</v>
      </c>
      <c r="K367" s="5" t="s">
        <v>23</v>
      </c>
      <c r="L367" s="5" t="s">
        <v>25</v>
      </c>
      <c r="M367" s="5" t="s">
        <v>25</v>
      </c>
      <c r="N367" s="5" t="s">
        <v>23</v>
      </c>
      <c r="O367" s="5" t="s">
        <v>23</v>
      </c>
      <c r="P367" s="5" t="s">
        <v>23</v>
      </c>
      <c r="Q367" s="9" t="s">
        <v>617</v>
      </c>
      <c r="R367" s="6" t="s">
        <v>39</v>
      </c>
      <c r="S367" s="6">
        <f>IF(NOT(ISBLANK(E367)), ROUND(((IF(E367="yes",1,0)*'Grading Scale'!E$2)+(IF(F367="yes",1,0)*'Grading Scale'!E$3)+(IF(G367="yes",1,0)*'Grading Scale'!E$4)+(IF(H367="yes",1,0)*'Grading Scale'!E$5)+(IF(I367="yes",1,0)*'Grading Scale'!E$6)+(IF(J367="yes",1,0)*'Grading Scale'!E$7)+(IF(K367="yes",1,0)*'Grading Scale'!E$8)+(IF(L367="yes",1,0)*'Grading Scale'!E$9)+(IF(M367="yes",1,0)*'Grading Scale'!E$10)+(IF(N367="yes",1,0)*'Grading Scale'!E$11)+(IF(O367="yes",1,0)*'Grading Scale'!E$12)+(IF(P367="yes",1,0)*'Grading Scale'!E$13))/'Grading Scale'!E$14*100,0), "")</f>
        <v>40</v>
      </c>
      <c r="T367" s="6" t="str">
        <f>IF(ISNUMBER(S367),VLOOKUP(S367,'Grading Scale'!$A$2:$B$14, 2), "")</f>
        <v>F</v>
      </c>
      <c r="U367" s="7"/>
      <c r="V367" s="7"/>
      <c r="W367" s="7"/>
      <c r="X367" s="7"/>
      <c r="Y367" s="7"/>
      <c r="Z367" s="7"/>
      <c r="AA367" s="7"/>
      <c r="AB367" s="7"/>
      <c r="AC367" s="7"/>
      <c r="AD367" s="7"/>
      <c r="AE367" s="7"/>
      <c r="AF367" s="7"/>
      <c r="AG367" s="7"/>
      <c r="AH367" s="7"/>
      <c r="AI367" s="7"/>
      <c r="AJ367" s="7"/>
    </row>
    <row r="368" ht="18.0" customHeight="1">
      <c r="A368" s="4">
        <v>42352.0</v>
      </c>
      <c r="B368" s="5" t="s">
        <v>607</v>
      </c>
      <c r="C368" s="5" t="s">
        <v>40</v>
      </c>
      <c r="D368" s="6" t="str">
        <f>IF(NOT(ISBLANK(C368)), VLOOKUP(C368,'Dataset Descriptions'!$A$2:$B$10, 2, FALSE), "")</f>
        <v>State-owned land and buildings.</v>
      </c>
      <c r="E368" s="5" t="s">
        <v>25</v>
      </c>
      <c r="F368" s="5" t="s">
        <v>25</v>
      </c>
      <c r="G368" s="5" t="s">
        <v>25</v>
      </c>
      <c r="H368" s="5" t="s">
        <v>25</v>
      </c>
      <c r="I368" s="5" t="s">
        <v>25</v>
      </c>
      <c r="J368" s="5" t="s">
        <v>25</v>
      </c>
      <c r="K368" s="5" t="s">
        <v>25</v>
      </c>
      <c r="L368" s="5" t="s">
        <v>23</v>
      </c>
      <c r="M368" s="5" t="s">
        <v>22</v>
      </c>
      <c r="N368" s="5" t="s">
        <v>23</v>
      </c>
      <c r="O368" s="5" t="s">
        <v>23</v>
      </c>
      <c r="P368" s="5" t="s">
        <v>23</v>
      </c>
      <c r="Q368" s="9" t="s">
        <v>618</v>
      </c>
      <c r="R368" s="6" t="s">
        <v>619</v>
      </c>
      <c r="S368" s="6">
        <f>IF(NOT(ISBLANK(E368)), ROUND(((IF(E368="yes",1,0)*'Grading Scale'!E$2)+(IF(F368="yes",1,0)*'Grading Scale'!E$3)+(IF(G368="yes",1,0)*'Grading Scale'!E$4)+(IF(H368="yes",1,0)*'Grading Scale'!E$5)+(IF(I368="yes",1,0)*'Grading Scale'!E$6)+(IF(J368="yes",1,0)*'Grading Scale'!E$7)+(IF(K368="yes",1,0)*'Grading Scale'!E$8)+(IF(L368="yes",1,0)*'Grading Scale'!E$9)+(IF(M368="yes",1,0)*'Grading Scale'!E$10)+(IF(N368="yes",1,0)*'Grading Scale'!E$11)+(IF(O368="yes",1,0)*'Grading Scale'!E$12)+(IF(P368="yes",1,0)*'Grading Scale'!E$13))/'Grading Scale'!E$14*100,0), "")</f>
        <v>75</v>
      </c>
      <c r="T368" s="6" t="str">
        <f>IF(ISNUMBER(S368),VLOOKUP(S368,'Grading Scale'!$A$2:$B$14, 2), "")</f>
        <v>C</v>
      </c>
      <c r="U368" s="7"/>
      <c r="V368" s="7"/>
      <c r="W368" s="7"/>
      <c r="X368" s="7"/>
      <c r="Y368" s="7"/>
      <c r="Z368" s="7"/>
      <c r="AA368" s="7"/>
      <c r="AB368" s="7"/>
      <c r="AC368" s="7"/>
      <c r="AD368" s="7"/>
      <c r="AE368" s="7"/>
      <c r="AF368" s="7"/>
      <c r="AG368" s="7"/>
      <c r="AH368" s="7"/>
      <c r="AI368" s="7"/>
      <c r="AJ368" s="7"/>
    </row>
    <row r="369" ht="18.0" customHeight="1">
      <c r="A369" s="4">
        <v>42353.0</v>
      </c>
      <c r="B369" s="5" t="s">
        <v>607</v>
      </c>
      <c r="C369" s="5" t="s">
        <v>43</v>
      </c>
      <c r="D369" s="6" t="str">
        <f>IF(NOT(ISBLANK(C369)), VLOOKUP(C369,'Dataset Descriptions'!$A$2:$B$10, 2, FALSE), "")</f>
        <v>Health inspections of establishments that serve food to the public.</v>
      </c>
      <c r="E369" s="5" t="s">
        <v>25</v>
      </c>
      <c r="F369" s="5" t="s">
        <v>25</v>
      </c>
      <c r="G369" s="5" t="s">
        <v>25</v>
      </c>
      <c r="H369" s="5" t="s">
        <v>25</v>
      </c>
      <c r="I369" s="5" t="s">
        <v>25</v>
      </c>
      <c r="J369" s="5" t="s">
        <v>23</v>
      </c>
      <c r="K369" s="5" t="s">
        <v>23</v>
      </c>
      <c r="L369" s="5" t="s">
        <v>23</v>
      </c>
      <c r="M369" s="5" t="s">
        <v>22</v>
      </c>
      <c r="N369" s="5" t="s">
        <v>23</v>
      </c>
      <c r="O369" s="5" t="s">
        <v>23</v>
      </c>
      <c r="P369" s="5" t="s">
        <v>22</v>
      </c>
      <c r="Q369" s="9" t="s">
        <v>620</v>
      </c>
      <c r="R369" s="6" t="s">
        <v>621</v>
      </c>
      <c r="S369" s="6">
        <f>IF(NOT(ISBLANK(E369)), ROUND(((IF(E369="yes",1,0)*'Grading Scale'!E$2)+(IF(F369="yes",1,0)*'Grading Scale'!E$3)+(IF(G369="yes",1,0)*'Grading Scale'!E$4)+(IF(H369="yes",1,0)*'Grading Scale'!E$5)+(IF(I369="yes",1,0)*'Grading Scale'!E$6)+(IF(J369="yes",1,0)*'Grading Scale'!E$7)+(IF(K369="yes",1,0)*'Grading Scale'!E$8)+(IF(L369="yes",1,0)*'Grading Scale'!E$9)+(IF(M369="yes",1,0)*'Grading Scale'!E$10)+(IF(N369="yes",1,0)*'Grading Scale'!E$11)+(IF(O369="yes",1,0)*'Grading Scale'!E$12)+(IF(P369="yes",1,0)*'Grading Scale'!E$13))/'Grading Scale'!E$14*100,0), "")</f>
        <v>30</v>
      </c>
      <c r="T369" s="6" t="str">
        <f>IF(ISNUMBER(S369),VLOOKUP(S369,'Grading Scale'!$A$2:$B$14, 2), "")</f>
        <v>F</v>
      </c>
      <c r="U369" s="7"/>
      <c r="V369" s="7"/>
      <c r="W369" s="7"/>
      <c r="X369" s="7"/>
      <c r="Y369" s="7"/>
      <c r="Z369" s="7"/>
      <c r="AA369" s="7"/>
      <c r="AB369" s="7"/>
      <c r="AC369" s="7"/>
      <c r="AD369" s="7"/>
      <c r="AE369" s="7"/>
      <c r="AF369" s="7"/>
      <c r="AG369" s="7"/>
      <c r="AH369" s="7"/>
      <c r="AI369" s="7"/>
      <c r="AJ369" s="7"/>
    </row>
    <row r="370" ht="18.0" customHeight="1">
      <c r="A370" s="4">
        <v>42353.0</v>
      </c>
      <c r="B370" s="5" t="s">
        <v>607</v>
      </c>
      <c r="C370" s="5" t="s">
        <v>46</v>
      </c>
      <c r="D370" s="6" t="str">
        <f>IF(NOT(ISBLANK(C370)), VLOOKUP(C370,'Dataset Descriptions'!$A$2:$B$10, 2, FALSE), "")</f>
        <v>Incident-level reportable motor vehicle crash records.</v>
      </c>
      <c r="E370" s="5" t="s">
        <v>25</v>
      </c>
      <c r="F370" s="5" t="s">
        <v>25</v>
      </c>
      <c r="G370" s="5" t="s">
        <v>22</v>
      </c>
      <c r="H370" s="5" t="s">
        <v>22</v>
      </c>
      <c r="I370" s="5" t="s">
        <v>23</v>
      </c>
      <c r="J370" s="5" t="s">
        <v>25</v>
      </c>
      <c r="K370" s="5" t="s">
        <v>22</v>
      </c>
      <c r="L370" s="5" t="s">
        <v>22</v>
      </c>
      <c r="M370" s="5" t="s">
        <v>22</v>
      </c>
      <c r="N370" s="5" t="s">
        <v>23</v>
      </c>
      <c r="O370" s="5" t="s">
        <v>23</v>
      </c>
      <c r="P370" s="5" t="s">
        <v>25</v>
      </c>
      <c r="Q370" s="7"/>
      <c r="R370" s="6" t="s">
        <v>622</v>
      </c>
      <c r="S370" s="6">
        <f>IF(NOT(ISBLANK(E370)), ROUND(((IF(E370="yes",1,0)*'Grading Scale'!E$2)+(IF(F370="yes",1,0)*'Grading Scale'!E$3)+(IF(G370="yes",1,0)*'Grading Scale'!E$4)+(IF(H370="yes",1,0)*'Grading Scale'!E$5)+(IF(I370="yes",1,0)*'Grading Scale'!E$6)+(IF(J370="yes",1,0)*'Grading Scale'!E$7)+(IF(K370="yes",1,0)*'Grading Scale'!E$8)+(IF(L370="yes",1,0)*'Grading Scale'!E$9)+(IF(M370="yes",1,0)*'Grading Scale'!E$10)+(IF(N370="yes",1,0)*'Grading Scale'!E$11)+(IF(O370="yes",1,0)*'Grading Scale'!E$12)+(IF(P370="yes",1,0)*'Grading Scale'!E$13))/'Grading Scale'!E$14*100,0), "")</f>
        <v>50</v>
      </c>
      <c r="T370" s="6" t="str">
        <f>IF(ISNUMBER(S370),VLOOKUP(S370,'Grading Scale'!$A$2:$B$14, 2), "")</f>
        <v>F</v>
      </c>
      <c r="U370" s="7"/>
      <c r="V370" s="7"/>
      <c r="W370" s="7"/>
      <c r="X370" s="7"/>
      <c r="Y370" s="7"/>
      <c r="Z370" s="7"/>
      <c r="AA370" s="7"/>
      <c r="AB370" s="7"/>
      <c r="AC370" s="7"/>
      <c r="AD370" s="7"/>
      <c r="AE370" s="7"/>
      <c r="AF370" s="7"/>
      <c r="AG370" s="7"/>
      <c r="AH370" s="7"/>
      <c r="AI370" s="7"/>
      <c r="AJ370" s="7"/>
    </row>
    <row r="371" ht="18.0" customHeight="1">
      <c r="A371" s="4">
        <v>42408.0</v>
      </c>
      <c r="B371" s="5" t="s">
        <v>623</v>
      </c>
      <c r="C371" s="5" t="s">
        <v>21</v>
      </c>
      <c r="D371" s="6" t="str">
        <f>IF(NOT(ISBLANK(C371)), VLOOKUP(C371,'Dataset Descriptions'!$A$2:$B$10, 2, FALSE), "")</f>
        <v>The geographic coordinates for physical addresses.</v>
      </c>
      <c r="E371" s="5" t="s">
        <v>25</v>
      </c>
      <c r="F371" s="5" t="s">
        <v>25</v>
      </c>
      <c r="G371" s="5" t="s">
        <v>25</v>
      </c>
      <c r="H371" s="5" t="s">
        <v>25</v>
      </c>
      <c r="I371" s="5" t="s">
        <v>25</v>
      </c>
      <c r="J371" s="5" t="s">
        <v>25</v>
      </c>
      <c r="K371" s="5" t="s">
        <v>23</v>
      </c>
      <c r="L371" s="5" t="s">
        <v>22</v>
      </c>
      <c r="M371" s="5" t="s">
        <v>25</v>
      </c>
      <c r="N371" s="5" t="s">
        <v>23</v>
      </c>
      <c r="O371" s="5" t="s">
        <v>25</v>
      </c>
      <c r="P371" s="5" t="s">
        <v>25</v>
      </c>
      <c r="Q371" s="9" t="s">
        <v>624</v>
      </c>
      <c r="R371" s="8"/>
      <c r="S371" s="6">
        <f>IF(NOT(ISBLANK(E371)), ROUND(((IF(E371="yes",1,0)*'Grading Scale'!E$2)+(IF(F371="yes",1,0)*'Grading Scale'!E$3)+(IF(G371="yes",1,0)*'Grading Scale'!E$4)+(IF(H371="yes",1,0)*'Grading Scale'!E$5)+(IF(I371="yes",1,0)*'Grading Scale'!E$6)+(IF(J371="yes",1,0)*'Grading Scale'!E$7)+(IF(K371="yes",1,0)*'Grading Scale'!E$8)+(IF(L371="yes",1,0)*'Grading Scale'!E$9)+(IF(M371="yes",1,0)*'Grading Scale'!E$10)+(IF(N371="yes",1,0)*'Grading Scale'!E$11)+(IF(O371="yes",1,0)*'Grading Scale'!E$12)+(IF(P371="yes",1,0)*'Grading Scale'!E$13))/'Grading Scale'!E$14*100,0), "")</f>
        <v>85</v>
      </c>
      <c r="T371" s="6" t="str">
        <f>IF(ISNUMBER(S371),VLOOKUP(S371,'Grading Scale'!$A$2:$B$14, 2), "")</f>
        <v>B</v>
      </c>
      <c r="U371" s="7"/>
      <c r="V371" s="7"/>
      <c r="W371" s="7"/>
      <c r="X371" s="7"/>
      <c r="Y371" s="7"/>
      <c r="Z371" s="7"/>
      <c r="AA371" s="7"/>
      <c r="AB371" s="7"/>
      <c r="AC371" s="7"/>
      <c r="AD371" s="7"/>
      <c r="AE371" s="7"/>
      <c r="AF371" s="7"/>
      <c r="AG371" s="7"/>
      <c r="AH371" s="7"/>
      <c r="AI371" s="7"/>
      <c r="AJ371" s="7"/>
    </row>
    <row r="372" ht="18.0" customHeight="1">
      <c r="A372" s="4">
        <v>42408.0</v>
      </c>
      <c r="B372" s="5" t="s">
        <v>623</v>
      </c>
      <c r="C372" s="5" t="s">
        <v>24</v>
      </c>
      <c r="D372" s="6" t="str">
        <f>IF(NOT(ISBLANK(C372)), VLOOKUP(C372,'Dataset Descriptions'!$A$2:$B$10, 2, FALSE), "")</f>
        <v>Transaction-level, per-agency spending records.</v>
      </c>
      <c r="E372" s="5" t="s">
        <v>25</v>
      </c>
      <c r="F372" s="5" t="s">
        <v>25</v>
      </c>
      <c r="G372" s="5" t="s">
        <v>25</v>
      </c>
      <c r="H372" s="5" t="s">
        <v>25</v>
      </c>
      <c r="I372" s="5" t="s">
        <v>25</v>
      </c>
      <c r="J372" s="5" t="s">
        <v>25</v>
      </c>
      <c r="K372" s="5" t="s">
        <v>25</v>
      </c>
      <c r="L372" s="5" t="s">
        <v>23</v>
      </c>
      <c r="M372" s="5" t="s">
        <v>25</v>
      </c>
      <c r="N372" s="5" t="s">
        <v>23</v>
      </c>
      <c r="O372" s="5" t="s">
        <v>23</v>
      </c>
      <c r="P372" s="5" t="s">
        <v>25</v>
      </c>
      <c r="Q372" s="9" t="s">
        <v>625</v>
      </c>
      <c r="R372" s="6" t="s">
        <v>626</v>
      </c>
      <c r="S372" s="6">
        <f>IF(NOT(ISBLANK(E372)), ROUND(((IF(E372="yes",1,0)*'Grading Scale'!E$2)+(IF(F372="yes",1,0)*'Grading Scale'!E$3)+(IF(G372="yes",1,0)*'Grading Scale'!E$4)+(IF(H372="yes",1,0)*'Grading Scale'!E$5)+(IF(I372="yes",1,0)*'Grading Scale'!E$6)+(IF(J372="yes",1,0)*'Grading Scale'!E$7)+(IF(K372="yes",1,0)*'Grading Scale'!E$8)+(IF(L372="yes",1,0)*'Grading Scale'!E$9)+(IF(M372="yes",1,0)*'Grading Scale'!E$10)+(IF(N372="yes",1,0)*'Grading Scale'!E$11)+(IF(O372="yes",1,0)*'Grading Scale'!E$12)+(IF(P372="yes",1,0)*'Grading Scale'!E$13))/'Grading Scale'!E$14*100,0), "")</f>
        <v>85</v>
      </c>
      <c r="T372" s="6" t="str">
        <f>IF(ISNUMBER(S372),VLOOKUP(S372,'Grading Scale'!$A$2:$B$14, 2), "")</f>
        <v>B</v>
      </c>
      <c r="U372" s="7"/>
      <c r="V372" s="7"/>
      <c r="W372" s="7"/>
      <c r="X372" s="7"/>
      <c r="Y372" s="7"/>
      <c r="Z372" s="7"/>
      <c r="AA372" s="7"/>
      <c r="AB372" s="7"/>
      <c r="AC372" s="7"/>
      <c r="AD372" s="7"/>
      <c r="AE372" s="7"/>
      <c r="AF372" s="7"/>
      <c r="AG372" s="7"/>
      <c r="AH372" s="7"/>
      <c r="AI372" s="7"/>
      <c r="AJ372" s="7"/>
    </row>
    <row r="373" ht="18.0" customHeight="1">
      <c r="A373" s="4">
        <v>42408.0</v>
      </c>
      <c r="B373" s="5" t="s">
        <v>623</v>
      </c>
      <c r="C373" s="5" t="s">
        <v>28</v>
      </c>
      <c r="D373" s="6" t="str">
        <f>IF(NOT(ISBLANK(C373)), VLOOKUP(C373,'Dataset Descriptions'!$A$2:$B$10, 2, FALSE), "")</f>
        <v>The register of all corporations that exist in the state.</v>
      </c>
      <c r="E373" s="5" t="s">
        <v>25</v>
      </c>
      <c r="F373" s="5" t="s">
        <v>25</v>
      </c>
      <c r="G373" s="5" t="s">
        <v>25</v>
      </c>
      <c r="H373" s="5" t="s">
        <v>25</v>
      </c>
      <c r="I373" s="5" t="s">
        <v>25</v>
      </c>
      <c r="J373" s="5" t="s">
        <v>23</v>
      </c>
      <c r="K373" s="5" t="s">
        <v>23</v>
      </c>
      <c r="L373" s="5" t="s">
        <v>25</v>
      </c>
      <c r="M373" s="5" t="s">
        <v>25</v>
      </c>
      <c r="N373" s="5" t="s">
        <v>23</v>
      </c>
      <c r="O373" s="5" t="s">
        <v>25</v>
      </c>
      <c r="P373" s="5" t="s">
        <v>25</v>
      </c>
      <c r="Q373" s="9" t="s">
        <v>627</v>
      </c>
      <c r="R373" s="6" t="s">
        <v>628</v>
      </c>
      <c r="S373" s="6">
        <f>IF(NOT(ISBLANK(E373)), ROUND(((IF(E373="yes",1,0)*'Grading Scale'!E$2)+(IF(F373="yes",1,0)*'Grading Scale'!E$3)+(IF(G373="yes",1,0)*'Grading Scale'!E$4)+(IF(H373="yes",1,0)*'Grading Scale'!E$5)+(IF(I373="yes",1,0)*'Grading Scale'!E$6)+(IF(J373="yes",1,0)*'Grading Scale'!E$7)+(IF(K373="yes",1,0)*'Grading Scale'!E$8)+(IF(L373="yes",1,0)*'Grading Scale'!E$9)+(IF(M373="yes",1,0)*'Grading Scale'!E$10)+(IF(N373="yes",1,0)*'Grading Scale'!E$11)+(IF(O373="yes",1,0)*'Grading Scale'!E$12)+(IF(P373="yes",1,0)*'Grading Scale'!E$13))/'Grading Scale'!E$14*100,0), "")</f>
        <v>50</v>
      </c>
      <c r="T373" s="6" t="str">
        <f>IF(ISNUMBER(S373),VLOOKUP(S373,'Grading Scale'!$A$2:$B$14, 2), "")</f>
        <v>F</v>
      </c>
      <c r="U373" s="7"/>
      <c r="V373" s="7"/>
      <c r="W373" s="7"/>
      <c r="X373" s="7"/>
      <c r="Y373" s="7"/>
      <c r="Z373" s="7"/>
      <c r="AA373" s="7"/>
      <c r="AB373" s="7"/>
      <c r="AC373" s="7"/>
      <c r="AD373" s="7"/>
      <c r="AE373" s="7"/>
      <c r="AF373" s="7"/>
      <c r="AG373" s="7"/>
      <c r="AH373" s="7"/>
      <c r="AI373" s="7"/>
      <c r="AJ373" s="7"/>
    </row>
    <row r="374" ht="18.0" customHeight="1">
      <c r="A374" s="4">
        <v>42408.0</v>
      </c>
      <c r="B374" s="5" t="s">
        <v>623</v>
      </c>
      <c r="C374" s="5" t="s">
        <v>31</v>
      </c>
      <c r="D374" s="6" t="str">
        <f>IF(NOT(ISBLANK(C374)), VLOOKUP(C374,'Dataset Descriptions'!$A$2:$B$10, 2, FALSE), "")</f>
        <v>Per-facility inmate population records.</v>
      </c>
      <c r="E374" s="5" t="s">
        <v>25</v>
      </c>
      <c r="F374" s="5" t="s">
        <v>25</v>
      </c>
      <c r="G374" s="5" t="s">
        <v>25</v>
      </c>
      <c r="H374" s="5" t="s">
        <v>25</v>
      </c>
      <c r="I374" s="5" t="s">
        <v>25</v>
      </c>
      <c r="J374" s="5" t="s">
        <v>23</v>
      </c>
      <c r="K374" s="5" t="s">
        <v>23</v>
      </c>
      <c r="L374" s="5" t="s">
        <v>23</v>
      </c>
      <c r="M374" s="5" t="s">
        <v>25</v>
      </c>
      <c r="N374" s="5" t="s">
        <v>23</v>
      </c>
      <c r="O374" s="5" t="s">
        <v>25</v>
      </c>
      <c r="P374" s="5" t="s">
        <v>23</v>
      </c>
      <c r="Q374" s="9" t="s">
        <v>629</v>
      </c>
      <c r="R374" s="6" t="s">
        <v>630</v>
      </c>
      <c r="S374" s="6">
        <f>IF(NOT(ISBLANK(E374)), ROUND(((IF(E374="yes",1,0)*'Grading Scale'!E$2)+(IF(F374="yes",1,0)*'Grading Scale'!E$3)+(IF(G374="yes",1,0)*'Grading Scale'!E$4)+(IF(H374="yes",1,0)*'Grading Scale'!E$5)+(IF(I374="yes",1,0)*'Grading Scale'!E$6)+(IF(J374="yes",1,0)*'Grading Scale'!E$7)+(IF(K374="yes",1,0)*'Grading Scale'!E$8)+(IF(L374="yes",1,0)*'Grading Scale'!E$9)+(IF(M374="yes",1,0)*'Grading Scale'!E$10)+(IF(N374="yes",1,0)*'Grading Scale'!E$11)+(IF(O374="yes",1,0)*'Grading Scale'!E$12)+(IF(P374="yes",1,0)*'Grading Scale'!E$13))/'Grading Scale'!E$14*100,0), "")</f>
        <v>40</v>
      </c>
      <c r="T374" s="6" t="str">
        <f>IF(ISNUMBER(S374),VLOOKUP(S374,'Grading Scale'!$A$2:$B$14, 2), "")</f>
        <v>F</v>
      </c>
      <c r="U374" s="7"/>
      <c r="V374" s="7"/>
      <c r="W374" s="7"/>
      <c r="X374" s="7"/>
      <c r="Y374" s="7"/>
      <c r="Z374" s="7"/>
      <c r="AA374" s="7"/>
      <c r="AB374" s="7"/>
      <c r="AC374" s="7"/>
      <c r="AD374" s="7"/>
      <c r="AE374" s="7"/>
      <c r="AF374" s="7"/>
      <c r="AG374" s="7"/>
      <c r="AH374" s="7"/>
      <c r="AI374" s="7"/>
      <c r="AJ374" s="7"/>
    </row>
    <row r="375">
      <c r="A375" s="4">
        <v>42408.0</v>
      </c>
      <c r="B375" s="5" t="s">
        <v>623</v>
      </c>
      <c r="C375" s="5" t="s">
        <v>34</v>
      </c>
      <c r="D375" s="6" t="str">
        <f>IF(NOT(ISBLANK(C375)), VLOOKUP(C375,'Dataset Descriptions'!$A$2:$B$10, 2, FALSE), "")</f>
        <v>Bills before the legislature, and the legislators that comprise it.</v>
      </c>
      <c r="E375" s="5" t="s">
        <v>25</v>
      </c>
      <c r="F375" s="5" t="s">
        <v>25</v>
      </c>
      <c r="G375" s="5" t="s">
        <v>25</v>
      </c>
      <c r="H375" s="5" t="s">
        <v>25</v>
      </c>
      <c r="I375" s="5" t="s">
        <v>25</v>
      </c>
      <c r="J375" s="5" t="s">
        <v>23</v>
      </c>
      <c r="K375" s="5" t="s">
        <v>23</v>
      </c>
      <c r="L375" s="5" t="s">
        <v>23</v>
      </c>
      <c r="M375" s="5" t="s">
        <v>25</v>
      </c>
      <c r="N375" s="5" t="s">
        <v>23</v>
      </c>
      <c r="O375" s="5" t="s">
        <v>25</v>
      </c>
      <c r="P375" s="5" t="s">
        <v>23</v>
      </c>
      <c r="Q375" s="9" t="s">
        <v>631</v>
      </c>
      <c r="R375" s="6" t="s">
        <v>632</v>
      </c>
      <c r="S375" s="6">
        <f>IF(NOT(ISBLANK(E375)), ROUND(((IF(E375="yes",1,0)*'Grading Scale'!E$2)+(IF(F375="yes",1,0)*'Grading Scale'!E$3)+(IF(G375="yes",1,0)*'Grading Scale'!E$4)+(IF(H375="yes",1,0)*'Grading Scale'!E$5)+(IF(I375="yes",1,0)*'Grading Scale'!E$6)+(IF(J375="yes",1,0)*'Grading Scale'!E$7)+(IF(K375="yes",1,0)*'Grading Scale'!E$8)+(IF(L375="yes",1,0)*'Grading Scale'!E$9)+(IF(M375="yes",1,0)*'Grading Scale'!E$10)+(IF(N375="yes",1,0)*'Grading Scale'!E$11)+(IF(O375="yes",1,0)*'Grading Scale'!E$12)+(IF(P375="yes",1,0)*'Grading Scale'!E$13))/'Grading Scale'!E$14*100,0), "")</f>
        <v>40</v>
      </c>
      <c r="T375" s="6" t="str">
        <f>IF(ISNUMBER(S375),VLOOKUP(S375,'Grading Scale'!$A$2:$B$14, 2), "")</f>
        <v>F</v>
      </c>
      <c r="U375" s="7"/>
      <c r="V375" s="7"/>
      <c r="W375" s="7"/>
      <c r="X375" s="7"/>
      <c r="Y375" s="7"/>
      <c r="Z375" s="7"/>
      <c r="AA375" s="7"/>
      <c r="AB375" s="7"/>
      <c r="AC375" s="7"/>
      <c r="AD375" s="7"/>
      <c r="AE375" s="7"/>
      <c r="AF375" s="7"/>
      <c r="AG375" s="7"/>
      <c r="AH375" s="7"/>
      <c r="AI375" s="7"/>
      <c r="AJ375" s="7"/>
    </row>
    <row r="376">
      <c r="A376" s="4">
        <v>42408.0</v>
      </c>
      <c r="B376" s="5" t="s">
        <v>623</v>
      </c>
      <c r="C376" s="6" t="s">
        <v>37</v>
      </c>
      <c r="D376" s="6" t="str">
        <f>IF(NOT(ISBLANK(C376)), VLOOKUP(C376,'Dataset Descriptions'!$A$2:$B$10, 2, FALSE), "")</f>
        <v>Forecasts of municipal-level changes in population over coming years.</v>
      </c>
      <c r="E376" s="5" t="s">
        <v>22</v>
      </c>
      <c r="F376" s="5" t="s">
        <v>22</v>
      </c>
      <c r="G376" s="5" t="s">
        <v>22</v>
      </c>
      <c r="H376" s="5" t="s">
        <v>22</v>
      </c>
      <c r="I376" s="5" t="s">
        <v>23</v>
      </c>
      <c r="J376" s="5" t="s">
        <v>22</v>
      </c>
      <c r="K376" s="5" t="s">
        <v>22</v>
      </c>
      <c r="L376" s="5" t="s">
        <v>22</v>
      </c>
      <c r="M376" s="5" t="s">
        <v>22</v>
      </c>
      <c r="N376" s="5" t="s">
        <v>23</v>
      </c>
      <c r="O376" s="5" t="s">
        <v>22</v>
      </c>
      <c r="P376" s="5" t="s">
        <v>22</v>
      </c>
      <c r="Q376" s="7"/>
      <c r="R376" s="6" t="s">
        <v>633</v>
      </c>
      <c r="S376" s="6">
        <f>IF(NOT(ISBLANK(E376)), ROUND(((IF(E376="yes",1,0)*'Grading Scale'!E$2)+(IF(F376="yes",1,0)*'Grading Scale'!E$3)+(IF(G376="yes",1,0)*'Grading Scale'!E$4)+(IF(H376="yes",1,0)*'Grading Scale'!E$5)+(IF(I376="yes",1,0)*'Grading Scale'!E$6)+(IF(J376="yes",1,0)*'Grading Scale'!E$7)+(IF(K376="yes",1,0)*'Grading Scale'!E$8)+(IF(L376="yes",1,0)*'Grading Scale'!E$9)+(IF(M376="yes",1,0)*'Grading Scale'!E$10)+(IF(N376="yes",1,0)*'Grading Scale'!E$11)+(IF(O376="yes",1,0)*'Grading Scale'!E$12)+(IF(P376="yes",1,0)*'Grading Scale'!E$13))/'Grading Scale'!E$14*100,0), "")</f>
        <v>0</v>
      </c>
      <c r="T376" s="6" t="str">
        <f>IF(ISNUMBER(S376),VLOOKUP(S376,'Grading Scale'!$A$2:$B$14, 2), "")</f>
        <v>F</v>
      </c>
      <c r="U376" s="7"/>
      <c r="V376" s="7"/>
      <c r="W376" s="7"/>
      <c r="X376" s="7"/>
      <c r="Y376" s="7"/>
      <c r="Z376" s="7"/>
      <c r="AA376" s="7"/>
      <c r="AB376" s="7"/>
      <c r="AC376" s="7"/>
      <c r="AD376" s="7"/>
      <c r="AE376" s="7"/>
      <c r="AF376" s="7"/>
      <c r="AG376" s="7"/>
      <c r="AH376" s="7"/>
      <c r="AI376" s="7"/>
      <c r="AJ376" s="7"/>
    </row>
    <row r="377">
      <c r="A377" s="4">
        <v>42408.0</v>
      </c>
      <c r="B377" s="5" t="s">
        <v>623</v>
      </c>
      <c r="C377" s="5" t="s">
        <v>40</v>
      </c>
      <c r="D377" s="6" t="str">
        <f>IF(NOT(ISBLANK(C377)), VLOOKUP(C377,'Dataset Descriptions'!$A$2:$B$10, 2, FALSE), "")</f>
        <v>State-owned land and buildings.</v>
      </c>
      <c r="E377" s="5" t="s">
        <v>22</v>
      </c>
      <c r="F377" s="5" t="s">
        <v>22</v>
      </c>
      <c r="G377" s="5" t="s">
        <v>22</v>
      </c>
      <c r="H377" s="5" t="s">
        <v>22</v>
      </c>
      <c r="I377" s="5" t="s">
        <v>23</v>
      </c>
      <c r="J377" s="5" t="s">
        <v>22</v>
      </c>
      <c r="K377" s="5" t="s">
        <v>22</v>
      </c>
      <c r="L377" s="5" t="s">
        <v>22</v>
      </c>
      <c r="M377" s="5" t="s">
        <v>22</v>
      </c>
      <c r="N377" s="5" t="s">
        <v>23</v>
      </c>
      <c r="O377" s="5" t="s">
        <v>22</v>
      </c>
      <c r="P377" s="5" t="s">
        <v>22</v>
      </c>
      <c r="Q377" s="7"/>
      <c r="R377" s="8"/>
      <c r="S377" s="6">
        <f>IF(NOT(ISBLANK(E377)), ROUND(((IF(E377="yes",1,0)*'Grading Scale'!E$2)+(IF(F377="yes",1,0)*'Grading Scale'!E$3)+(IF(G377="yes",1,0)*'Grading Scale'!E$4)+(IF(H377="yes",1,0)*'Grading Scale'!E$5)+(IF(I377="yes",1,0)*'Grading Scale'!E$6)+(IF(J377="yes",1,0)*'Grading Scale'!E$7)+(IF(K377="yes",1,0)*'Grading Scale'!E$8)+(IF(L377="yes",1,0)*'Grading Scale'!E$9)+(IF(M377="yes",1,0)*'Grading Scale'!E$10)+(IF(N377="yes",1,0)*'Grading Scale'!E$11)+(IF(O377="yes",1,0)*'Grading Scale'!E$12)+(IF(P377="yes",1,0)*'Grading Scale'!E$13))/'Grading Scale'!E$14*100,0), "")</f>
        <v>0</v>
      </c>
      <c r="T377" s="6" t="str">
        <f>IF(ISNUMBER(S377),VLOOKUP(S377,'Grading Scale'!$A$2:$B$14, 2), "")</f>
        <v>F</v>
      </c>
      <c r="U377" s="7"/>
      <c r="V377" s="7"/>
      <c r="W377" s="7"/>
      <c r="X377" s="7"/>
      <c r="Y377" s="7"/>
      <c r="Z377" s="7"/>
      <c r="AA377" s="7"/>
      <c r="AB377" s="7"/>
      <c r="AC377" s="7"/>
      <c r="AD377" s="7"/>
      <c r="AE377" s="7"/>
      <c r="AF377" s="7"/>
      <c r="AG377" s="7"/>
      <c r="AH377" s="7"/>
      <c r="AI377" s="7"/>
      <c r="AJ377" s="7"/>
    </row>
    <row r="378">
      <c r="A378" s="4">
        <v>42408.0</v>
      </c>
      <c r="B378" s="5" t="s">
        <v>623</v>
      </c>
      <c r="C378" s="5" t="s">
        <v>43</v>
      </c>
      <c r="D378" s="6" t="str">
        <f>IF(NOT(ISBLANK(C378)), VLOOKUP(C378,'Dataset Descriptions'!$A$2:$B$10, 2, FALSE), "")</f>
        <v>Health inspections of establishments that serve food to the public.</v>
      </c>
      <c r="E378" s="5" t="s">
        <v>25</v>
      </c>
      <c r="F378" s="5" t="s">
        <v>25</v>
      </c>
      <c r="G378" s="5" t="s">
        <v>25</v>
      </c>
      <c r="H378" s="5" t="s">
        <v>25</v>
      </c>
      <c r="I378" s="5" t="s">
        <v>23</v>
      </c>
      <c r="J378" s="5" t="s">
        <v>22</v>
      </c>
      <c r="K378" s="5" t="s">
        <v>22</v>
      </c>
      <c r="L378" s="5" t="s">
        <v>23</v>
      </c>
      <c r="M378" s="5" t="s">
        <v>22</v>
      </c>
      <c r="N378" s="5" t="s">
        <v>23</v>
      </c>
      <c r="O378" s="5" t="s">
        <v>23</v>
      </c>
      <c r="P378" s="5" t="s">
        <v>22</v>
      </c>
      <c r="Q378" s="9" t="s">
        <v>634</v>
      </c>
      <c r="R378" s="6" t="s">
        <v>635</v>
      </c>
      <c r="S378" s="6">
        <f>IF(NOT(ISBLANK(E378)), ROUND(((IF(E378="yes",1,0)*'Grading Scale'!E$2)+(IF(F378="yes",1,0)*'Grading Scale'!E$3)+(IF(G378="yes",1,0)*'Grading Scale'!E$4)+(IF(H378="yes",1,0)*'Grading Scale'!E$5)+(IF(I378="yes",1,0)*'Grading Scale'!E$6)+(IF(J378="yes",1,0)*'Grading Scale'!E$7)+(IF(K378="yes",1,0)*'Grading Scale'!E$8)+(IF(L378="yes",1,0)*'Grading Scale'!E$9)+(IF(M378="yes",1,0)*'Grading Scale'!E$10)+(IF(N378="yes",1,0)*'Grading Scale'!E$11)+(IF(O378="yes",1,0)*'Grading Scale'!E$12)+(IF(P378="yes",1,0)*'Grading Scale'!E$13))/'Grading Scale'!E$14*100,0), "")</f>
        <v>25</v>
      </c>
      <c r="T378" s="6" t="str">
        <f>IF(ISNUMBER(S378),VLOOKUP(S378,'Grading Scale'!$A$2:$B$14, 2), "")</f>
        <v>F</v>
      </c>
      <c r="U378" s="7"/>
      <c r="V378" s="7"/>
      <c r="W378" s="7"/>
      <c r="X378" s="7"/>
      <c r="Y378" s="7"/>
      <c r="Z378" s="7"/>
      <c r="AA378" s="7"/>
      <c r="AB378" s="7"/>
      <c r="AC378" s="7"/>
      <c r="AD378" s="7"/>
      <c r="AE378" s="7"/>
      <c r="AF378" s="7"/>
      <c r="AG378" s="7"/>
      <c r="AH378" s="7"/>
      <c r="AI378" s="7"/>
      <c r="AJ378" s="7"/>
    </row>
    <row r="379">
      <c r="A379" s="4">
        <v>42408.0</v>
      </c>
      <c r="B379" s="5" t="s">
        <v>623</v>
      </c>
      <c r="C379" s="5" t="s">
        <v>46</v>
      </c>
      <c r="D379" s="6" t="str">
        <f>IF(NOT(ISBLANK(C379)), VLOOKUP(C379,'Dataset Descriptions'!$A$2:$B$10, 2, FALSE), "")</f>
        <v>Incident-level reportable motor vehicle crash records.</v>
      </c>
      <c r="E379" s="5" t="s">
        <v>25</v>
      </c>
      <c r="F379" s="5" t="s">
        <v>25</v>
      </c>
      <c r="G379" s="5" t="s">
        <v>25</v>
      </c>
      <c r="H379" s="5" t="s">
        <v>25</v>
      </c>
      <c r="I379" s="5" t="s">
        <v>25</v>
      </c>
      <c r="J379" s="5" t="s">
        <v>25</v>
      </c>
      <c r="K379" s="5" t="s">
        <v>25</v>
      </c>
      <c r="L379" s="5" t="s">
        <v>25</v>
      </c>
      <c r="M379" s="5" t="s">
        <v>25</v>
      </c>
      <c r="N379" s="5" t="s">
        <v>23</v>
      </c>
      <c r="O379" s="5" t="s">
        <v>23</v>
      </c>
      <c r="P379" s="5" t="s">
        <v>25</v>
      </c>
      <c r="Q379" s="9" t="s">
        <v>636</v>
      </c>
      <c r="R379" s="6" t="s">
        <v>637</v>
      </c>
      <c r="S379" s="6">
        <f>IF(NOT(ISBLANK(E379)), ROUND(((IF(E379="yes",1,0)*'Grading Scale'!E$2)+(IF(F379="yes",1,0)*'Grading Scale'!E$3)+(IF(G379="yes",1,0)*'Grading Scale'!E$4)+(IF(H379="yes",1,0)*'Grading Scale'!E$5)+(IF(I379="yes",1,0)*'Grading Scale'!E$6)+(IF(J379="yes",1,0)*'Grading Scale'!E$7)+(IF(K379="yes",1,0)*'Grading Scale'!E$8)+(IF(L379="yes",1,0)*'Grading Scale'!E$9)+(IF(M379="yes",1,0)*'Grading Scale'!E$10)+(IF(N379="yes",1,0)*'Grading Scale'!E$11)+(IF(O379="yes",1,0)*'Grading Scale'!E$12)+(IF(P379="yes",1,0)*'Grading Scale'!E$13))/'Grading Scale'!E$14*100,0), "")</f>
        <v>90</v>
      </c>
      <c r="T379" s="6" t="str">
        <f>IF(ISNUMBER(S379),VLOOKUP(S379,'Grading Scale'!$A$2:$B$14, 2), "")</f>
        <v>A−</v>
      </c>
      <c r="U379" s="7"/>
      <c r="V379" s="7"/>
      <c r="W379" s="7"/>
      <c r="X379" s="7"/>
      <c r="Y379" s="7"/>
      <c r="Z379" s="7"/>
      <c r="AA379" s="7"/>
      <c r="AB379" s="7"/>
      <c r="AC379" s="7"/>
      <c r="AD379" s="7"/>
      <c r="AE379" s="7"/>
      <c r="AF379" s="7"/>
      <c r="AG379" s="7"/>
      <c r="AH379" s="7"/>
      <c r="AI379" s="7"/>
      <c r="AJ379" s="7"/>
    </row>
    <row r="380">
      <c r="A380" s="10">
        <v>42338.0</v>
      </c>
      <c r="B380" s="5" t="s">
        <v>638</v>
      </c>
      <c r="C380" s="5" t="s">
        <v>21</v>
      </c>
      <c r="D380" s="6" t="str">
        <f>IF(NOT(ISBLANK(C380)), VLOOKUP(C380,'Dataset Descriptions'!$A$2:$B$10, 2, FALSE), "")</f>
        <v>The geographic coordinates for physical addresses.</v>
      </c>
      <c r="E380" s="5" t="s">
        <v>25</v>
      </c>
      <c r="F380" s="5" t="s">
        <v>25</v>
      </c>
      <c r="G380" s="5" t="s">
        <v>22</v>
      </c>
      <c r="H380" s="5" t="s">
        <v>22</v>
      </c>
      <c r="I380" s="5" t="s">
        <v>22</v>
      </c>
      <c r="J380" s="5" t="s">
        <v>25</v>
      </c>
      <c r="K380" s="5" t="s">
        <v>22</v>
      </c>
      <c r="L380" s="5" t="s">
        <v>22</v>
      </c>
      <c r="M380" s="5" t="s">
        <v>25</v>
      </c>
      <c r="N380" s="5" t="s">
        <v>23</v>
      </c>
      <c r="O380" s="5" t="s">
        <v>23</v>
      </c>
      <c r="P380" s="5" t="s">
        <v>22</v>
      </c>
      <c r="Q380" s="7"/>
      <c r="R380" s="6" t="s">
        <v>639</v>
      </c>
      <c r="S380" s="6">
        <f>IF(NOT(ISBLANK(E380)), ROUND(((IF(E380="yes",1,0)*'Grading Scale'!E$2)+(IF(F380="yes",1,0)*'Grading Scale'!E$3)+(IF(G380="yes",1,0)*'Grading Scale'!E$4)+(IF(H380="yes",1,0)*'Grading Scale'!E$5)+(IF(I380="yes",1,0)*'Grading Scale'!E$6)+(IF(J380="yes",1,0)*'Grading Scale'!E$7)+(IF(K380="yes",1,0)*'Grading Scale'!E$8)+(IF(L380="yes",1,0)*'Grading Scale'!E$9)+(IF(M380="yes",1,0)*'Grading Scale'!E$10)+(IF(N380="yes",1,0)*'Grading Scale'!E$11)+(IF(O380="yes",1,0)*'Grading Scale'!E$12)+(IF(P380="yes",1,0)*'Grading Scale'!E$13))/'Grading Scale'!E$14*100,0), "")</f>
        <v>50</v>
      </c>
      <c r="T380" s="6" t="str">
        <f>IF(ISNUMBER(S380),VLOOKUP(S380,'Grading Scale'!$A$2:$B$14, 2), "")</f>
        <v>F</v>
      </c>
      <c r="U380" s="7"/>
      <c r="V380" s="7"/>
      <c r="W380" s="7"/>
      <c r="X380" s="7"/>
      <c r="Y380" s="7"/>
      <c r="Z380" s="7"/>
      <c r="AA380" s="7"/>
      <c r="AB380" s="7"/>
      <c r="AC380" s="7"/>
      <c r="AD380" s="7"/>
      <c r="AE380" s="7"/>
      <c r="AF380" s="7"/>
      <c r="AG380" s="7"/>
      <c r="AH380" s="7"/>
      <c r="AI380" s="7"/>
      <c r="AJ380" s="7"/>
    </row>
    <row r="381">
      <c r="A381" s="10">
        <v>42374.0</v>
      </c>
      <c r="B381" s="5" t="s">
        <v>638</v>
      </c>
      <c r="C381" s="5" t="s">
        <v>24</v>
      </c>
      <c r="D381" s="6" t="str">
        <f>IF(NOT(ISBLANK(C381)), VLOOKUP(C381,'Dataset Descriptions'!$A$2:$B$10, 2, FALSE), "")</f>
        <v>Transaction-level, per-agency spending records.</v>
      </c>
      <c r="E381" s="5" t="s">
        <v>25</v>
      </c>
      <c r="F381" s="5" t="s">
        <v>25</v>
      </c>
      <c r="G381" s="5" t="s">
        <v>25</v>
      </c>
      <c r="H381" s="5" t="s">
        <v>25</v>
      </c>
      <c r="I381" s="5" t="s">
        <v>25</v>
      </c>
      <c r="J381" s="5" t="s">
        <v>25</v>
      </c>
      <c r="K381" s="5" t="s">
        <v>25</v>
      </c>
      <c r="L381" s="5" t="s">
        <v>25</v>
      </c>
      <c r="M381" s="5" t="s">
        <v>23</v>
      </c>
      <c r="N381" s="5" t="s">
        <v>23</v>
      </c>
      <c r="O381" s="5" t="s">
        <v>23</v>
      </c>
      <c r="P381" s="5" t="s">
        <v>23</v>
      </c>
      <c r="Q381" s="9" t="s">
        <v>640</v>
      </c>
      <c r="R381" s="6" t="s">
        <v>641</v>
      </c>
      <c r="S381" s="6">
        <f>IF(NOT(ISBLANK(E381)), ROUND(((IF(E381="yes",1,0)*'Grading Scale'!E$2)+(IF(F381="yes",1,0)*'Grading Scale'!E$3)+(IF(G381="yes",1,0)*'Grading Scale'!E$4)+(IF(H381="yes",1,0)*'Grading Scale'!E$5)+(IF(I381="yes",1,0)*'Grading Scale'!E$6)+(IF(J381="yes",1,0)*'Grading Scale'!E$7)+(IF(K381="yes",1,0)*'Grading Scale'!E$8)+(IF(L381="yes",1,0)*'Grading Scale'!E$9)+(IF(M381="yes",1,0)*'Grading Scale'!E$10)+(IF(N381="yes",1,0)*'Grading Scale'!E$11)+(IF(O381="yes",1,0)*'Grading Scale'!E$12)+(IF(P381="yes",1,0)*'Grading Scale'!E$13))/'Grading Scale'!E$14*100,0), "")</f>
        <v>80</v>
      </c>
      <c r="T381" s="6" t="str">
        <f>IF(ISNUMBER(S381),VLOOKUP(S381,'Grading Scale'!$A$2:$B$14, 2), "")</f>
        <v>B−</v>
      </c>
      <c r="U381" s="7"/>
      <c r="V381" s="7"/>
      <c r="W381" s="7"/>
      <c r="X381" s="7"/>
      <c r="Y381" s="7"/>
      <c r="Z381" s="7"/>
      <c r="AA381" s="7"/>
      <c r="AB381" s="7"/>
      <c r="AC381" s="7"/>
      <c r="AD381" s="7"/>
      <c r="AE381" s="7"/>
      <c r="AF381" s="7"/>
      <c r="AG381" s="7"/>
      <c r="AH381" s="7"/>
      <c r="AI381" s="7"/>
      <c r="AJ381" s="7"/>
    </row>
    <row r="382">
      <c r="A382" s="10">
        <v>42338.0</v>
      </c>
      <c r="B382" s="5" t="s">
        <v>638</v>
      </c>
      <c r="C382" s="5" t="s">
        <v>28</v>
      </c>
      <c r="D382" s="6" t="str">
        <f>IF(NOT(ISBLANK(C382)), VLOOKUP(C382,'Dataset Descriptions'!$A$2:$B$10, 2, FALSE), "")</f>
        <v>The register of all corporations that exist in the state.</v>
      </c>
      <c r="E382" s="5" t="s">
        <v>25</v>
      </c>
      <c r="F382" s="5" t="s">
        <v>25</v>
      </c>
      <c r="G382" s="5" t="s">
        <v>25</v>
      </c>
      <c r="H382" s="5" t="s">
        <v>23</v>
      </c>
      <c r="I382" s="5" t="s">
        <v>25</v>
      </c>
      <c r="J382" s="5" t="s">
        <v>25</v>
      </c>
      <c r="K382" s="5" t="s">
        <v>25</v>
      </c>
      <c r="L382" s="5" t="s">
        <v>23</v>
      </c>
      <c r="M382" s="5" t="s">
        <v>25</v>
      </c>
      <c r="N382" s="5" t="s">
        <v>23</v>
      </c>
      <c r="O382" s="5" t="s">
        <v>22</v>
      </c>
      <c r="P382" s="5" t="s">
        <v>25</v>
      </c>
      <c r="Q382" s="9" t="s">
        <v>642</v>
      </c>
      <c r="R382" s="6" t="s">
        <v>643</v>
      </c>
      <c r="S382" s="6">
        <f>IF(NOT(ISBLANK(E382)), ROUND(((IF(E382="yes",1,0)*'Grading Scale'!E$2)+(IF(F382="yes",1,0)*'Grading Scale'!E$3)+(IF(G382="yes",1,0)*'Grading Scale'!E$4)+(IF(H382="yes",1,0)*'Grading Scale'!E$5)+(IF(I382="yes",1,0)*'Grading Scale'!E$6)+(IF(J382="yes",1,0)*'Grading Scale'!E$7)+(IF(K382="yes",1,0)*'Grading Scale'!E$8)+(IF(L382="yes",1,0)*'Grading Scale'!E$9)+(IF(M382="yes",1,0)*'Grading Scale'!E$10)+(IF(N382="yes",1,0)*'Grading Scale'!E$11)+(IF(O382="yes",1,0)*'Grading Scale'!E$12)+(IF(P382="yes",1,0)*'Grading Scale'!E$13))/'Grading Scale'!E$14*100,0), "")</f>
        <v>70</v>
      </c>
      <c r="T382" s="6" t="str">
        <f>IF(ISNUMBER(S382),VLOOKUP(S382,'Grading Scale'!$A$2:$B$14, 2), "")</f>
        <v>C−</v>
      </c>
      <c r="U382" s="7"/>
      <c r="V382" s="7"/>
      <c r="W382" s="7"/>
      <c r="X382" s="7"/>
      <c r="Y382" s="7"/>
      <c r="Z382" s="7"/>
      <c r="AA382" s="7"/>
      <c r="AB382" s="7"/>
      <c r="AC382" s="7"/>
      <c r="AD382" s="7"/>
      <c r="AE382" s="7"/>
      <c r="AF382" s="7"/>
      <c r="AG382" s="7"/>
      <c r="AH382" s="7"/>
      <c r="AI382" s="7"/>
      <c r="AJ382" s="7"/>
    </row>
    <row r="383">
      <c r="A383" s="10">
        <v>42338.0</v>
      </c>
      <c r="B383" s="5" t="s">
        <v>638</v>
      </c>
      <c r="C383" s="5" t="s">
        <v>31</v>
      </c>
      <c r="D383" s="6" t="str">
        <f>IF(NOT(ISBLANK(C383)), VLOOKUP(C383,'Dataset Descriptions'!$A$2:$B$10, 2, FALSE), "")</f>
        <v>Per-facility inmate population records.</v>
      </c>
      <c r="E383" s="5" t="s">
        <v>25</v>
      </c>
      <c r="F383" s="5" t="s">
        <v>25</v>
      </c>
      <c r="G383" s="5" t="s">
        <v>25</v>
      </c>
      <c r="H383" s="5" t="s">
        <v>25</v>
      </c>
      <c r="I383" s="5" t="s">
        <v>25</v>
      </c>
      <c r="J383" s="5" t="s">
        <v>23</v>
      </c>
      <c r="K383" s="5" t="s">
        <v>23</v>
      </c>
      <c r="L383" s="5" t="s">
        <v>25</v>
      </c>
      <c r="M383" s="5" t="s">
        <v>25</v>
      </c>
      <c r="N383" s="5" t="s">
        <v>23</v>
      </c>
      <c r="O383" s="5" t="s">
        <v>25</v>
      </c>
      <c r="P383" s="5" t="s">
        <v>23</v>
      </c>
      <c r="Q383" s="9" t="s">
        <v>644</v>
      </c>
      <c r="R383" s="6" t="s">
        <v>645</v>
      </c>
      <c r="S383" s="6">
        <f>IF(NOT(ISBLANK(E383)), ROUND(((IF(E383="yes",1,0)*'Grading Scale'!E$2)+(IF(F383="yes",1,0)*'Grading Scale'!E$3)+(IF(G383="yes",1,0)*'Grading Scale'!E$4)+(IF(H383="yes",1,0)*'Grading Scale'!E$5)+(IF(I383="yes",1,0)*'Grading Scale'!E$6)+(IF(J383="yes",1,0)*'Grading Scale'!E$7)+(IF(K383="yes",1,0)*'Grading Scale'!E$8)+(IF(L383="yes",1,0)*'Grading Scale'!E$9)+(IF(M383="yes",1,0)*'Grading Scale'!E$10)+(IF(N383="yes",1,0)*'Grading Scale'!E$11)+(IF(O383="yes",1,0)*'Grading Scale'!E$12)+(IF(P383="yes",1,0)*'Grading Scale'!E$13))/'Grading Scale'!E$14*100,0), "")</f>
        <v>45</v>
      </c>
      <c r="T383" s="6" t="str">
        <f>IF(ISNUMBER(S383),VLOOKUP(S383,'Grading Scale'!$A$2:$B$14, 2), "")</f>
        <v>F</v>
      </c>
      <c r="U383" s="7"/>
      <c r="V383" s="7"/>
      <c r="W383" s="7"/>
      <c r="X383" s="7"/>
      <c r="Y383" s="7"/>
      <c r="Z383" s="7"/>
      <c r="AA383" s="7"/>
      <c r="AB383" s="7"/>
      <c r="AC383" s="7"/>
      <c r="AD383" s="7"/>
      <c r="AE383" s="7"/>
      <c r="AF383" s="7"/>
      <c r="AG383" s="7"/>
      <c r="AH383" s="7"/>
      <c r="AI383" s="7"/>
      <c r="AJ383" s="7"/>
    </row>
    <row r="384">
      <c r="A384" s="10">
        <v>42338.0</v>
      </c>
      <c r="B384" s="5" t="s">
        <v>638</v>
      </c>
      <c r="C384" s="5" t="s">
        <v>34</v>
      </c>
      <c r="D384" s="6" t="str">
        <f>IF(NOT(ISBLANK(C384)), VLOOKUP(C384,'Dataset Descriptions'!$A$2:$B$10, 2, FALSE), "")</f>
        <v>Bills before the legislature, and the legislators that comprise it.</v>
      </c>
      <c r="E384" s="5" t="s">
        <v>25</v>
      </c>
      <c r="F384" s="5" t="s">
        <v>25</v>
      </c>
      <c r="G384" s="5" t="s">
        <v>25</v>
      </c>
      <c r="H384" s="5" t="s">
        <v>25</v>
      </c>
      <c r="I384" s="5" t="s">
        <v>25</v>
      </c>
      <c r="J384" s="5" t="s">
        <v>23</v>
      </c>
      <c r="K384" s="5" t="s">
        <v>23</v>
      </c>
      <c r="L384" s="5" t="s">
        <v>23</v>
      </c>
      <c r="M384" s="5" t="s">
        <v>25</v>
      </c>
      <c r="N384" s="5" t="s">
        <v>23</v>
      </c>
      <c r="O384" s="5" t="s">
        <v>23</v>
      </c>
      <c r="P384" s="5" t="s">
        <v>25</v>
      </c>
      <c r="Q384" s="9" t="s">
        <v>646</v>
      </c>
      <c r="R384" s="6" t="s">
        <v>647</v>
      </c>
      <c r="S384" s="6">
        <f>IF(NOT(ISBLANK(E384)), ROUND(((IF(E384="yes",1,0)*'Grading Scale'!E$2)+(IF(F384="yes",1,0)*'Grading Scale'!E$3)+(IF(G384="yes",1,0)*'Grading Scale'!E$4)+(IF(H384="yes",1,0)*'Grading Scale'!E$5)+(IF(I384="yes",1,0)*'Grading Scale'!E$6)+(IF(J384="yes",1,0)*'Grading Scale'!E$7)+(IF(K384="yes",1,0)*'Grading Scale'!E$8)+(IF(L384="yes",1,0)*'Grading Scale'!E$9)+(IF(M384="yes",1,0)*'Grading Scale'!E$10)+(IF(N384="yes",1,0)*'Grading Scale'!E$11)+(IF(O384="yes",1,0)*'Grading Scale'!E$12)+(IF(P384="yes",1,0)*'Grading Scale'!E$13))/'Grading Scale'!E$14*100,0), "")</f>
        <v>40</v>
      </c>
      <c r="T384" s="6" t="str">
        <f>IF(ISNUMBER(S384),VLOOKUP(S384,'Grading Scale'!$A$2:$B$14, 2), "")</f>
        <v>F</v>
      </c>
      <c r="U384" s="7"/>
      <c r="V384" s="7"/>
      <c r="W384" s="7"/>
      <c r="X384" s="7"/>
      <c r="Y384" s="7"/>
      <c r="Z384" s="7"/>
      <c r="AA384" s="7"/>
      <c r="AB384" s="7"/>
      <c r="AC384" s="7"/>
      <c r="AD384" s="7"/>
      <c r="AE384" s="7"/>
      <c r="AF384" s="7"/>
      <c r="AG384" s="7"/>
      <c r="AH384" s="7"/>
      <c r="AI384" s="7"/>
      <c r="AJ384" s="7"/>
    </row>
    <row r="385">
      <c r="A385" s="10">
        <v>42338.0</v>
      </c>
      <c r="B385" s="5" t="s">
        <v>638</v>
      </c>
      <c r="C385" s="6" t="s">
        <v>37</v>
      </c>
      <c r="D385" s="6" t="str">
        <f>IF(NOT(ISBLANK(C385)), VLOOKUP(C385,'Dataset Descriptions'!$A$2:$B$10, 2, FALSE), "")</f>
        <v>Forecasts of municipal-level changes in population over coming years.</v>
      </c>
      <c r="E385" s="5" t="s">
        <v>25</v>
      </c>
      <c r="F385" s="5" t="s">
        <v>25</v>
      </c>
      <c r="G385" s="5" t="s">
        <v>25</v>
      </c>
      <c r="H385" s="5" t="s">
        <v>25</v>
      </c>
      <c r="I385" s="5" t="s">
        <v>25</v>
      </c>
      <c r="J385" s="5" t="s">
        <v>23</v>
      </c>
      <c r="K385" s="5" t="s">
        <v>23</v>
      </c>
      <c r="L385" s="5" t="s">
        <v>25</v>
      </c>
      <c r="M385" s="5" t="s">
        <v>23</v>
      </c>
      <c r="N385" s="5" t="s">
        <v>23</v>
      </c>
      <c r="O385" s="5" t="s">
        <v>23</v>
      </c>
      <c r="P385" s="5" t="s">
        <v>23</v>
      </c>
      <c r="Q385" s="9" t="s">
        <v>648</v>
      </c>
      <c r="R385" s="6" t="s">
        <v>649</v>
      </c>
      <c r="S385" s="6">
        <f>IF(NOT(ISBLANK(E385)), ROUND(((IF(E385="yes",1,0)*'Grading Scale'!E$2)+(IF(F385="yes",1,0)*'Grading Scale'!E$3)+(IF(G385="yes",1,0)*'Grading Scale'!E$4)+(IF(H385="yes",1,0)*'Grading Scale'!E$5)+(IF(I385="yes",1,0)*'Grading Scale'!E$6)+(IF(J385="yes",1,0)*'Grading Scale'!E$7)+(IF(K385="yes",1,0)*'Grading Scale'!E$8)+(IF(L385="yes",1,0)*'Grading Scale'!E$9)+(IF(M385="yes",1,0)*'Grading Scale'!E$10)+(IF(N385="yes",1,0)*'Grading Scale'!E$11)+(IF(O385="yes",1,0)*'Grading Scale'!E$12)+(IF(P385="yes",1,0)*'Grading Scale'!E$13))/'Grading Scale'!E$14*100,0), "")</f>
        <v>35</v>
      </c>
      <c r="T385" s="6" t="str">
        <f>IF(ISNUMBER(S385),VLOOKUP(S385,'Grading Scale'!$A$2:$B$14, 2), "")</f>
        <v>F</v>
      </c>
      <c r="U385" s="7"/>
      <c r="V385" s="7"/>
      <c r="W385" s="7"/>
      <c r="X385" s="7"/>
      <c r="Y385" s="7"/>
      <c r="Z385" s="7"/>
      <c r="AA385" s="7"/>
      <c r="AB385" s="7"/>
      <c r="AC385" s="7"/>
      <c r="AD385" s="7"/>
      <c r="AE385" s="7"/>
      <c r="AF385" s="7"/>
      <c r="AG385" s="7"/>
      <c r="AH385" s="7"/>
      <c r="AI385" s="7"/>
      <c r="AJ385" s="7"/>
    </row>
    <row r="386">
      <c r="A386" s="10">
        <v>42338.0</v>
      </c>
      <c r="B386" s="5" t="s">
        <v>638</v>
      </c>
      <c r="C386" s="5" t="s">
        <v>40</v>
      </c>
      <c r="D386" s="6" t="str">
        <f>IF(NOT(ISBLANK(C386)), VLOOKUP(C386,'Dataset Descriptions'!$A$2:$B$10, 2, FALSE), "")</f>
        <v>State-owned land and buildings.</v>
      </c>
      <c r="E386" s="5" t="s">
        <v>22</v>
      </c>
      <c r="F386" s="5" t="s">
        <v>22</v>
      </c>
      <c r="G386" s="5" t="s">
        <v>22</v>
      </c>
      <c r="H386" s="5" t="s">
        <v>22</v>
      </c>
      <c r="I386" s="5" t="s">
        <v>23</v>
      </c>
      <c r="J386" s="5" t="s">
        <v>23</v>
      </c>
      <c r="K386" s="5" t="s">
        <v>23</v>
      </c>
      <c r="L386" s="5" t="s">
        <v>22</v>
      </c>
      <c r="M386" s="5" t="s">
        <v>22</v>
      </c>
      <c r="N386" s="5" t="s">
        <v>23</v>
      </c>
      <c r="O386" s="5" t="s">
        <v>23</v>
      </c>
      <c r="P386" s="5" t="s">
        <v>22</v>
      </c>
      <c r="Q386" s="7"/>
      <c r="R386" s="6" t="s">
        <v>650</v>
      </c>
      <c r="S386" s="6">
        <f>IF(NOT(ISBLANK(E386)), ROUND(((IF(E386="yes",1,0)*'Grading Scale'!E$2)+(IF(F386="yes",1,0)*'Grading Scale'!E$3)+(IF(G386="yes",1,0)*'Grading Scale'!E$4)+(IF(H386="yes",1,0)*'Grading Scale'!E$5)+(IF(I386="yes",1,0)*'Grading Scale'!E$6)+(IF(J386="yes",1,0)*'Grading Scale'!E$7)+(IF(K386="yes",1,0)*'Grading Scale'!E$8)+(IF(L386="yes",1,0)*'Grading Scale'!E$9)+(IF(M386="yes",1,0)*'Grading Scale'!E$10)+(IF(N386="yes",1,0)*'Grading Scale'!E$11)+(IF(O386="yes",1,0)*'Grading Scale'!E$12)+(IF(P386="yes",1,0)*'Grading Scale'!E$13))/'Grading Scale'!E$14*100,0), "")</f>
        <v>0</v>
      </c>
      <c r="T386" s="6" t="str">
        <f>IF(ISNUMBER(S386),VLOOKUP(S386,'Grading Scale'!$A$2:$B$14, 2), "")</f>
        <v>F</v>
      </c>
      <c r="U386" s="7"/>
      <c r="V386" s="7"/>
      <c r="W386" s="7"/>
      <c r="X386" s="7"/>
      <c r="Y386" s="7"/>
      <c r="Z386" s="7"/>
      <c r="AA386" s="7"/>
      <c r="AB386" s="7"/>
      <c r="AC386" s="7"/>
      <c r="AD386" s="7"/>
      <c r="AE386" s="7"/>
      <c r="AF386" s="7"/>
      <c r="AG386" s="7"/>
      <c r="AH386" s="7"/>
      <c r="AI386" s="7"/>
      <c r="AJ386" s="7"/>
    </row>
    <row r="387">
      <c r="A387" s="10">
        <v>42338.0</v>
      </c>
      <c r="B387" s="5" t="s">
        <v>638</v>
      </c>
      <c r="C387" s="5" t="s">
        <v>43</v>
      </c>
      <c r="D387" s="6" t="str">
        <f>IF(NOT(ISBLANK(C387)), VLOOKUP(C387,'Dataset Descriptions'!$A$2:$B$10, 2, FALSE), "")</f>
        <v>Health inspections of establishments that serve food to the public.</v>
      </c>
      <c r="E387" s="5" t="s">
        <v>25</v>
      </c>
      <c r="F387" s="5" t="s">
        <v>25</v>
      </c>
      <c r="G387" s="5" t="s">
        <v>25</v>
      </c>
      <c r="H387" s="5" t="s">
        <v>25</v>
      </c>
      <c r="I387" s="5" t="s">
        <v>25</v>
      </c>
      <c r="J387" s="5" t="s">
        <v>25</v>
      </c>
      <c r="K387" s="5" t="s">
        <v>23</v>
      </c>
      <c r="L387" s="5" t="s">
        <v>25</v>
      </c>
      <c r="M387" s="5" t="s">
        <v>25</v>
      </c>
      <c r="N387" s="5" t="s">
        <v>23</v>
      </c>
      <c r="O387" s="5" t="s">
        <v>25</v>
      </c>
      <c r="P387" s="5" t="s">
        <v>25</v>
      </c>
      <c r="Q387" s="9" t="s">
        <v>651</v>
      </c>
      <c r="R387" s="6" t="s">
        <v>652</v>
      </c>
      <c r="S387" s="6">
        <f>IF(NOT(ISBLANK(E387)), ROUND(((IF(E387="yes",1,0)*'Grading Scale'!E$2)+(IF(F387="yes",1,0)*'Grading Scale'!E$3)+(IF(G387="yes",1,0)*'Grading Scale'!E$4)+(IF(H387="yes",1,0)*'Grading Scale'!E$5)+(IF(I387="yes",1,0)*'Grading Scale'!E$6)+(IF(J387="yes",1,0)*'Grading Scale'!E$7)+(IF(K387="yes",1,0)*'Grading Scale'!E$8)+(IF(L387="yes",1,0)*'Grading Scale'!E$9)+(IF(M387="yes",1,0)*'Grading Scale'!E$10)+(IF(N387="yes",1,0)*'Grading Scale'!E$11)+(IF(O387="yes",1,0)*'Grading Scale'!E$12)+(IF(P387="yes",1,0)*'Grading Scale'!E$13))/'Grading Scale'!E$14*100,0), "")</f>
        <v>90</v>
      </c>
      <c r="T387" s="6" t="str">
        <f>IF(ISNUMBER(S387),VLOOKUP(S387,'Grading Scale'!$A$2:$B$14, 2), "")</f>
        <v>A−</v>
      </c>
      <c r="U387" s="7"/>
      <c r="V387" s="7"/>
      <c r="W387" s="7"/>
      <c r="X387" s="7"/>
      <c r="Y387" s="7"/>
      <c r="Z387" s="7"/>
      <c r="AA387" s="7"/>
      <c r="AB387" s="7"/>
      <c r="AC387" s="7"/>
      <c r="AD387" s="7"/>
      <c r="AE387" s="7"/>
      <c r="AF387" s="7"/>
      <c r="AG387" s="7"/>
      <c r="AH387" s="7"/>
      <c r="AI387" s="7"/>
      <c r="AJ387" s="7"/>
    </row>
    <row r="388">
      <c r="A388" s="10">
        <v>42338.0</v>
      </c>
      <c r="B388" s="5" t="s">
        <v>638</v>
      </c>
      <c r="C388" s="17" t="s">
        <v>46</v>
      </c>
      <c r="D388" s="6" t="str">
        <f>IF(NOT(ISBLANK(C388)), VLOOKUP(C388,'Dataset Descriptions'!$A$2:$B$10, 2, FALSE), "")</f>
        <v>Incident-level reportable motor vehicle crash records.</v>
      </c>
      <c r="E388" s="5" t="s">
        <v>25</v>
      </c>
      <c r="F388" s="5" t="s">
        <v>25</v>
      </c>
      <c r="G388" s="5" t="s">
        <v>25</v>
      </c>
      <c r="H388" s="5" t="s">
        <v>25</v>
      </c>
      <c r="I388" s="5" t="s">
        <v>25</v>
      </c>
      <c r="J388" s="5" t="s">
        <v>23</v>
      </c>
      <c r="K388" s="5" t="s">
        <v>23</v>
      </c>
      <c r="L388" s="5" t="s">
        <v>25</v>
      </c>
      <c r="M388" s="5" t="s">
        <v>25</v>
      </c>
      <c r="N388" s="5" t="s">
        <v>23</v>
      </c>
      <c r="O388" s="5" t="s">
        <v>25</v>
      </c>
      <c r="P388" s="5" t="s">
        <v>23</v>
      </c>
      <c r="Q388" s="9" t="s">
        <v>653</v>
      </c>
      <c r="R388" s="6" t="s">
        <v>654</v>
      </c>
      <c r="S388" s="6">
        <f>IF(NOT(ISBLANK(E388)), ROUND(((IF(E388="yes",1,0)*'Grading Scale'!E$2)+(IF(F388="yes",1,0)*'Grading Scale'!E$3)+(IF(G388="yes",1,0)*'Grading Scale'!E$4)+(IF(H388="yes",1,0)*'Grading Scale'!E$5)+(IF(I388="yes",1,0)*'Grading Scale'!E$6)+(IF(J388="yes",1,0)*'Grading Scale'!E$7)+(IF(K388="yes",1,0)*'Grading Scale'!E$8)+(IF(L388="yes",1,0)*'Grading Scale'!E$9)+(IF(M388="yes",1,0)*'Grading Scale'!E$10)+(IF(N388="yes",1,0)*'Grading Scale'!E$11)+(IF(O388="yes",1,0)*'Grading Scale'!E$12)+(IF(P388="yes",1,0)*'Grading Scale'!E$13))/'Grading Scale'!E$14*100,0), "")</f>
        <v>45</v>
      </c>
      <c r="T388" s="6" t="str">
        <f>IF(ISNUMBER(S388),VLOOKUP(S388,'Grading Scale'!$A$2:$B$14, 2), "")</f>
        <v>F</v>
      </c>
      <c r="U388" s="7"/>
      <c r="V388" s="7"/>
      <c r="W388" s="7"/>
      <c r="X388" s="7"/>
      <c r="Y388" s="7"/>
      <c r="Z388" s="7"/>
      <c r="AA388" s="7"/>
      <c r="AB388" s="7"/>
      <c r="AC388" s="7"/>
      <c r="AD388" s="7"/>
      <c r="AE388" s="7"/>
      <c r="AF388" s="7"/>
      <c r="AG388" s="7"/>
      <c r="AH388" s="7"/>
      <c r="AI388" s="7"/>
      <c r="AJ388" s="7"/>
    </row>
    <row r="389">
      <c r="A389" s="10">
        <v>42402.0</v>
      </c>
      <c r="B389" s="6" t="s">
        <v>655</v>
      </c>
      <c r="C389" s="6" t="s">
        <v>21</v>
      </c>
      <c r="D389" s="6" t="str">
        <f>IF(NOT(ISBLANK(C389)), VLOOKUP(C389,'Dataset Descriptions'!$A$2:$B$10, 2, FALSE), "")</f>
        <v>The geographic coordinates for physical addresses.</v>
      </c>
      <c r="E389" s="6" t="s">
        <v>23</v>
      </c>
      <c r="F389" s="6" t="s">
        <v>23</v>
      </c>
      <c r="G389" s="6" t="s">
        <v>23</v>
      </c>
      <c r="H389" s="6" t="s">
        <v>23</v>
      </c>
      <c r="I389" s="6" t="s">
        <v>23</v>
      </c>
      <c r="J389" s="6" t="s">
        <v>23</v>
      </c>
      <c r="K389" s="6" t="s">
        <v>23</v>
      </c>
      <c r="L389" s="6" t="s">
        <v>23</v>
      </c>
      <c r="M389" s="6" t="s">
        <v>23</v>
      </c>
      <c r="N389" s="6" t="s">
        <v>23</v>
      </c>
      <c r="O389" s="6" t="s">
        <v>23</v>
      </c>
      <c r="P389" s="6" t="s">
        <v>23</v>
      </c>
      <c r="Q389" s="8"/>
      <c r="R389" s="13" t="s">
        <v>656</v>
      </c>
      <c r="S389" s="6">
        <f>IF(NOT(ISBLANK(E389)), ROUND(((IF(E389="yes",1,0)*'Grading Scale'!E$2)+(IF(F389="yes",1,0)*'Grading Scale'!E$3)+(IF(G389="yes",1,0)*'Grading Scale'!E$4)+(IF(H389="yes",1,0)*'Grading Scale'!E$5)+(IF(I389="yes",1,0)*'Grading Scale'!E$6)+(IF(J389="yes",1,0)*'Grading Scale'!E$7)+(IF(K389="yes",1,0)*'Grading Scale'!E$8)+(IF(L389="yes",1,0)*'Grading Scale'!E$9)+(IF(M389="yes",1,0)*'Grading Scale'!E$10)+(IF(N389="yes",1,0)*'Grading Scale'!E$11)+(IF(O389="yes",1,0)*'Grading Scale'!E$12)+(IF(P389="yes",1,0)*'Grading Scale'!E$13))/'Grading Scale'!E$14*100,0), "")</f>
        <v>0</v>
      </c>
      <c r="T389" s="6" t="str">
        <f>IF(ISNUMBER(S389),VLOOKUP(S389,'Grading Scale'!$A$2:$B$14, 2), "")</f>
        <v>F</v>
      </c>
      <c r="U389" s="7"/>
      <c r="V389" s="7"/>
      <c r="W389" s="7"/>
      <c r="X389" s="7"/>
      <c r="Y389" s="7"/>
      <c r="Z389" s="7"/>
      <c r="AA389" s="7"/>
      <c r="AB389" s="7"/>
      <c r="AC389" s="7"/>
      <c r="AD389" s="7"/>
      <c r="AE389" s="7"/>
      <c r="AF389" s="7"/>
      <c r="AG389" s="7"/>
      <c r="AH389" s="7"/>
      <c r="AI389" s="7"/>
      <c r="AJ389" s="7"/>
    </row>
    <row r="390">
      <c r="A390" s="10">
        <v>42361.0</v>
      </c>
      <c r="B390" s="6" t="s">
        <v>655</v>
      </c>
      <c r="C390" s="6" t="s">
        <v>24</v>
      </c>
      <c r="D390" s="6" t="str">
        <f>IF(NOT(ISBLANK(C390)), VLOOKUP(C390,'Dataset Descriptions'!$A$2:$B$10, 2, FALSE), "")</f>
        <v>Transaction-level, per-agency spending records.</v>
      </c>
      <c r="E390" s="6" t="s">
        <v>25</v>
      </c>
      <c r="F390" s="6" t="s">
        <v>25</v>
      </c>
      <c r="G390" s="6" t="s">
        <v>25</v>
      </c>
      <c r="H390" s="6" t="s">
        <v>25</v>
      </c>
      <c r="I390" s="6" t="s">
        <v>25</v>
      </c>
      <c r="J390" s="6" t="s">
        <v>25</v>
      </c>
      <c r="K390" s="6" t="s">
        <v>25</v>
      </c>
      <c r="L390" s="6" t="s">
        <v>25</v>
      </c>
      <c r="M390" s="6" t="s">
        <v>25</v>
      </c>
      <c r="N390" s="6" t="s">
        <v>23</v>
      </c>
      <c r="O390" s="6" t="s">
        <v>23</v>
      </c>
      <c r="P390" s="6" t="s">
        <v>23</v>
      </c>
      <c r="Q390" s="15" t="s">
        <v>657</v>
      </c>
      <c r="R390" s="13" t="s">
        <v>658</v>
      </c>
      <c r="S390" s="6">
        <f>IF(NOT(ISBLANK(E390)), ROUND(((IF(E390="yes",1,0)*'Grading Scale'!E$2)+(IF(F390="yes",1,0)*'Grading Scale'!E$3)+(IF(G390="yes",1,0)*'Grading Scale'!E$4)+(IF(H390="yes",1,0)*'Grading Scale'!E$5)+(IF(I390="yes",1,0)*'Grading Scale'!E$6)+(IF(J390="yes",1,0)*'Grading Scale'!E$7)+(IF(K390="yes",1,0)*'Grading Scale'!E$8)+(IF(L390="yes",1,0)*'Grading Scale'!E$9)+(IF(M390="yes",1,0)*'Grading Scale'!E$10)+(IF(N390="yes",1,0)*'Grading Scale'!E$11)+(IF(O390="yes",1,0)*'Grading Scale'!E$12)+(IF(P390="yes",1,0)*'Grading Scale'!E$13))/'Grading Scale'!E$14*100,0), "")</f>
        <v>85</v>
      </c>
      <c r="T390" s="6" t="str">
        <f>IF(ISNUMBER(S390),VLOOKUP(S390,'Grading Scale'!$A$2:$B$14, 2), "")</f>
        <v>B</v>
      </c>
      <c r="U390" s="7"/>
      <c r="V390" s="7"/>
      <c r="W390" s="7"/>
      <c r="X390" s="7"/>
      <c r="Y390" s="7"/>
      <c r="Z390" s="7"/>
      <c r="AA390" s="7"/>
      <c r="AB390" s="7"/>
      <c r="AC390" s="7"/>
      <c r="AD390" s="7"/>
      <c r="AE390" s="7"/>
      <c r="AF390" s="7"/>
      <c r="AG390" s="7"/>
      <c r="AH390" s="7"/>
      <c r="AI390" s="7"/>
      <c r="AJ390" s="7"/>
    </row>
    <row r="391">
      <c r="A391" s="10">
        <v>42396.0</v>
      </c>
      <c r="B391" s="6" t="s">
        <v>655</v>
      </c>
      <c r="C391" s="6" t="s">
        <v>28</v>
      </c>
      <c r="D391" s="6" t="str">
        <f>IF(NOT(ISBLANK(C391)), VLOOKUP(C391,'Dataset Descriptions'!$A$2:$B$10, 2, FALSE), "")</f>
        <v>The register of all corporations that exist in the state.</v>
      </c>
      <c r="E391" s="6" t="s">
        <v>25</v>
      </c>
      <c r="F391" s="6" t="s">
        <v>25</v>
      </c>
      <c r="G391" s="6" t="s">
        <v>25</v>
      </c>
      <c r="H391" s="6" t="s">
        <v>23</v>
      </c>
      <c r="I391" s="6" t="s">
        <v>25</v>
      </c>
      <c r="J391" s="6" t="s">
        <v>23</v>
      </c>
      <c r="K391" s="6" t="s">
        <v>25</v>
      </c>
      <c r="L391" s="6" t="s">
        <v>25</v>
      </c>
      <c r="M391" s="6" t="s">
        <v>25</v>
      </c>
      <c r="N391" s="6" t="s">
        <v>23</v>
      </c>
      <c r="O391" s="6" t="s">
        <v>23</v>
      </c>
      <c r="P391" s="6" t="s">
        <v>25</v>
      </c>
      <c r="Q391" s="15" t="s">
        <v>659</v>
      </c>
      <c r="R391" s="13" t="s">
        <v>660</v>
      </c>
      <c r="S391" s="6">
        <f>IF(NOT(ISBLANK(E391)), ROUND(((IF(E391="yes",1,0)*'Grading Scale'!E$2)+(IF(F391="yes",1,0)*'Grading Scale'!E$3)+(IF(G391="yes",1,0)*'Grading Scale'!E$4)+(IF(H391="yes",1,0)*'Grading Scale'!E$5)+(IF(I391="yes",1,0)*'Grading Scale'!E$6)+(IF(J391="yes",1,0)*'Grading Scale'!E$7)+(IF(K391="yes",1,0)*'Grading Scale'!E$8)+(IF(L391="yes",1,0)*'Grading Scale'!E$9)+(IF(M391="yes",1,0)*'Grading Scale'!E$10)+(IF(N391="yes",1,0)*'Grading Scale'!E$11)+(IF(O391="yes",1,0)*'Grading Scale'!E$12)+(IF(P391="yes",1,0)*'Grading Scale'!E$13))/'Grading Scale'!E$14*100,0), "")</f>
        <v>35</v>
      </c>
      <c r="T391" s="6" t="str">
        <f>IF(ISNUMBER(S391),VLOOKUP(S391,'Grading Scale'!$A$2:$B$14, 2), "")</f>
        <v>F</v>
      </c>
      <c r="U391" s="7"/>
      <c r="V391" s="7"/>
      <c r="W391" s="7"/>
      <c r="X391" s="7"/>
      <c r="Y391" s="7"/>
      <c r="Z391" s="7"/>
      <c r="AA391" s="7"/>
      <c r="AB391" s="7"/>
      <c r="AC391" s="7"/>
      <c r="AD391" s="7"/>
      <c r="AE391" s="7"/>
      <c r="AF391" s="7"/>
      <c r="AG391" s="7"/>
      <c r="AH391" s="7"/>
      <c r="AI391" s="7"/>
      <c r="AJ391" s="7"/>
    </row>
    <row r="392">
      <c r="A392" s="10">
        <v>42360.0</v>
      </c>
      <c r="B392" s="6" t="s">
        <v>655</v>
      </c>
      <c r="C392" s="6" t="s">
        <v>31</v>
      </c>
      <c r="D392" s="6" t="str">
        <f>IF(NOT(ISBLANK(C392)), VLOOKUP(C392,'Dataset Descriptions'!$A$2:$B$10, 2, FALSE), "")</f>
        <v>Per-facility inmate population records.</v>
      </c>
      <c r="E392" s="6" t="s">
        <v>25</v>
      </c>
      <c r="F392" s="6" t="s">
        <v>25</v>
      </c>
      <c r="G392" s="6" t="s">
        <v>25</v>
      </c>
      <c r="H392" s="6" t="s">
        <v>25</v>
      </c>
      <c r="I392" s="6" t="s">
        <v>25</v>
      </c>
      <c r="J392" s="6" t="s">
        <v>25</v>
      </c>
      <c r="K392" s="6" t="s">
        <v>25</v>
      </c>
      <c r="L392" s="6" t="s">
        <v>25</v>
      </c>
      <c r="M392" s="6" t="s">
        <v>22</v>
      </c>
      <c r="N392" s="6" t="s">
        <v>23</v>
      </c>
      <c r="O392" s="6" t="s">
        <v>23</v>
      </c>
      <c r="P392" s="6" t="s">
        <v>23</v>
      </c>
      <c r="Q392" s="15" t="s">
        <v>661</v>
      </c>
      <c r="R392" s="13" t="s">
        <v>662</v>
      </c>
      <c r="S392" s="6">
        <f>IF(NOT(ISBLANK(E392)), ROUND(((IF(E392="yes",1,0)*'Grading Scale'!E$2)+(IF(F392="yes",1,0)*'Grading Scale'!E$3)+(IF(G392="yes",1,0)*'Grading Scale'!E$4)+(IF(H392="yes",1,0)*'Grading Scale'!E$5)+(IF(I392="yes",1,0)*'Grading Scale'!E$6)+(IF(J392="yes",1,0)*'Grading Scale'!E$7)+(IF(K392="yes",1,0)*'Grading Scale'!E$8)+(IF(L392="yes",1,0)*'Grading Scale'!E$9)+(IF(M392="yes",1,0)*'Grading Scale'!E$10)+(IF(N392="yes",1,0)*'Grading Scale'!E$11)+(IF(O392="yes",1,0)*'Grading Scale'!E$12)+(IF(P392="yes",1,0)*'Grading Scale'!E$13))/'Grading Scale'!E$14*100,0), "")</f>
        <v>80</v>
      </c>
      <c r="T392" s="6" t="str">
        <f>IF(ISNUMBER(S392),VLOOKUP(S392,'Grading Scale'!$A$2:$B$14, 2), "")</f>
        <v>B−</v>
      </c>
      <c r="U392" s="7"/>
      <c r="V392" s="7"/>
      <c r="W392" s="7"/>
      <c r="X392" s="7"/>
      <c r="Y392" s="7"/>
      <c r="Z392" s="7"/>
      <c r="AA392" s="7"/>
      <c r="AB392" s="7"/>
      <c r="AC392" s="7"/>
      <c r="AD392" s="7"/>
      <c r="AE392" s="7"/>
      <c r="AF392" s="7"/>
      <c r="AG392" s="7"/>
      <c r="AH392" s="7"/>
      <c r="AI392" s="7"/>
      <c r="AJ392" s="7"/>
    </row>
    <row r="393">
      <c r="A393" s="10">
        <v>42338.0</v>
      </c>
      <c r="B393" s="6" t="s">
        <v>655</v>
      </c>
      <c r="C393" s="6" t="s">
        <v>34</v>
      </c>
      <c r="D393" s="6" t="str">
        <f>IF(NOT(ISBLANK(C393)), VLOOKUP(C393,'Dataset Descriptions'!$A$2:$B$10, 2, FALSE), "")</f>
        <v>Bills before the legislature, and the legislators that comprise it.</v>
      </c>
      <c r="E393" s="6" t="s">
        <v>25</v>
      </c>
      <c r="F393" s="6" t="s">
        <v>25</v>
      </c>
      <c r="G393" s="6" t="s">
        <v>25</v>
      </c>
      <c r="H393" s="6" t="s">
        <v>25</v>
      </c>
      <c r="I393" s="6" t="s">
        <v>25</v>
      </c>
      <c r="J393" s="6" t="s">
        <v>25</v>
      </c>
      <c r="K393" s="6" t="s">
        <v>25</v>
      </c>
      <c r="L393" s="6" t="s">
        <v>25</v>
      </c>
      <c r="M393" s="6" t="s">
        <v>25</v>
      </c>
      <c r="N393" s="6" t="s">
        <v>23</v>
      </c>
      <c r="O393" s="6" t="s">
        <v>23</v>
      </c>
      <c r="P393" s="6" t="s">
        <v>25</v>
      </c>
      <c r="Q393" s="15" t="s">
        <v>663</v>
      </c>
      <c r="R393" s="14" t="s">
        <v>664</v>
      </c>
      <c r="S393" s="6">
        <f>IF(NOT(ISBLANK(E393)), ROUND(((IF(E393="yes",1,0)*'Grading Scale'!E$2)+(IF(F393="yes",1,0)*'Grading Scale'!E$3)+(IF(G393="yes",1,0)*'Grading Scale'!E$4)+(IF(H393="yes",1,0)*'Grading Scale'!E$5)+(IF(I393="yes",1,0)*'Grading Scale'!E$6)+(IF(J393="yes",1,0)*'Grading Scale'!E$7)+(IF(K393="yes",1,0)*'Grading Scale'!E$8)+(IF(L393="yes",1,0)*'Grading Scale'!E$9)+(IF(M393="yes",1,0)*'Grading Scale'!E$10)+(IF(N393="yes",1,0)*'Grading Scale'!E$11)+(IF(O393="yes",1,0)*'Grading Scale'!E$12)+(IF(P393="yes",1,0)*'Grading Scale'!E$13))/'Grading Scale'!E$14*100,0), "")</f>
        <v>90</v>
      </c>
      <c r="T393" s="6" t="str">
        <f>IF(ISNUMBER(S393),VLOOKUP(S393,'Grading Scale'!$A$2:$B$14, 2), "")</f>
        <v>A−</v>
      </c>
      <c r="U393" s="7"/>
      <c r="V393" s="7"/>
      <c r="W393" s="7"/>
      <c r="X393" s="7"/>
      <c r="Y393" s="7"/>
      <c r="Z393" s="7"/>
      <c r="AA393" s="7"/>
      <c r="AB393" s="7"/>
      <c r="AC393" s="7"/>
      <c r="AD393" s="7"/>
      <c r="AE393" s="7"/>
      <c r="AF393" s="7"/>
      <c r="AG393" s="7"/>
      <c r="AH393" s="7"/>
      <c r="AI393" s="7"/>
      <c r="AJ393" s="7"/>
    </row>
    <row r="394">
      <c r="A394" s="10">
        <v>42338.0</v>
      </c>
      <c r="B394" s="6" t="s">
        <v>655</v>
      </c>
      <c r="C394" s="6" t="s">
        <v>37</v>
      </c>
      <c r="D394" s="6" t="str">
        <f>IF(NOT(ISBLANK(C394)), VLOOKUP(C394,'Dataset Descriptions'!$A$2:$B$10, 2, FALSE), "")</f>
        <v>Forecasts of municipal-level changes in population over coming years.</v>
      </c>
      <c r="E394" s="6" t="s">
        <v>25</v>
      </c>
      <c r="F394" s="6" t="s">
        <v>25</v>
      </c>
      <c r="G394" s="6" t="s">
        <v>25</v>
      </c>
      <c r="H394" s="6" t="s">
        <v>25</v>
      </c>
      <c r="I394" s="6" t="s">
        <v>25</v>
      </c>
      <c r="J394" s="6" t="s">
        <v>25</v>
      </c>
      <c r="K394" s="6" t="s">
        <v>25</v>
      </c>
      <c r="L394" s="6" t="s">
        <v>25</v>
      </c>
      <c r="M394" s="6" t="s">
        <v>25</v>
      </c>
      <c r="N394" s="6" t="s">
        <v>23</v>
      </c>
      <c r="O394" s="6" t="s">
        <v>23</v>
      </c>
      <c r="P394" s="6" t="s">
        <v>25</v>
      </c>
      <c r="Q394" s="15" t="s">
        <v>665</v>
      </c>
      <c r="R394" s="11"/>
      <c r="S394" s="6">
        <f>IF(NOT(ISBLANK(E394)), ROUND(((IF(E394="yes",1,0)*'Grading Scale'!E$2)+(IF(F394="yes",1,0)*'Grading Scale'!E$3)+(IF(G394="yes",1,0)*'Grading Scale'!E$4)+(IF(H394="yes",1,0)*'Grading Scale'!E$5)+(IF(I394="yes",1,0)*'Grading Scale'!E$6)+(IF(J394="yes",1,0)*'Grading Scale'!E$7)+(IF(K394="yes",1,0)*'Grading Scale'!E$8)+(IF(L394="yes",1,0)*'Grading Scale'!E$9)+(IF(M394="yes",1,0)*'Grading Scale'!E$10)+(IF(N394="yes",1,0)*'Grading Scale'!E$11)+(IF(O394="yes",1,0)*'Grading Scale'!E$12)+(IF(P394="yes",1,0)*'Grading Scale'!E$13))/'Grading Scale'!E$14*100,0), "")</f>
        <v>90</v>
      </c>
      <c r="T394" s="6" t="str">
        <f>IF(ISNUMBER(S394),VLOOKUP(S394,'Grading Scale'!$A$2:$B$14, 2), "")</f>
        <v>A−</v>
      </c>
      <c r="U394" s="7"/>
      <c r="V394" s="7"/>
      <c r="W394" s="7"/>
      <c r="X394" s="7"/>
      <c r="Y394" s="7"/>
      <c r="Z394" s="7"/>
      <c r="AA394" s="7"/>
      <c r="AB394" s="7"/>
      <c r="AC394" s="7"/>
      <c r="AD394" s="7"/>
      <c r="AE394" s="7"/>
      <c r="AF394" s="7"/>
      <c r="AG394" s="7"/>
      <c r="AH394" s="7"/>
      <c r="AI394" s="7"/>
      <c r="AJ394" s="7"/>
    </row>
    <row r="395">
      <c r="A395" s="10">
        <v>42338.0</v>
      </c>
      <c r="B395" s="6" t="s">
        <v>655</v>
      </c>
      <c r="C395" s="6" t="s">
        <v>40</v>
      </c>
      <c r="D395" s="6" t="str">
        <f>IF(NOT(ISBLANK(C395)), VLOOKUP(C395,'Dataset Descriptions'!$A$2:$B$10, 2, FALSE), "")</f>
        <v>State-owned land and buildings.</v>
      </c>
      <c r="E395" s="6" t="s">
        <v>25</v>
      </c>
      <c r="F395" s="6" t="s">
        <v>25</v>
      </c>
      <c r="G395" s="6" t="s">
        <v>25</v>
      </c>
      <c r="H395" s="6" t="s">
        <v>25</v>
      </c>
      <c r="I395" s="6" t="s">
        <v>25</v>
      </c>
      <c r="J395" s="6" t="s">
        <v>23</v>
      </c>
      <c r="K395" s="6" t="s">
        <v>23</v>
      </c>
      <c r="L395" s="6" t="s">
        <v>23</v>
      </c>
      <c r="M395" s="6" t="s">
        <v>25</v>
      </c>
      <c r="N395" s="6" t="s">
        <v>23</v>
      </c>
      <c r="O395" s="6" t="s">
        <v>23</v>
      </c>
      <c r="P395" s="6" t="s">
        <v>25</v>
      </c>
      <c r="Q395" s="15" t="s">
        <v>666</v>
      </c>
      <c r="R395" s="11"/>
      <c r="S395" s="6">
        <f>IF(NOT(ISBLANK(E395)), ROUND(((IF(E395="yes",1,0)*'Grading Scale'!E$2)+(IF(F395="yes",1,0)*'Grading Scale'!E$3)+(IF(G395="yes",1,0)*'Grading Scale'!E$4)+(IF(H395="yes",1,0)*'Grading Scale'!E$5)+(IF(I395="yes",1,0)*'Grading Scale'!E$6)+(IF(J395="yes",1,0)*'Grading Scale'!E$7)+(IF(K395="yes",1,0)*'Grading Scale'!E$8)+(IF(L395="yes",1,0)*'Grading Scale'!E$9)+(IF(M395="yes",1,0)*'Grading Scale'!E$10)+(IF(N395="yes",1,0)*'Grading Scale'!E$11)+(IF(O395="yes",1,0)*'Grading Scale'!E$12)+(IF(P395="yes",1,0)*'Grading Scale'!E$13))/'Grading Scale'!E$14*100,0), "")</f>
        <v>40</v>
      </c>
      <c r="T395" s="6" t="str">
        <f>IF(ISNUMBER(S395),VLOOKUP(S395,'Grading Scale'!$A$2:$B$14, 2), "")</f>
        <v>F</v>
      </c>
      <c r="U395" s="7"/>
      <c r="V395" s="7"/>
      <c r="W395" s="7"/>
      <c r="X395" s="7"/>
      <c r="Y395" s="7"/>
      <c r="Z395" s="7"/>
      <c r="AA395" s="7"/>
      <c r="AB395" s="7"/>
      <c r="AC395" s="7"/>
      <c r="AD395" s="7"/>
      <c r="AE395" s="7"/>
      <c r="AF395" s="7"/>
      <c r="AG395" s="7"/>
      <c r="AH395" s="7"/>
      <c r="AI395" s="7"/>
      <c r="AJ395" s="7"/>
    </row>
    <row r="396">
      <c r="A396" s="10">
        <v>42338.0</v>
      </c>
      <c r="B396" s="6" t="s">
        <v>655</v>
      </c>
      <c r="C396" s="6" t="s">
        <v>43</v>
      </c>
      <c r="D396" s="6" t="str">
        <f>IF(NOT(ISBLANK(C396)), VLOOKUP(C396,'Dataset Descriptions'!$A$2:$B$10, 2, FALSE), "")</f>
        <v>Health inspections of establishments that serve food to the public.</v>
      </c>
      <c r="E396" s="6" t="s">
        <v>23</v>
      </c>
      <c r="F396" s="6" t="s">
        <v>23</v>
      </c>
      <c r="G396" s="6" t="s">
        <v>23</v>
      </c>
      <c r="H396" s="6" t="s">
        <v>23</v>
      </c>
      <c r="I396" s="6" t="s">
        <v>23</v>
      </c>
      <c r="J396" s="6" t="s">
        <v>23</v>
      </c>
      <c r="K396" s="6" t="s">
        <v>23</v>
      </c>
      <c r="L396" s="6" t="s">
        <v>23</v>
      </c>
      <c r="M396" s="6" t="s">
        <v>23</v>
      </c>
      <c r="N396" s="6" t="s">
        <v>23</v>
      </c>
      <c r="O396" s="6" t="s">
        <v>23</v>
      </c>
      <c r="P396" s="6" t="s">
        <v>23</v>
      </c>
      <c r="Q396" s="8"/>
      <c r="R396" s="11"/>
      <c r="S396" s="6">
        <f>IF(NOT(ISBLANK(E396)), ROUND(((IF(E396="yes",1,0)*'Grading Scale'!E$2)+(IF(F396="yes",1,0)*'Grading Scale'!E$3)+(IF(G396="yes",1,0)*'Grading Scale'!E$4)+(IF(H396="yes",1,0)*'Grading Scale'!E$5)+(IF(I396="yes",1,0)*'Grading Scale'!E$6)+(IF(J396="yes",1,0)*'Grading Scale'!E$7)+(IF(K396="yes",1,0)*'Grading Scale'!E$8)+(IF(L396="yes",1,0)*'Grading Scale'!E$9)+(IF(M396="yes",1,0)*'Grading Scale'!E$10)+(IF(N396="yes",1,0)*'Grading Scale'!E$11)+(IF(O396="yes",1,0)*'Grading Scale'!E$12)+(IF(P396="yes",1,0)*'Grading Scale'!E$13))/'Grading Scale'!E$14*100,0), "")</f>
        <v>0</v>
      </c>
      <c r="T396" s="6" t="str">
        <f>IF(ISNUMBER(S396),VLOOKUP(S396,'Grading Scale'!$A$2:$B$14, 2), "")</f>
        <v>F</v>
      </c>
      <c r="U396" s="7"/>
      <c r="V396" s="7"/>
      <c r="W396" s="7"/>
      <c r="X396" s="7"/>
      <c r="Y396" s="7"/>
      <c r="Z396" s="7"/>
      <c r="AA396" s="7"/>
      <c r="AB396" s="7"/>
      <c r="AC396" s="7"/>
      <c r="AD396" s="7"/>
      <c r="AE396" s="7"/>
      <c r="AF396" s="7"/>
      <c r="AG396" s="7"/>
      <c r="AH396" s="7"/>
      <c r="AI396" s="7"/>
      <c r="AJ396" s="7"/>
    </row>
    <row r="397">
      <c r="A397" s="10">
        <v>42338.0</v>
      </c>
      <c r="B397" s="6" t="s">
        <v>655</v>
      </c>
      <c r="C397" s="6" t="s">
        <v>46</v>
      </c>
      <c r="D397" s="6" t="str">
        <f>IF(NOT(ISBLANK(C397)), VLOOKUP(C397,'Dataset Descriptions'!$A$2:$B$10, 2, FALSE), "")</f>
        <v>Incident-level reportable motor vehicle crash records.</v>
      </c>
      <c r="E397" s="6" t="s">
        <v>25</v>
      </c>
      <c r="F397" s="6" t="s">
        <v>25</v>
      </c>
      <c r="G397" s="6" t="s">
        <v>25</v>
      </c>
      <c r="H397" s="6" t="s">
        <v>25</v>
      </c>
      <c r="I397" s="6" t="s">
        <v>25</v>
      </c>
      <c r="J397" s="6" t="s">
        <v>25</v>
      </c>
      <c r="K397" s="6" t="s">
        <v>25</v>
      </c>
      <c r="L397" s="6" t="s">
        <v>23</v>
      </c>
      <c r="M397" s="6" t="s">
        <v>22</v>
      </c>
      <c r="N397" s="6" t="s">
        <v>23</v>
      </c>
      <c r="O397" s="6" t="s">
        <v>25</v>
      </c>
      <c r="P397" s="6" t="s">
        <v>22</v>
      </c>
      <c r="Q397" s="15" t="s">
        <v>667</v>
      </c>
      <c r="R397" s="14" t="s">
        <v>668</v>
      </c>
      <c r="S397" s="6">
        <f>IF(NOT(ISBLANK(E397)), ROUND(((IF(E397="yes",1,0)*'Grading Scale'!E$2)+(IF(F397="yes",1,0)*'Grading Scale'!E$3)+(IF(G397="yes",1,0)*'Grading Scale'!E$4)+(IF(H397="yes",1,0)*'Grading Scale'!E$5)+(IF(I397="yes",1,0)*'Grading Scale'!E$6)+(IF(J397="yes",1,0)*'Grading Scale'!E$7)+(IF(K397="yes",1,0)*'Grading Scale'!E$8)+(IF(L397="yes",1,0)*'Grading Scale'!E$9)+(IF(M397="yes",1,0)*'Grading Scale'!E$10)+(IF(N397="yes",1,0)*'Grading Scale'!E$11)+(IF(O397="yes",1,0)*'Grading Scale'!E$12)+(IF(P397="yes",1,0)*'Grading Scale'!E$13))/'Grading Scale'!E$14*100,0), "")</f>
        <v>80</v>
      </c>
      <c r="T397" s="6" t="str">
        <f>IF(ISNUMBER(S397),VLOOKUP(S397,'Grading Scale'!$A$2:$B$14, 2), "")</f>
        <v>B−</v>
      </c>
      <c r="U397" s="7"/>
      <c r="V397" s="7"/>
      <c r="W397" s="7"/>
      <c r="X397" s="7"/>
      <c r="Y397" s="7"/>
      <c r="Z397" s="7"/>
      <c r="AA397" s="7"/>
      <c r="AB397" s="7"/>
      <c r="AC397" s="7"/>
      <c r="AD397" s="7"/>
      <c r="AE397" s="7"/>
      <c r="AF397" s="7"/>
      <c r="AG397" s="7"/>
      <c r="AH397" s="7"/>
      <c r="AI397" s="7"/>
      <c r="AJ397" s="7"/>
    </row>
    <row r="398">
      <c r="A398" s="4">
        <v>42382.0</v>
      </c>
      <c r="B398" s="5" t="s">
        <v>669</v>
      </c>
      <c r="C398" s="5" t="s">
        <v>21</v>
      </c>
      <c r="D398" s="6" t="str">
        <f>IF(NOT(ISBLANK(C398)), VLOOKUP(C398,'Dataset Descriptions'!$A$2:$B$10, 2, FALSE), "")</f>
        <v>The geographic coordinates for physical addresses.</v>
      </c>
      <c r="E398" s="5" t="s">
        <v>25</v>
      </c>
      <c r="F398" s="5" t="s">
        <v>25</v>
      </c>
      <c r="G398" s="5" t="s">
        <v>25</v>
      </c>
      <c r="H398" s="5" t="s">
        <v>25</v>
      </c>
      <c r="I398" s="5" t="s">
        <v>25</v>
      </c>
      <c r="J398" s="5" t="s">
        <v>25</v>
      </c>
      <c r="K398" s="5" t="s">
        <v>25</v>
      </c>
      <c r="L398" s="5" t="s">
        <v>23</v>
      </c>
      <c r="M398" s="5" t="s">
        <v>25</v>
      </c>
      <c r="N398" s="5" t="s">
        <v>23</v>
      </c>
      <c r="O398" s="5" t="s">
        <v>23</v>
      </c>
      <c r="P398" s="5" t="s">
        <v>25</v>
      </c>
      <c r="Q398" s="9" t="s">
        <v>670</v>
      </c>
      <c r="R398" s="8"/>
      <c r="S398" s="6">
        <f>IF(NOT(ISBLANK(E398)), ROUND(((IF(E398="yes",1,0)*'Grading Scale'!E$2)+(IF(F398="yes",1,0)*'Grading Scale'!E$3)+(IF(G398="yes",1,0)*'Grading Scale'!E$4)+(IF(H398="yes",1,0)*'Grading Scale'!E$5)+(IF(I398="yes",1,0)*'Grading Scale'!E$6)+(IF(J398="yes",1,0)*'Grading Scale'!E$7)+(IF(K398="yes",1,0)*'Grading Scale'!E$8)+(IF(L398="yes",1,0)*'Grading Scale'!E$9)+(IF(M398="yes",1,0)*'Grading Scale'!E$10)+(IF(N398="yes",1,0)*'Grading Scale'!E$11)+(IF(O398="yes",1,0)*'Grading Scale'!E$12)+(IF(P398="yes",1,0)*'Grading Scale'!E$13))/'Grading Scale'!E$14*100,0), "")</f>
        <v>85</v>
      </c>
      <c r="T398" s="6" t="str">
        <f>IF(ISNUMBER(S398),VLOOKUP(S398,'Grading Scale'!$A$2:$B$14, 2), "")</f>
        <v>B</v>
      </c>
      <c r="U398" s="7"/>
      <c r="V398" s="7"/>
      <c r="W398" s="7"/>
      <c r="X398" s="7"/>
      <c r="Y398" s="7"/>
      <c r="Z398" s="7"/>
      <c r="AA398" s="7"/>
      <c r="AB398" s="7"/>
      <c r="AC398" s="7"/>
      <c r="AD398" s="7"/>
      <c r="AE398" s="7"/>
      <c r="AF398" s="7"/>
      <c r="AG398" s="7"/>
      <c r="AH398" s="7"/>
      <c r="AI398" s="7"/>
      <c r="AJ398" s="7"/>
    </row>
    <row r="399">
      <c r="A399" s="4">
        <v>42383.0</v>
      </c>
      <c r="B399" s="5" t="s">
        <v>669</v>
      </c>
      <c r="C399" s="5" t="s">
        <v>24</v>
      </c>
      <c r="D399" s="6" t="str">
        <f>IF(NOT(ISBLANK(C399)), VLOOKUP(C399,'Dataset Descriptions'!$A$2:$B$10, 2, FALSE), "")</f>
        <v>Transaction-level, per-agency spending records.</v>
      </c>
      <c r="E399" s="5" t="s">
        <v>25</v>
      </c>
      <c r="F399" s="5" t="s">
        <v>25</v>
      </c>
      <c r="G399" s="5" t="s">
        <v>25</v>
      </c>
      <c r="H399" s="5" t="s">
        <v>23</v>
      </c>
      <c r="I399" s="5" t="s">
        <v>25</v>
      </c>
      <c r="J399" s="5" t="s">
        <v>25</v>
      </c>
      <c r="K399" s="5" t="s">
        <v>23</v>
      </c>
      <c r="L399" s="5" t="s">
        <v>23</v>
      </c>
      <c r="M399" s="5" t="s">
        <v>25</v>
      </c>
      <c r="N399" s="5" t="s">
        <v>23</v>
      </c>
      <c r="O399" s="5" t="s">
        <v>23</v>
      </c>
      <c r="P399" s="5" t="s">
        <v>23</v>
      </c>
      <c r="Q399" s="9" t="s">
        <v>671</v>
      </c>
      <c r="R399" s="6" t="s">
        <v>672</v>
      </c>
      <c r="S399" s="6">
        <f>IF(NOT(ISBLANK(E399)), ROUND(((IF(E399="yes",1,0)*'Grading Scale'!E$2)+(IF(F399="yes",1,0)*'Grading Scale'!E$3)+(IF(G399="yes",1,0)*'Grading Scale'!E$4)+(IF(H399="yes",1,0)*'Grading Scale'!E$5)+(IF(I399="yes",1,0)*'Grading Scale'!E$6)+(IF(J399="yes",1,0)*'Grading Scale'!E$7)+(IF(K399="yes",1,0)*'Grading Scale'!E$8)+(IF(L399="yes",1,0)*'Grading Scale'!E$9)+(IF(M399="yes",1,0)*'Grading Scale'!E$10)+(IF(N399="yes",1,0)*'Grading Scale'!E$11)+(IF(O399="yes",1,0)*'Grading Scale'!E$12)+(IF(P399="yes",1,0)*'Grading Scale'!E$13))/'Grading Scale'!E$14*100,0), "")</f>
        <v>60</v>
      </c>
      <c r="T399" s="6" t="str">
        <f>IF(ISNUMBER(S399),VLOOKUP(S399,'Grading Scale'!$A$2:$B$14, 2), "")</f>
        <v>D−</v>
      </c>
      <c r="U399" s="7"/>
      <c r="V399" s="7"/>
      <c r="W399" s="7"/>
      <c r="X399" s="7"/>
      <c r="Y399" s="7"/>
      <c r="Z399" s="7"/>
      <c r="AA399" s="7"/>
      <c r="AB399" s="7"/>
      <c r="AC399" s="7"/>
      <c r="AD399" s="7"/>
      <c r="AE399" s="7"/>
      <c r="AF399" s="7"/>
      <c r="AG399" s="7"/>
      <c r="AH399" s="7"/>
      <c r="AI399" s="7"/>
      <c r="AJ399" s="7"/>
    </row>
    <row r="400">
      <c r="A400" s="4">
        <v>42450.0</v>
      </c>
      <c r="B400" s="5" t="s">
        <v>669</v>
      </c>
      <c r="C400" s="5" t="s">
        <v>28</v>
      </c>
      <c r="D400" s="6" t="str">
        <f>IF(NOT(ISBLANK(C400)), VLOOKUP(C400,'Dataset Descriptions'!$A$2:$B$10, 2, FALSE), "")</f>
        <v>The register of all corporations that exist in the state.</v>
      </c>
      <c r="E400" s="5" t="s">
        <v>25</v>
      </c>
      <c r="F400" s="5" t="s">
        <v>25</v>
      </c>
      <c r="G400" s="5" t="s">
        <v>25</v>
      </c>
      <c r="H400" s="5" t="s">
        <v>23</v>
      </c>
      <c r="I400" s="5" t="s">
        <v>25</v>
      </c>
      <c r="J400" s="5" t="s">
        <v>25</v>
      </c>
      <c r="K400" s="5" t="s">
        <v>23</v>
      </c>
      <c r="L400" s="5" t="s">
        <v>22</v>
      </c>
      <c r="M400" s="5" t="s">
        <v>25</v>
      </c>
      <c r="N400" s="5" t="s">
        <v>25</v>
      </c>
      <c r="O400" s="5" t="s">
        <v>22</v>
      </c>
      <c r="P400" s="5" t="s">
        <v>22</v>
      </c>
      <c r="Q400" s="9" t="s">
        <v>673</v>
      </c>
      <c r="R400" s="6" t="s">
        <v>674</v>
      </c>
      <c r="S400" s="6">
        <f>IF(NOT(ISBLANK(E400)), ROUND(((IF(E400="yes",1,0)*'Grading Scale'!E$2)+(IF(F400="yes",1,0)*'Grading Scale'!E$3)+(IF(G400="yes",1,0)*'Grading Scale'!E$4)+(IF(H400="yes",1,0)*'Grading Scale'!E$5)+(IF(I400="yes",1,0)*'Grading Scale'!E$6)+(IF(J400="yes",1,0)*'Grading Scale'!E$7)+(IF(K400="yes",1,0)*'Grading Scale'!E$8)+(IF(L400="yes",1,0)*'Grading Scale'!E$9)+(IF(M400="yes",1,0)*'Grading Scale'!E$10)+(IF(N400="yes",1,0)*'Grading Scale'!E$11)+(IF(O400="yes",1,0)*'Grading Scale'!E$12)+(IF(P400="yes",1,0)*'Grading Scale'!E$13))/'Grading Scale'!E$14*100,0), "")</f>
        <v>65</v>
      </c>
      <c r="T400" s="6" t="str">
        <f>IF(ISNUMBER(S400),VLOOKUP(S400,'Grading Scale'!$A$2:$B$14, 2), "")</f>
        <v>D</v>
      </c>
      <c r="U400" s="7"/>
      <c r="V400" s="7"/>
      <c r="W400" s="7"/>
      <c r="X400" s="7"/>
      <c r="Y400" s="7"/>
      <c r="Z400" s="7"/>
      <c r="AA400" s="7"/>
      <c r="AB400" s="7"/>
      <c r="AC400" s="7"/>
      <c r="AD400" s="7"/>
      <c r="AE400" s="7"/>
      <c r="AF400" s="7"/>
      <c r="AG400" s="7"/>
      <c r="AH400" s="7"/>
      <c r="AI400" s="7"/>
      <c r="AJ400" s="7"/>
    </row>
    <row r="401">
      <c r="A401" s="4">
        <v>42381.0</v>
      </c>
      <c r="B401" s="5" t="s">
        <v>669</v>
      </c>
      <c r="C401" s="5" t="s">
        <v>31</v>
      </c>
      <c r="D401" s="6" t="str">
        <f>IF(NOT(ISBLANK(C401)), VLOOKUP(C401,'Dataset Descriptions'!$A$2:$B$10, 2, FALSE), "")</f>
        <v>Per-facility inmate population records.</v>
      </c>
      <c r="E401" s="5" t="s">
        <v>25</v>
      </c>
      <c r="F401" s="5" t="s">
        <v>25</v>
      </c>
      <c r="G401" s="5" t="s">
        <v>25</v>
      </c>
      <c r="H401" s="5" t="s">
        <v>25</v>
      </c>
      <c r="I401" s="5" t="s">
        <v>25</v>
      </c>
      <c r="J401" s="5" t="s">
        <v>23</v>
      </c>
      <c r="K401" s="5" t="s">
        <v>23</v>
      </c>
      <c r="L401" s="5" t="s">
        <v>25</v>
      </c>
      <c r="M401" s="5" t="s">
        <v>25</v>
      </c>
      <c r="N401" s="5" t="s">
        <v>23</v>
      </c>
      <c r="O401" s="5" t="s">
        <v>23</v>
      </c>
      <c r="P401" s="5" t="s">
        <v>23</v>
      </c>
      <c r="Q401" s="9" t="s">
        <v>675</v>
      </c>
      <c r="R401" s="6" t="s">
        <v>676</v>
      </c>
      <c r="S401" s="6">
        <f>IF(NOT(ISBLANK(E401)), ROUND(((IF(E401="yes",1,0)*'Grading Scale'!E$2)+(IF(F401="yes",1,0)*'Grading Scale'!E$3)+(IF(G401="yes",1,0)*'Grading Scale'!E$4)+(IF(H401="yes",1,0)*'Grading Scale'!E$5)+(IF(I401="yes",1,0)*'Grading Scale'!E$6)+(IF(J401="yes",1,0)*'Grading Scale'!E$7)+(IF(K401="yes",1,0)*'Grading Scale'!E$8)+(IF(L401="yes",1,0)*'Grading Scale'!E$9)+(IF(M401="yes",1,0)*'Grading Scale'!E$10)+(IF(N401="yes",1,0)*'Grading Scale'!E$11)+(IF(O401="yes",1,0)*'Grading Scale'!E$12)+(IF(P401="yes",1,0)*'Grading Scale'!E$13))/'Grading Scale'!E$14*100,0), "")</f>
        <v>40</v>
      </c>
      <c r="T401" s="6" t="str">
        <f>IF(ISNUMBER(S401),VLOOKUP(S401,'Grading Scale'!$A$2:$B$14, 2), "")</f>
        <v>F</v>
      </c>
      <c r="U401" s="7"/>
      <c r="V401" s="7"/>
      <c r="W401" s="7"/>
      <c r="X401" s="7"/>
      <c r="Y401" s="7"/>
      <c r="Z401" s="7"/>
      <c r="AA401" s="7"/>
      <c r="AB401" s="7"/>
      <c r="AC401" s="7"/>
      <c r="AD401" s="7"/>
      <c r="AE401" s="7"/>
      <c r="AF401" s="7"/>
      <c r="AG401" s="7"/>
      <c r="AH401" s="7"/>
      <c r="AI401" s="7"/>
      <c r="AJ401" s="7"/>
    </row>
    <row r="402">
      <c r="A402" s="4">
        <v>42382.0</v>
      </c>
      <c r="B402" s="5" t="s">
        <v>669</v>
      </c>
      <c r="C402" s="5" t="s">
        <v>34</v>
      </c>
      <c r="D402" s="6" t="str">
        <f>IF(NOT(ISBLANK(C402)), VLOOKUP(C402,'Dataset Descriptions'!$A$2:$B$10, 2, FALSE), "")</f>
        <v>Bills before the legislature, and the legislators that comprise it.</v>
      </c>
      <c r="E402" s="5" t="s">
        <v>25</v>
      </c>
      <c r="F402" s="5" t="s">
        <v>25</v>
      </c>
      <c r="G402" s="5" t="s">
        <v>25</v>
      </c>
      <c r="H402" s="5" t="s">
        <v>25</v>
      </c>
      <c r="I402" s="5" t="s">
        <v>25</v>
      </c>
      <c r="J402" s="5" t="s">
        <v>23</v>
      </c>
      <c r="K402" s="5" t="s">
        <v>23</v>
      </c>
      <c r="L402" s="5" t="s">
        <v>25</v>
      </c>
      <c r="M402" s="5" t="s">
        <v>25</v>
      </c>
      <c r="N402" s="5" t="s">
        <v>23</v>
      </c>
      <c r="O402" s="5" t="s">
        <v>23</v>
      </c>
      <c r="P402" s="5" t="s">
        <v>25</v>
      </c>
      <c r="Q402" s="9" t="s">
        <v>677</v>
      </c>
      <c r="R402" s="8"/>
      <c r="S402" s="6">
        <f>IF(NOT(ISBLANK(E402)), ROUND(((IF(E402="yes",1,0)*'Grading Scale'!E$2)+(IF(F402="yes",1,0)*'Grading Scale'!E$3)+(IF(G402="yes",1,0)*'Grading Scale'!E$4)+(IF(H402="yes",1,0)*'Grading Scale'!E$5)+(IF(I402="yes",1,0)*'Grading Scale'!E$6)+(IF(J402="yes",1,0)*'Grading Scale'!E$7)+(IF(K402="yes",1,0)*'Grading Scale'!E$8)+(IF(L402="yes",1,0)*'Grading Scale'!E$9)+(IF(M402="yes",1,0)*'Grading Scale'!E$10)+(IF(N402="yes",1,0)*'Grading Scale'!E$11)+(IF(O402="yes",1,0)*'Grading Scale'!E$12)+(IF(P402="yes",1,0)*'Grading Scale'!E$13))/'Grading Scale'!E$14*100,0), "")</f>
        <v>45</v>
      </c>
      <c r="T402" s="6" t="str">
        <f>IF(ISNUMBER(S402),VLOOKUP(S402,'Grading Scale'!$A$2:$B$14, 2), "")</f>
        <v>F</v>
      </c>
      <c r="U402" s="7"/>
      <c r="V402" s="7"/>
      <c r="W402" s="7"/>
      <c r="X402" s="7"/>
      <c r="Y402" s="7"/>
      <c r="Z402" s="7"/>
      <c r="AA402" s="7"/>
      <c r="AB402" s="7"/>
      <c r="AC402" s="7"/>
      <c r="AD402" s="7"/>
      <c r="AE402" s="7"/>
      <c r="AF402" s="7"/>
      <c r="AG402" s="7"/>
      <c r="AH402" s="7"/>
      <c r="AI402" s="7"/>
      <c r="AJ402" s="7"/>
    </row>
    <row r="403">
      <c r="A403" s="4">
        <v>42382.0</v>
      </c>
      <c r="B403" s="5" t="s">
        <v>669</v>
      </c>
      <c r="C403" s="6" t="s">
        <v>37</v>
      </c>
      <c r="D403" s="6" t="str">
        <f>IF(NOT(ISBLANK(C403)), VLOOKUP(C403,'Dataset Descriptions'!$A$2:$B$10, 2, FALSE), "")</f>
        <v>Forecasts of municipal-level changes in population over coming years.</v>
      </c>
      <c r="E403" s="5" t="s">
        <v>25</v>
      </c>
      <c r="F403" s="5" t="s">
        <v>25</v>
      </c>
      <c r="G403" s="5" t="s">
        <v>25</v>
      </c>
      <c r="H403" s="5" t="s">
        <v>25</v>
      </c>
      <c r="I403" s="5" t="s">
        <v>25</v>
      </c>
      <c r="J403" s="5" t="s">
        <v>23</v>
      </c>
      <c r="K403" s="5" t="s">
        <v>25</v>
      </c>
      <c r="L403" s="5" t="s">
        <v>25</v>
      </c>
      <c r="M403" s="5" t="s">
        <v>23</v>
      </c>
      <c r="N403" s="5" t="s">
        <v>23</v>
      </c>
      <c r="O403" s="5" t="s">
        <v>23</v>
      </c>
      <c r="P403" s="5" t="s">
        <v>23</v>
      </c>
      <c r="Q403" s="9" t="s">
        <v>678</v>
      </c>
      <c r="R403" s="6" t="s">
        <v>679</v>
      </c>
      <c r="S403" s="6">
        <f>IF(NOT(ISBLANK(E403)), ROUND(((IF(E403="yes",1,0)*'Grading Scale'!E$2)+(IF(F403="yes",1,0)*'Grading Scale'!E$3)+(IF(G403="yes",1,0)*'Grading Scale'!E$4)+(IF(H403="yes",1,0)*'Grading Scale'!E$5)+(IF(I403="yes",1,0)*'Grading Scale'!E$6)+(IF(J403="yes",1,0)*'Grading Scale'!E$7)+(IF(K403="yes",1,0)*'Grading Scale'!E$8)+(IF(L403="yes",1,0)*'Grading Scale'!E$9)+(IF(M403="yes",1,0)*'Grading Scale'!E$10)+(IF(N403="yes",1,0)*'Grading Scale'!E$11)+(IF(O403="yes",1,0)*'Grading Scale'!E$12)+(IF(P403="yes",1,0)*'Grading Scale'!E$13))/'Grading Scale'!E$14*100,0), "")</f>
        <v>40</v>
      </c>
      <c r="T403" s="6" t="str">
        <f>IF(ISNUMBER(S403),VLOOKUP(S403,'Grading Scale'!$A$2:$B$14, 2), "")</f>
        <v>F</v>
      </c>
      <c r="U403" s="7"/>
      <c r="V403" s="7"/>
      <c r="W403" s="7"/>
      <c r="X403" s="7"/>
      <c r="Y403" s="7"/>
      <c r="Z403" s="7"/>
      <c r="AA403" s="7"/>
      <c r="AB403" s="7"/>
      <c r="AC403" s="7"/>
      <c r="AD403" s="7"/>
      <c r="AE403" s="7"/>
      <c r="AF403" s="7"/>
      <c r="AG403" s="7"/>
      <c r="AH403" s="7"/>
      <c r="AI403" s="7"/>
      <c r="AJ403" s="7"/>
    </row>
    <row r="404">
      <c r="A404" s="4">
        <v>42382.0</v>
      </c>
      <c r="B404" s="5" t="s">
        <v>669</v>
      </c>
      <c r="C404" s="5" t="s">
        <v>40</v>
      </c>
      <c r="D404" s="6" t="str">
        <f>IF(NOT(ISBLANK(C404)), VLOOKUP(C404,'Dataset Descriptions'!$A$2:$B$10, 2, FALSE), "")</f>
        <v>State-owned land and buildings.</v>
      </c>
      <c r="E404" s="5" t="s">
        <v>25</v>
      </c>
      <c r="F404" s="5" t="s">
        <v>25</v>
      </c>
      <c r="G404" s="5" t="s">
        <v>22</v>
      </c>
      <c r="H404" s="5" t="s">
        <v>22</v>
      </c>
      <c r="I404" s="5" t="s">
        <v>23</v>
      </c>
      <c r="J404" s="5" t="s">
        <v>22</v>
      </c>
      <c r="K404" s="5" t="s">
        <v>23</v>
      </c>
      <c r="L404" s="5" t="s">
        <v>22</v>
      </c>
      <c r="M404" s="5" t="s">
        <v>22</v>
      </c>
      <c r="N404" s="5" t="s">
        <v>23</v>
      </c>
      <c r="O404" s="5" t="s">
        <v>22</v>
      </c>
      <c r="P404" s="5" t="s">
        <v>22</v>
      </c>
      <c r="Q404" s="7"/>
      <c r="R404" s="6" t="s">
        <v>680</v>
      </c>
      <c r="S404" s="6">
        <f>IF(NOT(ISBLANK(E404)), ROUND(((IF(E404="yes",1,0)*'Grading Scale'!E$2)+(IF(F404="yes",1,0)*'Grading Scale'!E$3)+(IF(G404="yes",1,0)*'Grading Scale'!E$4)+(IF(H404="yes",1,0)*'Grading Scale'!E$5)+(IF(I404="yes",1,0)*'Grading Scale'!E$6)+(IF(J404="yes",1,0)*'Grading Scale'!E$7)+(IF(K404="yes",1,0)*'Grading Scale'!E$8)+(IF(L404="yes",1,0)*'Grading Scale'!E$9)+(IF(M404="yes",1,0)*'Grading Scale'!E$10)+(IF(N404="yes",1,0)*'Grading Scale'!E$11)+(IF(O404="yes",1,0)*'Grading Scale'!E$12)+(IF(P404="yes",1,0)*'Grading Scale'!E$13))/'Grading Scale'!E$14*100,0), "")</f>
        <v>5</v>
      </c>
      <c r="T404" s="6" t="str">
        <f>IF(ISNUMBER(S404),VLOOKUP(S404,'Grading Scale'!$A$2:$B$14, 2), "")</f>
        <v>F</v>
      </c>
      <c r="U404" s="7"/>
      <c r="V404" s="7"/>
      <c r="W404" s="7"/>
      <c r="X404" s="7"/>
      <c r="Y404" s="7"/>
      <c r="Z404" s="7"/>
      <c r="AA404" s="7"/>
      <c r="AB404" s="7"/>
      <c r="AC404" s="7"/>
      <c r="AD404" s="7"/>
      <c r="AE404" s="7"/>
      <c r="AF404" s="7"/>
      <c r="AG404" s="7"/>
      <c r="AH404" s="7"/>
      <c r="AI404" s="7"/>
      <c r="AJ404" s="7"/>
    </row>
    <row r="405">
      <c r="A405" s="4">
        <v>42382.0</v>
      </c>
      <c r="B405" s="5" t="s">
        <v>669</v>
      </c>
      <c r="C405" s="5" t="s">
        <v>43</v>
      </c>
      <c r="D405" s="6" t="str">
        <f>IF(NOT(ISBLANK(C405)), VLOOKUP(C405,'Dataset Descriptions'!$A$2:$B$10, 2, FALSE), "")</f>
        <v>Health inspections of establishments that serve food to the public.</v>
      </c>
      <c r="E405" s="5" t="s">
        <v>22</v>
      </c>
      <c r="F405" s="5" t="s">
        <v>22</v>
      </c>
      <c r="G405" s="5" t="s">
        <v>22</v>
      </c>
      <c r="H405" s="5" t="s">
        <v>22</v>
      </c>
      <c r="I405" s="5" t="s">
        <v>23</v>
      </c>
      <c r="J405" s="5" t="s">
        <v>22</v>
      </c>
      <c r="K405" s="5" t="s">
        <v>22</v>
      </c>
      <c r="L405" s="5" t="s">
        <v>22</v>
      </c>
      <c r="M405" s="5" t="s">
        <v>22</v>
      </c>
      <c r="N405" s="5" t="s">
        <v>23</v>
      </c>
      <c r="O405" s="5" t="s">
        <v>22</v>
      </c>
      <c r="P405" s="5" t="s">
        <v>22</v>
      </c>
      <c r="Q405" s="7"/>
      <c r="R405" s="6" t="s">
        <v>681</v>
      </c>
      <c r="S405" s="6">
        <f>IF(NOT(ISBLANK(E405)), ROUND(((IF(E405="yes",1,0)*'Grading Scale'!E$2)+(IF(F405="yes",1,0)*'Grading Scale'!E$3)+(IF(G405="yes",1,0)*'Grading Scale'!E$4)+(IF(H405="yes",1,0)*'Grading Scale'!E$5)+(IF(I405="yes",1,0)*'Grading Scale'!E$6)+(IF(J405="yes",1,0)*'Grading Scale'!E$7)+(IF(K405="yes",1,0)*'Grading Scale'!E$8)+(IF(L405="yes",1,0)*'Grading Scale'!E$9)+(IF(M405="yes",1,0)*'Grading Scale'!E$10)+(IF(N405="yes",1,0)*'Grading Scale'!E$11)+(IF(O405="yes",1,0)*'Grading Scale'!E$12)+(IF(P405="yes",1,0)*'Grading Scale'!E$13))/'Grading Scale'!E$14*100,0), "")</f>
        <v>0</v>
      </c>
      <c r="T405" s="6" t="str">
        <f>IF(ISNUMBER(S405),VLOOKUP(S405,'Grading Scale'!$A$2:$B$14, 2), "")</f>
        <v>F</v>
      </c>
      <c r="U405" s="7"/>
      <c r="V405" s="7"/>
      <c r="W405" s="7"/>
      <c r="X405" s="7"/>
      <c r="Y405" s="7"/>
      <c r="Z405" s="7"/>
      <c r="AA405" s="7"/>
      <c r="AB405" s="7"/>
      <c r="AC405" s="7"/>
      <c r="AD405" s="7"/>
      <c r="AE405" s="7"/>
      <c r="AF405" s="7"/>
      <c r="AG405" s="7"/>
      <c r="AH405" s="7"/>
      <c r="AI405" s="7"/>
      <c r="AJ405" s="7"/>
    </row>
    <row r="406">
      <c r="A406" s="4">
        <v>42382.0</v>
      </c>
      <c r="B406" s="5" t="s">
        <v>669</v>
      </c>
      <c r="C406" s="5" t="s">
        <v>46</v>
      </c>
      <c r="D406" s="6" t="str">
        <f>IF(NOT(ISBLANK(C406)), VLOOKUP(C406,'Dataset Descriptions'!$A$2:$B$10, 2, FALSE), "")</f>
        <v>Incident-level reportable motor vehicle crash records.</v>
      </c>
      <c r="E406" s="5" t="s">
        <v>25</v>
      </c>
      <c r="F406" s="5" t="s">
        <v>25</v>
      </c>
      <c r="G406" s="5" t="s">
        <v>25</v>
      </c>
      <c r="H406" s="5" t="s">
        <v>25</v>
      </c>
      <c r="I406" s="5" t="s">
        <v>25</v>
      </c>
      <c r="J406" s="5" t="s">
        <v>23</v>
      </c>
      <c r="K406" s="5" t="s">
        <v>23</v>
      </c>
      <c r="L406" s="5" t="s">
        <v>23</v>
      </c>
      <c r="M406" s="5" t="s">
        <v>25</v>
      </c>
      <c r="N406" s="5" t="s">
        <v>23</v>
      </c>
      <c r="O406" s="5" t="s">
        <v>23</v>
      </c>
      <c r="P406" s="5" t="s">
        <v>23</v>
      </c>
      <c r="Q406" s="9" t="s">
        <v>682</v>
      </c>
      <c r="R406" s="6" t="s">
        <v>683</v>
      </c>
      <c r="S406" s="6">
        <f>IF(NOT(ISBLANK(E406)), ROUND(((IF(E406="yes",1,0)*'Grading Scale'!E$2)+(IF(F406="yes",1,0)*'Grading Scale'!E$3)+(IF(G406="yes",1,0)*'Grading Scale'!E$4)+(IF(H406="yes",1,0)*'Grading Scale'!E$5)+(IF(I406="yes",1,0)*'Grading Scale'!E$6)+(IF(J406="yes",1,0)*'Grading Scale'!E$7)+(IF(K406="yes",1,0)*'Grading Scale'!E$8)+(IF(L406="yes",1,0)*'Grading Scale'!E$9)+(IF(M406="yes",1,0)*'Grading Scale'!E$10)+(IF(N406="yes",1,0)*'Grading Scale'!E$11)+(IF(O406="yes",1,0)*'Grading Scale'!E$12)+(IF(P406="yes",1,0)*'Grading Scale'!E$13))/'Grading Scale'!E$14*100,0), "")</f>
        <v>35</v>
      </c>
      <c r="T406" s="6" t="str">
        <f>IF(ISNUMBER(S406),VLOOKUP(S406,'Grading Scale'!$A$2:$B$14, 2), "")</f>
        <v>F</v>
      </c>
      <c r="U406" s="7"/>
      <c r="V406" s="7"/>
      <c r="W406" s="7"/>
      <c r="X406" s="7"/>
      <c r="Y406" s="7"/>
      <c r="Z406" s="7"/>
      <c r="AA406" s="7"/>
      <c r="AB406" s="7"/>
      <c r="AC406" s="7"/>
      <c r="AD406" s="7"/>
      <c r="AE406" s="7"/>
      <c r="AF406" s="7"/>
      <c r="AG406" s="7"/>
      <c r="AH406" s="7"/>
      <c r="AI406" s="7"/>
      <c r="AJ406" s="7"/>
    </row>
    <row r="407">
      <c r="A407" s="4">
        <v>42410.0</v>
      </c>
      <c r="B407" s="5" t="s">
        <v>684</v>
      </c>
      <c r="C407" s="5" t="s">
        <v>21</v>
      </c>
      <c r="D407" s="6" t="str">
        <f>IF(NOT(ISBLANK(C407)), VLOOKUP(C407,'Dataset Descriptions'!$A$2:$B$10, 2, FALSE), "")</f>
        <v>The geographic coordinates for physical addresses.</v>
      </c>
      <c r="E407" s="5" t="s">
        <v>25</v>
      </c>
      <c r="F407" s="5" t="s">
        <v>25</v>
      </c>
      <c r="G407" s="5" t="s">
        <v>25</v>
      </c>
      <c r="H407" s="5" t="s">
        <v>25</v>
      </c>
      <c r="I407" s="5" t="s">
        <v>25</v>
      </c>
      <c r="J407" s="5" t="s">
        <v>25</v>
      </c>
      <c r="K407" s="5" t="s">
        <v>25</v>
      </c>
      <c r="L407" s="5" t="s">
        <v>23</v>
      </c>
      <c r="M407" s="5" t="s">
        <v>25</v>
      </c>
      <c r="N407" s="5" t="s">
        <v>23</v>
      </c>
      <c r="O407" s="5" t="s">
        <v>23</v>
      </c>
      <c r="P407" s="5" t="s">
        <v>25</v>
      </c>
      <c r="Q407" s="9" t="s">
        <v>685</v>
      </c>
      <c r="R407" s="6" t="s">
        <v>686</v>
      </c>
      <c r="S407" s="6">
        <f>IF(NOT(ISBLANK(E407)), ROUND(((IF(E407="yes",1,0)*'Grading Scale'!E$2)+(IF(F407="yes",1,0)*'Grading Scale'!E$3)+(IF(G407="yes",1,0)*'Grading Scale'!E$4)+(IF(H407="yes",1,0)*'Grading Scale'!E$5)+(IF(I407="yes",1,0)*'Grading Scale'!E$6)+(IF(J407="yes",1,0)*'Grading Scale'!E$7)+(IF(K407="yes",1,0)*'Grading Scale'!E$8)+(IF(L407="yes",1,0)*'Grading Scale'!E$9)+(IF(M407="yes",1,0)*'Grading Scale'!E$10)+(IF(N407="yes",1,0)*'Grading Scale'!E$11)+(IF(O407="yes",1,0)*'Grading Scale'!E$12)+(IF(P407="yes",1,0)*'Grading Scale'!E$13))/'Grading Scale'!E$14*100,0), "")</f>
        <v>85</v>
      </c>
      <c r="T407" s="6" t="str">
        <f>IF(ISNUMBER(S407),VLOOKUP(S407,'Grading Scale'!$A$2:$B$14, 2), "")</f>
        <v>B</v>
      </c>
      <c r="U407" s="7"/>
      <c r="V407" s="7"/>
      <c r="W407" s="7"/>
      <c r="X407" s="7"/>
      <c r="Y407" s="7"/>
      <c r="Z407" s="7"/>
      <c r="AA407" s="7"/>
      <c r="AB407" s="7"/>
      <c r="AC407" s="7"/>
      <c r="AD407" s="7"/>
      <c r="AE407" s="7"/>
      <c r="AF407" s="7"/>
      <c r="AG407" s="7"/>
      <c r="AH407" s="7"/>
      <c r="AI407" s="7"/>
      <c r="AJ407" s="7"/>
    </row>
    <row r="408">
      <c r="A408" s="4">
        <v>42410.0</v>
      </c>
      <c r="B408" s="5" t="s">
        <v>684</v>
      </c>
      <c r="C408" s="5" t="s">
        <v>24</v>
      </c>
      <c r="D408" s="6" t="str">
        <f>IF(NOT(ISBLANK(C408)), VLOOKUP(C408,'Dataset Descriptions'!$A$2:$B$10, 2, FALSE), "")</f>
        <v>Transaction-level, per-agency spending records.</v>
      </c>
      <c r="E408" s="5" t="s">
        <v>25</v>
      </c>
      <c r="F408" s="5" t="s">
        <v>25</v>
      </c>
      <c r="G408" s="5" t="s">
        <v>25</v>
      </c>
      <c r="H408" s="5" t="s">
        <v>25</v>
      </c>
      <c r="I408" s="5" t="s">
        <v>25</v>
      </c>
      <c r="J408" s="5" t="s">
        <v>25</v>
      </c>
      <c r="K408" s="5" t="s">
        <v>25</v>
      </c>
      <c r="L408" s="5" t="s">
        <v>23</v>
      </c>
      <c r="M408" s="5" t="s">
        <v>23</v>
      </c>
      <c r="N408" s="5" t="s">
        <v>23</v>
      </c>
      <c r="O408" s="5" t="s">
        <v>23</v>
      </c>
      <c r="P408" s="5" t="s">
        <v>25</v>
      </c>
      <c r="Q408" s="9" t="s">
        <v>687</v>
      </c>
      <c r="R408" s="6" t="s">
        <v>688</v>
      </c>
      <c r="S408" s="6">
        <f>IF(NOT(ISBLANK(E408)), ROUND(((IF(E408="yes",1,0)*'Grading Scale'!E$2)+(IF(F408="yes",1,0)*'Grading Scale'!E$3)+(IF(G408="yes",1,0)*'Grading Scale'!E$4)+(IF(H408="yes",1,0)*'Grading Scale'!E$5)+(IF(I408="yes",1,0)*'Grading Scale'!E$6)+(IF(J408="yes",1,0)*'Grading Scale'!E$7)+(IF(K408="yes",1,0)*'Grading Scale'!E$8)+(IF(L408="yes",1,0)*'Grading Scale'!E$9)+(IF(M408="yes",1,0)*'Grading Scale'!E$10)+(IF(N408="yes",1,0)*'Grading Scale'!E$11)+(IF(O408="yes",1,0)*'Grading Scale'!E$12)+(IF(P408="yes",1,0)*'Grading Scale'!E$13))/'Grading Scale'!E$14*100,0), "")</f>
        <v>80</v>
      </c>
      <c r="T408" s="6" t="str">
        <f>IF(ISNUMBER(S408),VLOOKUP(S408,'Grading Scale'!$A$2:$B$14, 2), "")</f>
        <v>B−</v>
      </c>
      <c r="U408" s="7"/>
      <c r="V408" s="7"/>
      <c r="W408" s="7"/>
      <c r="X408" s="7"/>
      <c r="Y408" s="7"/>
      <c r="Z408" s="7"/>
      <c r="AA408" s="7"/>
      <c r="AB408" s="7"/>
      <c r="AC408" s="7"/>
      <c r="AD408" s="7"/>
      <c r="AE408" s="7"/>
      <c r="AF408" s="7"/>
      <c r="AG408" s="7"/>
      <c r="AH408" s="7"/>
      <c r="AI408" s="7"/>
      <c r="AJ408" s="7"/>
    </row>
    <row r="409">
      <c r="A409" s="4">
        <v>42409.0</v>
      </c>
      <c r="B409" s="5" t="s">
        <v>684</v>
      </c>
      <c r="C409" s="5" t="s">
        <v>28</v>
      </c>
      <c r="D409" s="6" t="str">
        <f>IF(NOT(ISBLANK(C409)), VLOOKUP(C409,'Dataset Descriptions'!$A$2:$B$10, 2, FALSE), "")</f>
        <v>The register of all corporations that exist in the state.</v>
      </c>
      <c r="E409" s="5" t="s">
        <v>25</v>
      </c>
      <c r="F409" s="5" t="s">
        <v>25</v>
      </c>
      <c r="G409" s="5" t="s">
        <v>25</v>
      </c>
      <c r="H409" s="5" t="s">
        <v>25</v>
      </c>
      <c r="I409" s="5" t="s">
        <v>25</v>
      </c>
      <c r="J409" s="5" t="s">
        <v>25</v>
      </c>
      <c r="K409" s="5" t="s">
        <v>23</v>
      </c>
      <c r="L409" s="5" t="s">
        <v>23</v>
      </c>
      <c r="M409" s="5" t="s">
        <v>25</v>
      </c>
      <c r="N409" s="5" t="s">
        <v>23</v>
      </c>
      <c r="O409" s="5" t="s">
        <v>25</v>
      </c>
      <c r="P409" s="5" t="s">
        <v>25</v>
      </c>
      <c r="Q409" s="9" t="s">
        <v>689</v>
      </c>
      <c r="R409" s="6" t="s">
        <v>690</v>
      </c>
      <c r="S409" s="6">
        <f>IF(NOT(ISBLANK(E409)), ROUND(((IF(E409="yes",1,0)*'Grading Scale'!E$2)+(IF(F409="yes",1,0)*'Grading Scale'!E$3)+(IF(G409="yes",1,0)*'Grading Scale'!E$4)+(IF(H409="yes",1,0)*'Grading Scale'!E$5)+(IF(I409="yes",1,0)*'Grading Scale'!E$6)+(IF(J409="yes",1,0)*'Grading Scale'!E$7)+(IF(K409="yes",1,0)*'Grading Scale'!E$8)+(IF(L409="yes",1,0)*'Grading Scale'!E$9)+(IF(M409="yes",1,0)*'Grading Scale'!E$10)+(IF(N409="yes",1,0)*'Grading Scale'!E$11)+(IF(O409="yes",1,0)*'Grading Scale'!E$12)+(IF(P409="yes",1,0)*'Grading Scale'!E$13))/'Grading Scale'!E$14*100,0), "")</f>
        <v>85</v>
      </c>
      <c r="T409" s="6" t="str">
        <f>IF(ISNUMBER(S409),VLOOKUP(S409,'Grading Scale'!$A$2:$B$14, 2), "")</f>
        <v>B</v>
      </c>
      <c r="U409" s="7"/>
      <c r="V409" s="7"/>
      <c r="W409" s="7"/>
      <c r="X409" s="7"/>
      <c r="Y409" s="7"/>
      <c r="Z409" s="7"/>
      <c r="AA409" s="7"/>
      <c r="AB409" s="7"/>
      <c r="AC409" s="7"/>
      <c r="AD409" s="7"/>
      <c r="AE409" s="7"/>
      <c r="AF409" s="7"/>
      <c r="AG409" s="7"/>
      <c r="AH409" s="7"/>
      <c r="AI409" s="7"/>
      <c r="AJ409" s="7"/>
    </row>
    <row r="410">
      <c r="A410" s="4">
        <v>42409.0</v>
      </c>
      <c r="B410" s="5" t="s">
        <v>684</v>
      </c>
      <c r="C410" s="5" t="s">
        <v>31</v>
      </c>
      <c r="D410" s="6" t="str">
        <f>IF(NOT(ISBLANK(C410)), VLOOKUP(C410,'Dataset Descriptions'!$A$2:$B$10, 2, FALSE), "")</f>
        <v>Per-facility inmate population records.</v>
      </c>
      <c r="E410" s="5" t="s">
        <v>25</v>
      </c>
      <c r="F410" s="5" t="s">
        <v>25</v>
      </c>
      <c r="G410" s="5" t="s">
        <v>25</v>
      </c>
      <c r="H410" s="5" t="s">
        <v>25</v>
      </c>
      <c r="I410" s="5" t="s">
        <v>25</v>
      </c>
      <c r="J410" s="5" t="s">
        <v>23</v>
      </c>
      <c r="K410" s="5" t="s">
        <v>23</v>
      </c>
      <c r="L410" s="5" t="s">
        <v>23</v>
      </c>
      <c r="M410" s="5" t="s">
        <v>25</v>
      </c>
      <c r="N410" s="5" t="s">
        <v>23</v>
      </c>
      <c r="O410" s="5" t="s">
        <v>23</v>
      </c>
      <c r="P410" s="5" t="s">
        <v>25</v>
      </c>
      <c r="Q410" s="9" t="s">
        <v>691</v>
      </c>
      <c r="R410" s="6" t="s">
        <v>692</v>
      </c>
      <c r="S410" s="6">
        <f>IF(NOT(ISBLANK(E410)), ROUND(((IF(E410="yes",1,0)*'Grading Scale'!E$2)+(IF(F410="yes",1,0)*'Grading Scale'!E$3)+(IF(G410="yes",1,0)*'Grading Scale'!E$4)+(IF(H410="yes",1,0)*'Grading Scale'!E$5)+(IF(I410="yes",1,0)*'Grading Scale'!E$6)+(IF(J410="yes",1,0)*'Grading Scale'!E$7)+(IF(K410="yes",1,0)*'Grading Scale'!E$8)+(IF(L410="yes",1,0)*'Grading Scale'!E$9)+(IF(M410="yes",1,0)*'Grading Scale'!E$10)+(IF(N410="yes",1,0)*'Grading Scale'!E$11)+(IF(O410="yes",1,0)*'Grading Scale'!E$12)+(IF(P410="yes",1,0)*'Grading Scale'!E$13))/'Grading Scale'!E$14*100,0), "")</f>
        <v>40</v>
      </c>
      <c r="T410" s="6" t="str">
        <f>IF(ISNUMBER(S410),VLOOKUP(S410,'Grading Scale'!$A$2:$B$14, 2), "")</f>
        <v>F</v>
      </c>
      <c r="U410" s="7"/>
      <c r="V410" s="7"/>
      <c r="W410" s="7"/>
      <c r="X410" s="7"/>
      <c r="Y410" s="7"/>
      <c r="Z410" s="7"/>
      <c r="AA410" s="7"/>
      <c r="AB410" s="7"/>
      <c r="AC410" s="7"/>
      <c r="AD410" s="7"/>
      <c r="AE410" s="7"/>
      <c r="AF410" s="7"/>
      <c r="AG410" s="7"/>
      <c r="AH410" s="7"/>
      <c r="AI410" s="7"/>
      <c r="AJ410" s="7"/>
    </row>
    <row r="411">
      <c r="A411" s="4">
        <v>42410.0</v>
      </c>
      <c r="B411" s="5" t="s">
        <v>684</v>
      </c>
      <c r="C411" s="5" t="s">
        <v>34</v>
      </c>
      <c r="D411" s="6" t="str">
        <f>IF(NOT(ISBLANK(C411)), VLOOKUP(C411,'Dataset Descriptions'!$A$2:$B$10, 2, FALSE), "")</f>
        <v>Bills before the legislature, and the legislators that comprise it.</v>
      </c>
      <c r="E411" s="5" t="s">
        <v>25</v>
      </c>
      <c r="F411" s="5" t="s">
        <v>25</v>
      </c>
      <c r="G411" s="5" t="s">
        <v>25</v>
      </c>
      <c r="H411" s="5" t="s">
        <v>25</v>
      </c>
      <c r="I411" s="5" t="s">
        <v>25</v>
      </c>
      <c r="J411" s="5" t="s">
        <v>23</v>
      </c>
      <c r="K411" s="5" t="s">
        <v>23</v>
      </c>
      <c r="L411" s="5" t="s">
        <v>23</v>
      </c>
      <c r="M411" s="5" t="s">
        <v>25</v>
      </c>
      <c r="N411" s="5" t="s">
        <v>23</v>
      </c>
      <c r="O411" s="5" t="s">
        <v>23</v>
      </c>
      <c r="P411" s="5" t="s">
        <v>25</v>
      </c>
      <c r="Q411" s="9" t="s">
        <v>693</v>
      </c>
      <c r="R411" s="8"/>
      <c r="S411" s="6">
        <f>IF(NOT(ISBLANK(E411)), ROUND(((IF(E411="yes",1,0)*'Grading Scale'!E$2)+(IF(F411="yes",1,0)*'Grading Scale'!E$3)+(IF(G411="yes",1,0)*'Grading Scale'!E$4)+(IF(H411="yes",1,0)*'Grading Scale'!E$5)+(IF(I411="yes",1,0)*'Grading Scale'!E$6)+(IF(J411="yes",1,0)*'Grading Scale'!E$7)+(IF(K411="yes",1,0)*'Grading Scale'!E$8)+(IF(L411="yes",1,0)*'Grading Scale'!E$9)+(IF(M411="yes",1,0)*'Grading Scale'!E$10)+(IF(N411="yes",1,0)*'Grading Scale'!E$11)+(IF(O411="yes",1,0)*'Grading Scale'!E$12)+(IF(P411="yes",1,0)*'Grading Scale'!E$13))/'Grading Scale'!E$14*100,0), "")</f>
        <v>40</v>
      </c>
      <c r="T411" s="6" t="str">
        <f>IF(ISNUMBER(S411),VLOOKUP(S411,'Grading Scale'!$A$2:$B$14, 2), "")</f>
        <v>F</v>
      </c>
      <c r="U411" s="7"/>
      <c r="V411" s="7"/>
      <c r="W411" s="7"/>
      <c r="X411" s="7"/>
      <c r="Y411" s="7"/>
      <c r="Z411" s="7"/>
      <c r="AA411" s="7"/>
      <c r="AB411" s="7"/>
      <c r="AC411" s="7"/>
      <c r="AD411" s="7"/>
      <c r="AE411" s="7"/>
      <c r="AF411" s="7"/>
      <c r="AG411" s="7"/>
      <c r="AH411" s="7"/>
      <c r="AI411" s="7"/>
      <c r="AJ411" s="7"/>
    </row>
    <row r="412">
      <c r="A412" s="4">
        <v>42410.0</v>
      </c>
      <c r="B412" s="5" t="s">
        <v>684</v>
      </c>
      <c r="C412" s="6" t="s">
        <v>37</v>
      </c>
      <c r="D412" s="6" t="str">
        <f>IF(NOT(ISBLANK(C412)), VLOOKUP(C412,'Dataset Descriptions'!$A$2:$B$10, 2, FALSE), "")</f>
        <v>Forecasts of municipal-level changes in population over coming years.</v>
      </c>
      <c r="E412" s="5" t="s">
        <v>25</v>
      </c>
      <c r="F412" s="5" t="s">
        <v>25</v>
      </c>
      <c r="G412" s="5" t="s">
        <v>25</v>
      </c>
      <c r="H412" s="5" t="s">
        <v>25</v>
      </c>
      <c r="I412" s="5" t="s">
        <v>25</v>
      </c>
      <c r="J412" s="5" t="s">
        <v>23</v>
      </c>
      <c r="K412" s="5" t="s">
        <v>23</v>
      </c>
      <c r="L412" s="5" t="s">
        <v>23</v>
      </c>
      <c r="M412" s="5" t="s">
        <v>25</v>
      </c>
      <c r="N412" s="5" t="s">
        <v>23</v>
      </c>
      <c r="O412" s="5" t="s">
        <v>23</v>
      </c>
      <c r="P412" s="5" t="s">
        <v>25</v>
      </c>
      <c r="Q412" s="25" t="s">
        <v>694</v>
      </c>
      <c r="R412" s="6" t="s">
        <v>695</v>
      </c>
      <c r="S412" s="6">
        <f>IF(NOT(ISBLANK(E412)), ROUND(((IF(E412="yes",1,0)*'Grading Scale'!E$2)+(IF(F412="yes",1,0)*'Grading Scale'!E$3)+(IF(G412="yes",1,0)*'Grading Scale'!E$4)+(IF(H412="yes",1,0)*'Grading Scale'!E$5)+(IF(I412="yes",1,0)*'Grading Scale'!E$6)+(IF(J412="yes",1,0)*'Grading Scale'!E$7)+(IF(K412="yes",1,0)*'Grading Scale'!E$8)+(IF(L412="yes",1,0)*'Grading Scale'!E$9)+(IF(M412="yes",1,0)*'Grading Scale'!E$10)+(IF(N412="yes",1,0)*'Grading Scale'!E$11)+(IF(O412="yes",1,0)*'Grading Scale'!E$12)+(IF(P412="yes",1,0)*'Grading Scale'!E$13))/'Grading Scale'!E$14*100,0), "")</f>
        <v>40</v>
      </c>
      <c r="T412" s="6" t="str">
        <f>IF(ISNUMBER(S412),VLOOKUP(S412,'Grading Scale'!$A$2:$B$14, 2), "")</f>
        <v>F</v>
      </c>
      <c r="U412" s="7"/>
      <c r="V412" s="7"/>
      <c r="W412" s="7"/>
      <c r="X412" s="7"/>
      <c r="Y412" s="7"/>
      <c r="Z412" s="7"/>
      <c r="AA412" s="7"/>
      <c r="AB412" s="7"/>
      <c r="AC412" s="7"/>
      <c r="AD412" s="7"/>
      <c r="AE412" s="7"/>
      <c r="AF412" s="7"/>
      <c r="AG412" s="7"/>
      <c r="AH412" s="7"/>
      <c r="AI412" s="7"/>
      <c r="AJ412" s="7"/>
    </row>
    <row r="413">
      <c r="A413" s="4">
        <v>42409.0</v>
      </c>
      <c r="B413" s="5" t="s">
        <v>684</v>
      </c>
      <c r="C413" s="5" t="s">
        <v>40</v>
      </c>
      <c r="D413" s="6" t="str">
        <f>IF(NOT(ISBLANK(C413)), VLOOKUP(C413,'Dataset Descriptions'!$A$2:$B$10, 2, FALSE), "")</f>
        <v>State-owned land and buildings.</v>
      </c>
      <c r="E413" s="5" t="s">
        <v>22</v>
      </c>
      <c r="F413" s="5" t="s">
        <v>22</v>
      </c>
      <c r="G413" s="5" t="s">
        <v>22</v>
      </c>
      <c r="H413" s="5" t="s">
        <v>22</v>
      </c>
      <c r="I413" s="5" t="s">
        <v>23</v>
      </c>
      <c r="J413" s="5" t="s">
        <v>22</v>
      </c>
      <c r="K413" s="5" t="s">
        <v>22</v>
      </c>
      <c r="L413" s="5" t="s">
        <v>22</v>
      </c>
      <c r="M413" s="5" t="s">
        <v>22</v>
      </c>
      <c r="N413" s="5" t="s">
        <v>23</v>
      </c>
      <c r="O413" s="5" t="s">
        <v>22</v>
      </c>
      <c r="P413" s="5" t="s">
        <v>22</v>
      </c>
      <c r="Q413" s="7"/>
      <c r="R413" s="6" t="s">
        <v>696</v>
      </c>
      <c r="S413" s="6">
        <f>IF(NOT(ISBLANK(E413)), ROUND(((IF(E413="yes",1,0)*'Grading Scale'!E$2)+(IF(F413="yes",1,0)*'Grading Scale'!E$3)+(IF(G413="yes",1,0)*'Grading Scale'!E$4)+(IF(H413="yes",1,0)*'Grading Scale'!E$5)+(IF(I413="yes",1,0)*'Grading Scale'!E$6)+(IF(J413="yes",1,0)*'Grading Scale'!E$7)+(IF(K413="yes",1,0)*'Grading Scale'!E$8)+(IF(L413="yes",1,0)*'Grading Scale'!E$9)+(IF(M413="yes",1,0)*'Grading Scale'!E$10)+(IF(N413="yes",1,0)*'Grading Scale'!E$11)+(IF(O413="yes",1,0)*'Grading Scale'!E$12)+(IF(P413="yes",1,0)*'Grading Scale'!E$13))/'Grading Scale'!E$14*100,0), "")</f>
        <v>0</v>
      </c>
      <c r="T413" s="6" t="str">
        <f>IF(ISNUMBER(S413),VLOOKUP(S413,'Grading Scale'!$A$2:$B$14, 2), "")</f>
        <v>F</v>
      </c>
      <c r="U413" s="7"/>
      <c r="V413" s="7"/>
      <c r="W413" s="7"/>
      <c r="X413" s="7"/>
      <c r="Y413" s="7"/>
      <c r="Z413" s="7"/>
      <c r="AA413" s="7"/>
      <c r="AB413" s="7"/>
      <c r="AC413" s="7"/>
      <c r="AD413" s="7"/>
      <c r="AE413" s="7"/>
      <c r="AF413" s="7"/>
      <c r="AG413" s="7"/>
      <c r="AH413" s="7"/>
      <c r="AI413" s="7"/>
      <c r="AJ413" s="7"/>
    </row>
    <row r="414">
      <c r="A414" s="4">
        <v>42410.0</v>
      </c>
      <c r="B414" s="5" t="s">
        <v>684</v>
      </c>
      <c r="C414" s="5" t="s">
        <v>43</v>
      </c>
      <c r="D414" s="6" t="str">
        <f>IF(NOT(ISBLANK(C414)), VLOOKUP(C414,'Dataset Descriptions'!$A$2:$B$10, 2, FALSE), "")</f>
        <v>Health inspections of establishments that serve food to the public.</v>
      </c>
      <c r="E414" s="5" t="s">
        <v>25</v>
      </c>
      <c r="F414" s="5" t="s">
        <v>25</v>
      </c>
      <c r="G414" s="5" t="s">
        <v>25</v>
      </c>
      <c r="H414" s="5" t="s">
        <v>25</v>
      </c>
      <c r="I414" s="5" t="s">
        <v>25</v>
      </c>
      <c r="J414" s="5" t="s">
        <v>23</v>
      </c>
      <c r="K414" s="5" t="s">
        <v>23</v>
      </c>
      <c r="L414" s="5" t="s">
        <v>23</v>
      </c>
      <c r="M414" s="5" t="s">
        <v>25</v>
      </c>
      <c r="N414" s="5" t="s">
        <v>23</v>
      </c>
      <c r="O414" s="5" t="s">
        <v>23</v>
      </c>
      <c r="P414" s="5" t="s">
        <v>25</v>
      </c>
      <c r="Q414" s="9" t="s">
        <v>697</v>
      </c>
      <c r="R414" s="8"/>
      <c r="S414" s="6">
        <f>IF(NOT(ISBLANK(E414)), ROUND(((IF(E414="yes",1,0)*'Grading Scale'!E$2)+(IF(F414="yes",1,0)*'Grading Scale'!E$3)+(IF(G414="yes",1,0)*'Grading Scale'!E$4)+(IF(H414="yes",1,0)*'Grading Scale'!E$5)+(IF(I414="yes",1,0)*'Grading Scale'!E$6)+(IF(J414="yes",1,0)*'Grading Scale'!E$7)+(IF(K414="yes",1,0)*'Grading Scale'!E$8)+(IF(L414="yes",1,0)*'Grading Scale'!E$9)+(IF(M414="yes",1,0)*'Grading Scale'!E$10)+(IF(N414="yes",1,0)*'Grading Scale'!E$11)+(IF(O414="yes",1,0)*'Grading Scale'!E$12)+(IF(P414="yes",1,0)*'Grading Scale'!E$13))/'Grading Scale'!E$14*100,0), "")</f>
        <v>40</v>
      </c>
      <c r="T414" s="6" t="str">
        <f>IF(ISNUMBER(S414),VLOOKUP(S414,'Grading Scale'!$A$2:$B$14, 2), "")</f>
        <v>F</v>
      </c>
      <c r="U414" s="7"/>
      <c r="V414" s="7"/>
      <c r="W414" s="7"/>
      <c r="X414" s="7"/>
      <c r="Y414" s="7"/>
      <c r="Z414" s="7"/>
      <c r="AA414" s="7"/>
      <c r="AB414" s="7"/>
      <c r="AC414" s="7"/>
      <c r="AD414" s="7"/>
      <c r="AE414" s="7"/>
      <c r="AF414" s="7"/>
      <c r="AG414" s="7"/>
      <c r="AH414" s="7"/>
      <c r="AI414" s="7"/>
      <c r="AJ414" s="7"/>
    </row>
    <row r="415">
      <c r="A415" s="4">
        <v>42410.0</v>
      </c>
      <c r="B415" s="5" t="s">
        <v>684</v>
      </c>
      <c r="C415" s="5" t="s">
        <v>46</v>
      </c>
      <c r="D415" s="6" t="str">
        <f>IF(NOT(ISBLANK(C415)), VLOOKUP(C415,'Dataset Descriptions'!$A$2:$B$10, 2, FALSE), "")</f>
        <v>Incident-level reportable motor vehicle crash records.</v>
      </c>
      <c r="E415" s="5" t="s">
        <v>25</v>
      </c>
      <c r="F415" s="5" t="s">
        <v>25</v>
      </c>
      <c r="G415" s="5" t="s">
        <v>25</v>
      </c>
      <c r="H415" s="5" t="s">
        <v>25</v>
      </c>
      <c r="I415" s="5" t="s">
        <v>25</v>
      </c>
      <c r="J415" s="5" t="s">
        <v>23</v>
      </c>
      <c r="K415" s="5" t="s">
        <v>23</v>
      </c>
      <c r="L415" s="5" t="s">
        <v>23</v>
      </c>
      <c r="M415" s="5" t="s">
        <v>25</v>
      </c>
      <c r="N415" s="5" t="s">
        <v>23</v>
      </c>
      <c r="O415" s="5" t="s">
        <v>23</v>
      </c>
      <c r="P415" s="5" t="s">
        <v>25</v>
      </c>
      <c r="Q415" s="9" t="s">
        <v>698</v>
      </c>
      <c r="R415" s="6" t="s">
        <v>699</v>
      </c>
      <c r="S415" s="6">
        <f>IF(NOT(ISBLANK(E415)), ROUND(((IF(E415="yes",1,0)*'Grading Scale'!E$2)+(IF(F415="yes",1,0)*'Grading Scale'!E$3)+(IF(G415="yes",1,0)*'Grading Scale'!E$4)+(IF(H415="yes",1,0)*'Grading Scale'!E$5)+(IF(I415="yes",1,0)*'Grading Scale'!E$6)+(IF(J415="yes",1,0)*'Grading Scale'!E$7)+(IF(K415="yes",1,0)*'Grading Scale'!E$8)+(IF(L415="yes",1,0)*'Grading Scale'!E$9)+(IF(M415="yes",1,0)*'Grading Scale'!E$10)+(IF(N415="yes",1,0)*'Grading Scale'!E$11)+(IF(O415="yes",1,0)*'Grading Scale'!E$12)+(IF(P415="yes",1,0)*'Grading Scale'!E$13))/'Grading Scale'!E$14*100,0), "")</f>
        <v>40</v>
      </c>
      <c r="T415" s="6" t="str">
        <f>IF(ISNUMBER(S415),VLOOKUP(S415,'Grading Scale'!$A$2:$B$14, 2), "")</f>
        <v>F</v>
      </c>
      <c r="U415" s="7"/>
      <c r="V415" s="7"/>
      <c r="W415" s="7"/>
      <c r="X415" s="7"/>
      <c r="Y415" s="7"/>
      <c r="Z415" s="7"/>
      <c r="AA415" s="7"/>
      <c r="AB415" s="7"/>
      <c r="AC415" s="7"/>
      <c r="AD415" s="7"/>
      <c r="AE415" s="7"/>
      <c r="AF415" s="7"/>
      <c r="AG415" s="7"/>
      <c r="AH415" s="7"/>
      <c r="AI415" s="7"/>
      <c r="AJ415" s="7"/>
    </row>
    <row r="416">
      <c r="A416" s="10">
        <v>42338.0</v>
      </c>
      <c r="B416" s="6" t="s">
        <v>700</v>
      </c>
      <c r="C416" s="6" t="s">
        <v>21</v>
      </c>
      <c r="D416" s="6" t="str">
        <f>IF(NOT(ISBLANK(C416)), VLOOKUP(C416,'Dataset Descriptions'!$A$2:$B$10, 2, FALSE), "")</f>
        <v>The geographic coordinates for physical addresses.</v>
      </c>
      <c r="E416" s="6" t="s">
        <v>25</v>
      </c>
      <c r="F416" s="6" t="s">
        <v>25</v>
      </c>
      <c r="G416" s="6" t="s">
        <v>25</v>
      </c>
      <c r="H416" s="6" t="s">
        <v>25</v>
      </c>
      <c r="I416" s="6" t="s">
        <v>25</v>
      </c>
      <c r="J416" s="6" t="s">
        <v>25</v>
      </c>
      <c r="K416" s="6" t="s">
        <v>25</v>
      </c>
      <c r="L416" s="6" t="s">
        <v>25</v>
      </c>
      <c r="M416" s="6" t="s">
        <v>25</v>
      </c>
      <c r="N416" s="6" t="s">
        <v>23</v>
      </c>
      <c r="O416" s="6" t="s">
        <v>23</v>
      </c>
      <c r="P416" s="6" t="s">
        <v>25</v>
      </c>
      <c r="Q416" s="15" t="s">
        <v>701</v>
      </c>
      <c r="R416" s="14" t="s">
        <v>702</v>
      </c>
      <c r="S416" s="6">
        <f>IF(NOT(ISBLANK(E416)), ROUND(((IF(E416="yes",1,0)*'Grading Scale'!E$2)+(IF(F416="yes",1,0)*'Grading Scale'!E$3)+(IF(G416="yes",1,0)*'Grading Scale'!E$4)+(IF(H416="yes",1,0)*'Grading Scale'!E$5)+(IF(I416="yes",1,0)*'Grading Scale'!E$6)+(IF(J416="yes",1,0)*'Grading Scale'!E$7)+(IF(K416="yes",1,0)*'Grading Scale'!E$8)+(IF(L416="yes",1,0)*'Grading Scale'!E$9)+(IF(M416="yes",1,0)*'Grading Scale'!E$10)+(IF(N416="yes",1,0)*'Grading Scale'!E$11)+(IF(O416="yes",1,0)*'Grading Scale'!E$12)+(IF(P416="yes",1,0)*'Grading Scale'!E$13))/'Grading Scale'!E$14*100,0), "")</f>
        <v>90</v>
      </c>
      <c r="T416" s="6" t="str">
        <f>IF(ISNUMBER(S416),VLOOKUP(S416,'Grading Scale'!$A$2:$B$14, 2), "")</f>
        <v>A−</v>
      </c>
      <c r="U416" s="7"/>
      <c r="V416" s="7"/>
      <c r="W416" s="7"/>
      <c r="X416" s="7"/>
      <c r="Y416" s="7"/>
      <c r="Z416" s="7"/>
      <c r="AA416" s="7"/>
      <c r="AB416" s="7"/>
      <c r="AC416" s="7"/>
      <c r="AD416" s="7"/>
      <c r="AE416" s="7"/>
      <c r="AF416" s="7"/>
      <c r="AG416" s="7"/>
      <c r="AH416" s="7"/>
      <c r="AI416" s="7"/>
      <c r="AJ416" s="7"/>
    </row>
    <row r="417">
      <c r="A417" s="10">
        <v>42338.0</v>
      </c>
      <c r="B417" s="6" t="s">
        <v>700</v>
      </c>
      <c r="C417" s="6" t="s">
        <v>24</v>
      </c>
      <c r="D417" s="6" t="str">
        <f>IF(NOT(ISBLANK(C417)), VLOOKUP(C417,'Dataset Descriptions'!$A$2:$B$10, 2, FALSE), "")</f>
        <v>Transaction-level, per-agency spending records.</v>
      </c>
      <c r="E417" s="6" t="s">
        <v>25</v>
      </c>
      <c r="F417" s="6" t="s">
        <v>25</v>
      </c>
      <c r="G417" s="6" t="s">
        <v>25</v>
      </c>
      <c r="H417" s="6" t="s">
        <v>25</v>
      </c>
      <c r="I417" s="6" t="s">
        <v>25</v>
      </c>
      <c r="J417" s="6" t="s">
        <v>23</v>
      </c>
      <c r="K417" s="6" t="s">
        <v>25</v>
      </c>
      <c r="L417" s="6" t="s">
        <v>25</v>
      </c>
      <c r="M417" s="6" t="s">
        <v>25</v>
      </c>
      <c r="N417" s="6" t="s">
        <v>25</v>
      </c>
      <c r="O417" s="6" t="s">
        <v>23</v>
      </c>
      <c r="P417" s="6" t="s">
        <v>23</v>
      </c>
      <c r="Q417" s="15" t="s">
        <v>703</v>
      </c>
      <c r="R417" s="14" t="s">
        <v>704</v>
      </c>
      <c r="S417" s="6">
        <f>IF(NOT(ISBLANK(E417)), ROUND(((IF(E417="yes",1,0)*'Grading Scale'!E$2)+(IF(F417="yes",1,0)*'Grading Scale'!E$3)+(IF(G417="yes",1,0)*'Grading Scale'!E$4)+(IF(H417="yes",1,0)*'Grading Scale'!E$5)+(IF(I417="yes",1,0)*'Grading Scale'!E$6)+(IF(J417="yes",1,0)*'Grading Scale'!E$7)+(IF(K417="yes",1,0)*'Grading Scale'!E$8)+(IF(L417="yes",1,0)*'Grading Scale'!E$9)+(IF(M417="yes",1,0)*'Grading Scale'!E$10)+(IF(N417="yes",1,0)*'Grading Scale'!E$11)+(IF(O417="yes",1,0)*'Grading Scale'!E$12)+(IF(P417="yes",1,0)*'Grading Scale'!E$13))/'Grading Scale'!E$14*100,0), "")</f>
        <v>50</v>
      </c>
      <c r="T417" s="6" t="str">
        <f>IF(ISNUMBER(S417),VLOOKUP(S417,'Grading Scale'!$A$2:$B$14, 2), "")</f>
        <v>F</v>
      </c>
      <c r="U417" s="7"/>
      <c r="V417" s="7"/>
      <c r="W417" s="7"/>
      <c r="X417" s="7"/>
      <c r="Y417" s="7"/>
      <c r="Z417" s="7"/>
      <c r="AA417" s="7"/>
      <c r="AB417" s="7"/>
      <c r="AC417" s="7"/>
      <c r="AD417" s="7"/>
      <c r="AE417" s="7"/>
      <c r="AF417" s="7"/>
      <c r="AG417" s="7"/>
      <c r="AH417" s="7"/>
      <c r="AI417" s="7"/>
      <c r="AJ417" s="7"/>
    </row>
    <row r="418">
      <c r="A418" s="10">
        <v>42587.0</v>
      </c>
      <c r="B418" s="6" t="s">
        <v>700</v>
      </c>
      <c r="C418" s="6" t="s">
        <v>28</v>
      </c>
      <c r="D418" s="6" t="str">
        <f>IF(NOT(ISBLANK(C418)), VLOOKUP(C418,'Dataset Descriptions'!$A$2:$B$10, 2, FALSE), "")</f>
        <v>The register of all corporations that exist in the state.</v>
      </c>
      <c r="E418" s="6" t="s">
        <v>25</v>
      </c>
      <c r="F418" s="6" t="s">
        <v>25</v>
      </c>
      <c r="G418" s="6" t="s">
        <v>25</v>
      </c>
      <c r="H418" s="6" t="s">
        <v>25</v>
      </c>
      <c r="I418" s="6" t="s">
        <v>25</v>
      </c>
      <c r="J418" s="6" t="s">
        <v>25</v>
      </c>
      <c r="K418" s="6" t="s">
        <v>25</v>
      </c>
      <c r="L418" s="6" t="s">
        <v>25</v>
      </c>
      <c r="M418" s="6" t="s">
        <v>25</v>
      </c>
      <c r="N418" s="6" t="s">
        <v>23</v>
      </c>
      <c r="O418" s="6" t="s">
        <v>25</v>
      </c>
      <c r="P418" s="6" t="s">
        <v>25</v>
      </c>
      <c r="Q418" s="15" t="s">
        <v>705</v>
      </c>
      <c r="R418" s="13" t="s">
        <v>706</v>
      </c>
      <c r="S418" s="6">
        <f>IF(NOT(ISBLANK(E418)), ROUND(((IF(E418="yes",1,0)*'Grading Scale'!E$2)+(IF(F418="yes",1,0)*'Grading Scale'!E$3)+(IF(G418="yes",1,0)*'Grading Scale'!E$4)+(IF(H418="yes",1,0)*'Grading Scale'!E$5)+(IF(I418="yes",1,0)*'Grading Scale'!E$6)+(IF(J418="yes",1,0)*'Grading Scale'!E$7)+(IF(K418="yes",1,0)*'Grading Scale'!E$8)+(IF(L418="yes",1,0)*'Grading Scale'!E$9)+(IF(M418="yes",1,0)*'Grading Scale'!E$10)+(IF(N418="yes",1,0)*'Grading Scale'!E$11)+(IF(O418="yes",1,0)*'Grading Scale'!E$12)+(IF(P418="yes",1,0)*'Grading Scale'!E$13))/'Grading Scale'!E$14*100,0), "")</f>
        <v>95</v>
      </c>
      <c r="T418" s="6" t="str">
        <f>IF(ISNUMBER(S418),VLOOKUP(S418,'Grading Scale'!$A$2:$B$14, 2), "")</f>
        <v>A</v>
      </c>
      <c r="U418" s="7"/>
      <c r="V418" s="7"/>
      <c r="W418" s="7"/>
      <c r="X418" s="7"/>
      <c r="Y418" s="7"/>
      <c r="Z418" s="7"/>
      <c r="AA418" s="7"/>
      <c r="AB418" s="7"/>
      <c r="AC418" s="7"/>
      <c r="AD418" s="7"/>
      <c r="AE418" s="7"/>
      <c r="AF418" s="7"/>
      <c r="AG418" s="7"/>
      <c r="AH418" s="7"/>
      <c r="AI418" s="7"/>
      <c r="AJ418" s="7"/>
    </row>
    <row r="419">
      <c r="A419" s="10">
        <v>42338.0</v>
      </c>
      <c r="B419" s="6" t="s">
        <v>700</v>
      </c>
      <c r="C419" s="6" t="s">
        <v>31</v>
      </c>
      <c r="D419" s="6" t="str">
        <f>IF(NOT(ISBLANK(C419)), VLOOKUP(C419,'Dataset Descriptions'!$A$2:$B$10, 2, FALSE), "")</f>
        <v>Per-facility inmate population records.</v>
      </c>
      <c r="E419" s="6" t="s">
        <v>25</v>
      </c>
      <c r="F419" s="6" t="s">
        <v>25</v>
      </c>
      <c r="G419" s="6" t="s">
        <v>25</v>
      </c>
      <c r="H419" s="6" t="s">
        <v>25</v>
      </c>
      <c r="I419" s="6" t="s">
        <v>25</v>
      </c>
      <c r="J419" s="6" t="s">
        <v>23</v>
      </c>
      <c r="K419" s="6" t="s">
        <v>23</v>
      </c>
      <c r="L419" s="6" t="s">
        <v>23</v>
      </c>
      <c r="M419" s="6" t="s">
        <v>25</v>
      </c>
      <c r="N419" s="6" t="s">
        <v>23</v>
      </c>
      <c r="O419" s="6" t="s">
        <v>23</v>
      </c>
      <c r="P419" s="6" t="s">
        <v>23</v>
      </c>
      <c r="Q419" s="15" t="s">
        <v>707</v>
      </c>
      <c r="R419" s="14" t="s">
        <v>708</v>
      </c>
      <c r="S419" s="6">
        <f>IF(NOT(ISBLANK(E419)), ROUND(((IF(E419="yes",1,0)*'Grading Scale'!E$2)+(IF(F419="yes",1,0)*'Grading Scale'!E$3)+(IF(G419="yes",1,0)*'Grading Scale'!E$4)+(IF(H419="yes",1,0)*'Grading Scale'!E$5)+(IF(I419="yes",1,0)*'Grading Scale'!E$6)+(IF(J419="yes",1,0)*'Grading Scale'!E$7)+(IF(K419="yes",1,0)*'Grading Scale'!E$8)+(IF(L419="yes",1,0)*'Grading Scale'!E$9)+(IF(M419="yes",1,0)*'Grading Scale'!E$10)+(IF(N419="yes",1,0)*'Grading Scale'!E$11)+(IF(O419="yes",1,0)*'Grading Scale'!E$12)+(IF(P419="yes",1,0)*'Grading Scale'!E$13))/'Grading Scale'!E$14*100,0), "")</f>
        <v>35</v>
      </c>
      <c r="T419" s="6" t="str">
        <f>IF(ISNUMBER(S419),VLOOKUP(S419,'Grading Scale'!$A$2:$B$14, 2), "")</f>
        <v>F</v>
      </c>
      <c r="U419" s="7"/>
      <c r="V419" s="7"/>
      <c r="W419" s="7"/>
      <c r="X419" s="7"/>
      <c r="Y419" s="7"/>
      <c r="Z419" s="7"/>
      <c r="AA419" s="7"/>
      <c r="AB419" s="7"/>
      <c r="AC419" s="7"/>
      <c r="AD419" s="7"/>
      <c r="AE419" s="7"/>
      <c r="AF419" s="7"/>
      <c r="AG419" s="7"/>
      <c r="AH419" s="7"/>
      <c r="AI419" s="7"/>
      <c r="AJ419" s="7"/>
    </row>
    <row r="420">
      <c r="A420" s="10">
        <v>42338.0</v>
      </c>
      <c r="B420" s="6" t="s">
        <v>700</v>
      </c>
      <c r="C420" s="6" t="s">
        <v>34</v>
      </c>
      <c r="D420" s="6" t="str">
        <f>IF(NOT(ISBLANK(C420)), VLOOKUP(C420,'Dataset Descriptions'!$A$2:$B$10, 2, FALSE), "")</f>
        <v>Bills before the legislature, and the legislators that comprise it.</v>
      </c>
      <c r="E420" s="6" t="s">
        <v>25</v>
      </c>
      <c r="F420" s="6" t="s">
        <v>25</v>
      </c>
      <c r="G420" s="6" t="s">
        <v>25</v>
      </c>
      <c r="H420" s="6" t="s">
        <v>25</v>
      </c>
      <c r="I420" s="6" t="s">
        <v>25</v>
      </c>
      <c r="J420" s="6" t="s">
        <v>25</v>
      </c>
      <c r="K420" s="6" t="s">
        <v>25</v>
      </c>
      <c r="L420" s="6" t="s">
        <v>25</v>
      </c>
      <c r="M420" s="6" t="s">
        <v>25</v>
      </c>
      <c r="N420" s="6" t="s">
        <v>23</v>
      </c>
      <c r="O420" s="6" t="s">
        <v>23</v>
      </c>
      <c r="P420" s="6" t="s">
        <v>25</v>
      </c>
      <c r="Q420" s="15" t="s">
        <v>709</v>
      </c>
      <c r="R420" s="14" t="s">
        <v>710</v>
      </c>
      <c r="S420" s="6">
        <f>IF(NOT(ISBLANK(E420)), ROUND(((IF(E420="yes",1,0)*'Grading Scale'!E$2)+(IF(F420="yes",1,0)*'Grading Scale'!E$3)+(IF(G420="yes",1,0)*'Grading Scale'!E$4)+(IF(H420="yes",1,0)*'Grading Scale'!E$5)+(IF(I420="yes",1,0)*'Grading Scale'!E$6)+(IF(J420="yes",1,0)*'Grading Scale'!E$7)+(IF(K420="yes",1,0)*'Grading Scale'!E$8)+(IF(L420="yes",1,0)*'Grading Scale'!E$9)+(IF(M420="yes",1,0)*'Grading Scale'!E$10)+(IF(N420="yes",1,0)*'Grading Scale'!E$11)+(IF(O420="yes",1,0)*'Grading Scale'!E$12)+(IF(P420="yes",1,0)*'Grading Scale'!E$13))/'Grading Scale'!E$14*100,0), "")</f>
        <v>90</v>
      </c>
      <c r="T420" s="6" t="str">
        <f>IF(ISNUMBER(S420),VLOOKUP(S420,'Grading Scale'!$A$2:$B$14, 2), "")</f>
        <v>A−</v>
      </c>
      <c r="U420" s="7"/>
      <c r="V420" s="7"/>
      <c r="W420" s="7"/>
      <c r="X420" s="7"/>
      <c r="Y420" s="7"/>
      <c r="Z420" s="7"/>
      <c r="AA420" s="7"/>
      <c r="AB420" s="7"/>
      <c r="AC420" s="7"/>
      <c r="AD420" s="7"/>
      <c r="AE420" s="7"/>
      <c r="AF420" s="7"/>
      <c r="AG420" s="7"/>
      <c r="AH420" s="7"/>
      <c r="AI420" s="7"/>
      <c r="AJ420" s="7"/>
    </row>
    <row r="421">
      <c r="A421" s="10">
        <v>43250.0</v>
      </c>
      <c r="B421" s="6" t="s">
        <v>700</v>
      </c>
      <c r="C421" s="6" t="s">
        <v>37</v>
      </c>
      <c r="D421" s="6" t="str">
        <f>IF(NOT(ISBLANK(C421)), VLOOKUP(C421,'Dataset Descriptions'!$A$2:$B$10, 2, FALSE), "")</f>
        <v>Forecasts of municipal-level changes in population over coming years.</v>
      </c>
      <c r="E421" s="6" t="s">
        <v>25</v>
      </c>
      <c r="F421" s="6" t="s">
        <v>25</v>
      </c>
      <c r="G421" s="6" t="s">
        <v>25</v>
      </c>
      <c r="H421" s="6" t="s">
        <v>25</v>
      </c>
      <c r="I421" s="6" t="s">
        <v>25</v>
      </c>
      <c r="J421" s="6" t="s">
        <v>25</v>
      </c>
      <c r="K421" s="6" t="s">
        <v>25</v>
      </c>
      <c r="L421" s="6" t="s">
        <v>25</v>
      </c>
      <c r="M421" s="6" t="s">
        <v>25</v>
      </c>
      <c r="N421" s="6" t="s">
        <v>23</v>
      </c>
      <c r="O421" s="6" t="s">
        <v>25</v>
      </c>
      <c r="P421" s="6" t="s">
        <v>25</v>
      </c>
      <c r="Q421" s="15" t="s">
        <v>711</v>
      </c>
      <c r="R421" s="11"/>
      <c r="S421" s="6">
        <f>IF(NOT(ISBLANK(E421)), ROUND(((IF(E421="yes",1,0)*'Grading Scale'!E$2)+(IF(F421="yes",1,0)*'Grading Scale'!E$3)+(IF(G421="yes",1,0)*'Grading Scale'!E$4)+(IF(H421="yes",1,0)*'Grading Scale'!E$5)+(IF(I421="yes",1,0)*'Grading Scale'!E$6)+(IF(J421="yes",1,0)*'Grading Scale'!E$7)+(IF(K421="yes",1,0)*'Grading Scale'!E$8)+(IF(L421="yes",1,0)*'Grading Scale'!E$9)+(IF(M421="yes",1,0)*'Grading Scale'!E$10)+(IF(N421="yes",1,0)*'Grading Scale'!E$11)+(IF(O421="yes",1,0)*'Grading Scale'!E$12)+(IF(P421="yes",1,0)*'Grading Scale'!E$13))/'Grading Scale'!E$14*100,0), "")</f>
        <v>95</v>
      </c>
      <c r="T421" s="6" t="str">
        <f>IF(ISNUMBER(S421),VLOOKUP(S421,'Grading Scale'!$A$2:$B$14, 2), "")</f>
        <v>A</v>
      </c>
      <c r="U421" s="7"/>
      <c r="V421" s="7"/>
      <c r="W421" s="7"/>
      <c r="X421" s="7"/>
      <c r="Y421" s="7"/>
      <c r="Z421" s="7"/>
      <c r="AA421" s="7"/>
      <c r="AB421" s="7"/>
      <c r="AC421" s="7"/>
      <c r="AD421" s="7"/>
      <c r="AE421" s="7"/>
      <c r="AF421" s="7"/>
      <c r="AG421" s="7"/>
      <c r="AH421" s="7"/>
      <c r="AI421" s="7"/>
      <c r="AJ421" s="7"/>
    </row>
    <row r="422">
      <c r="A422" s="10">
        <v>43250.0</v>
      </c>
      <c r="B422" s="6" t="s">
        <v>700</v>
      </c>
      <c r="C422" s="6" t="s">
        <v>40</v>
      </c>
      <c r="D422" s="6" t="str">
        <f>IF(NOT(ISBLANK(C422)), VLOOKUP(C422,'Dataset Descriptions'!$A$2:$B$10, 2, FALSE), "")</f>
        <v>State-owned land and buildings.</v>
      </c>
      <c r="E422" s="6" t="s">
        <v>25</v>
      </c>
      <c r="F422" s="6" t="s">
        <v>25</v>
      </c>
      <c r="G422" s="6" t="s">
        <v>25</v>
      </c>
      <c r="H422" s="6" t="s">
        <v>25</v>
      </c>
      <c r="I422" s="6" t="s">
        <v>25</v>
      </c>
      <c r="J422" s="6" t="s">
        <v>25</v>
      </c>
      <c r="K422" s="6" t="s">
        <v>25</v>
      </c>
      <c r="L422" s="6" t="s">
        <v>23</v>
      </c>
      <c r="M422" s="6" t="s">
        <v>23</v>
      </c>
      <c r="N422" s="6" t="s">
        <v>23</v>
      </c>
      <c r="O422" s="6" t="s">
        <v>25</v>
      </c>
      <c r="P422" s="6" t="s">
        <v>25</v>
      </c>
      <c r="Q422" s="15" t="s">
        <v>712</v>
      </c>
      <c r="R422" s="13" t="s">
        <v>713</v>
      </c>
      <c r="S422" s="6">
        <f>IF(NOT(ISBLANK(E422)), ROUND(((IF(E422="yes",1,0)*'Grading Scale'!E$2)+(IF(F422="yes",1,0)*'Grading Scale'!E$3)+(IF(G422="yes",1,0)*'Grading Scale'!E$4)+(IF(H422="yes",1,0)*'Grading Scale'!E$5)+(IF(I422="yes",1,0)*'Grading Scale'!E$6)+(IF(J422="yes",1,0)*'Grading Scale'!E$7)+(IF(K422="yes",1,0)*'Grading Scale'!E$8)+(IF(L422="yes",1,0)*'Grading Scale'!E$9)+(IF(M422="yes",1,0)*'Grading Scale'!E$10)+(IF(N422="yes",1,0)*'Grading Scale'!E$11)+(IF(O422="yes",1,0)*'Grading Scale'!E$12)+(IF(P422="yes",1,0)*'Grading Scale'!E$13))/'Grading Scale'!E$14*100,0), "")</f>
        <v>85</v>
      </c>
      <c r="T422" s="6" t="str">
        <f>IF(ISNUMBER(S422),VLOOKUP(S422,'Grading Scale'!$A$2:$B$14, 2), "")</f>
        <v>B</v>
      </c>
      <c r="U422" s="7"/>
      <c r="V422" s="7"/>
      <c r="W422" s="7"/>
      <c r="X422" s="7"/>
      <c r="Y422" s="7"/>
      <c r="Z422" s="7"/>
      <c r="AA422" s="7"/>
      <c r="AB422" s="7"/>
      <c r="AC422" s="7"/>
      <c r="AD422" s="7"/>
      <c r="AE422" s="7"/>
      <c r="AF422" s="7"/>
      <c r="AG422" s="7"/>
      <c r="AH422" s="7"/>
      <c r="AI422" s="7"/>
      <c r="AJ422" s="7"/>
    </row>
    <row r="423">
      <c r="A423" s="10">
        <v>42439.0</v>
      </c>
      <c r="B423" s="6" t="s">
        <v>700</v>
      </c>
      <c r="C423" s="6" t="s">
        <v>43</v>
      </c>
      <c r="D423" s="6" t="str">
        <f>IF(NOT(ISBLANK(C423)), VLOOKUP(C423,'Dataset Descriptions'!$A$2:$B$10, 2, FALSE), "")</f>
        <v>Health inspections of establishments that serve food to the public.</v>
      </c>
      <c r="E423" s="6" t="s">
        <v>25</v>
      </c>
      <c r="F423" s="6" t="s">
        <v>25</v>
      </c>
      <c r="G423" s="6" t="s">
        <v>25</v>
      </c>
      <c r="H423" s="6" t="s">
        <v>25</v>
      </c>
      <c r="I423" s="6" t="s">
        <v>25</v>
      </c>
      <c r="J423" s="6" t="s">
        <v>23</v>
      </c>
      <c r="K423" s="6" t="s">
        <v>23</v>
      </c>
      <c r="L423" s="6" t="s">
        <v>25</v>
      </c>
      <c r="M423" s="6" t="s">
        <v>25</v>
      </c>
      <c r="N423" s="6" t="s">
        <v>23</v>
      </c>
      <c r="O423" s="6" t="s">
        <v>23</v>
      </c>
      <c r="P423" s="6" t="s">
        <v>25</v>
      </c>
      <c r="Q423" s="15" t="s">
        <v>714</v>
      </c>
      <c r="R423" s="11"/>
      <c r="S423" s="6">
        <f>IF(NOT(ISBLANK(E423)), ROUND(((IF(E423="yes",1,0)*'Grading Scale'!E$2)+(IF(F423="yes",1,0)*'Grading Scale'!E$3)+(IF(G423="yes",1,0)*'Grading Scale'!E$4)+(IF(H423="yes",1,0)*'Grading Scale'!E$5)+(IF(I423="yes",1,0)*'Grading Scale'!E$6)+(IF(J423="yes",1,0)*'Grading Scale'!E$7)+(IF(K423="yes",1,0)*'Grading Scale'!E$8)+(IF(L423="yes",1,0)*'Grading Scale'!E$9)+(IF(M423="yes",1,0)*'Grading Scale'!E$10)+(IF(N423="yes",1,0)*'Grading Scale'!E$11)+(IF(O423="yes",1,0)*'Grading Scale'!E$12)+(IF(P423="yes",1,0)*'Grading Scale'!E$13))/'Grading Scale'!E$14*100,0), "")</f>
        <v>45</v>
      </c>
      <c r="T423" s="6" t="str">
        <f>IF(ISNUMBER(S423),VLOOKUP(S423,'Grading Scale'!$A$2:$B$14, 2), "")</f>
        <v>F</v>
      </c>
      <c r="U423" s="7"/>
      <c r="V423" s="7"/>
      <c r="W423" s="7"/>
      <c r="X423" s="7"/>
      <c r="Y423" s="7"/>
      <c r="Z423" s="7"/>
      <c r="AA423" s="7"/>
      <c r="AB423" s="7"/>
      <c r="AC423" s="7"/>
      <c r="AD423" s="7"/>
      <c r="AE423" s="7"/>
      <c r="AF423" s="7"/>
      <c r="AG423" s="7"/>
      <c r="AH423" s="7"/>
      <c r="AI423" s="7"/>
      <c r="AJ423" s="7"/>
    </row>
    <row r="424">
      <c r="A424" s="10">
        <v>42375.0</v>
      </c>
      <c r="B424" s="6" t="s">
        <v>700</v>
      </c>
      <c r="C424" s="6" t="s">
        <v>46</v>
      </c>
      <c r="D424" s="6" t="str">
        <f>IF(NOT(ISBLANK(C424)), VLOOKUP(C424,'Dataset Descriptions'!$A$2:$B$10, 2, FALSE), "")</f>
        <v>Incident-level reportable motor vehicle crash records.</v>
      </c>
      <c r="E424" s="6" t="s">
        <v>25</v>
      </c>
      <c r="F424" s="6" t="s">
        <v>25</v>
      </c>
      <c r="G424" s="6" t="s">
        <v>25</v>
      </c>
      <c r="H424" s="6" t="s">
        <v>25</v>
      </c>
      <c r="I424" s="6" t="s">
        <v>25</v>
      </c>
      <c r="J424" s="6" t="s">
        <v>25</v>
      </c>
      <c r="K424" s="6" t="s">
        <v>23</v>
      </c>
      <c r="L424" s="6" t="s">
        <v>23</v>
      </c>
      <c r="M424" s="6" t="s">
        <v>25</v>
      </c>
      <c r="N424" s="6" t="s">
        <v>23</v>
      </c>
      <c r="O424" s="6" t="s">
        <v>25</v>
      </c>
      <c r="P424" s="6" t="s">
        <v>23</v>
      </c>
      <c r="Q424" s="15" t="s">
        <v>715</v>
      </c>
      <c r="R424" s="13" t="s">
        <v>716</v>
      </c>
      <c r="S424" s="6">
        <f>IF(NOT(ISBLANK(E424)), ROUND(((IF(E424="yes",1,0)*'Grading Scale'!E$2)+(IF(F424="yes",1,0)*'Grading Scale'!E$3)+(IF(G424="yes",1,0)*'Grading Scale'!E$4)+(IF(H424="yes",1,0)*'Grading Scale'!E$5)+(IF(I424="yes",1,0)*'Grading Scale'!E$6)+(IF(J424="yes",1,0)*'Grading Scale'!E$7)+(IF(K424="yes",1,0)*'Grading Scale'!E$8)+(IF(L424="yes",1,0)*'Grading Scale'!E$9)+(IF(M424="yes",1,0)*'Grading Scale'!E$10)+(IF(N424="yes",1,0)*'Grading Scale'!E$11)+(IF(O424="yes",1,0)*'Grading Scale'!E$12)+(IF(P424="yes",1,0)*'Grading Scale'!E$13))/'Grading Scale'!E$14*100,0), "")</f>
        <v>80</v>
      </c>
      <c r="T424" s="6" t="str">
        <f>IF(ISNUMBER(S424),VLOOKUP(S424,'Grading Scale'!$A$2:$B$14, 2), "")</f>
        <v>B−</v>
      </c>
      <c r="U424" s="7"/>
      <c r="V424" s="7"/>
      <c r="W424" s="7"/>
      <c r="X424" s="7"/>
      <c r="Y424" s="7"/>
      <c r="Z424" s="7"/>
      <c r="AA424" s="7"/>
      <c r="AB424" s="7"/>
      <c r="AC424" s="7"/>
      <c r="AD424" s="7"/>
      <c r="AE424" s="7"/>
      <c r="AF424" s="7"/>
      <c r="AG424" s="7"/>
      <c r="AH424" s="7"/>
      <c r="AI424" s="7"/>
      <c r="AJ424" s="7"/>
    </row>
    <row r="425">
      <c r="A425" s="10">
        <v>43038.0</v>
      </c>
      <c r="B425" s="6" t="s">
        <v>717</v>
      </c>
      <c r="C425" s="6" t="s">
        <v>21</v>
      </c>
      <c r="D425" s="6" t="str">
        <f>IF(NOT(ISBLANK(C425)), VLOOKUP(C425,'Dataset Descriptions'!$A$2:$B$10, 2, FALSE), "")</f>
        <v>The geographic coordinates for physical addresses.</v>
      </c>
      <c r="E425" s="6" t="s">
        <v>25</v>
      </c>
      <c r="F425" s="6" t="s">
        <v>25</v>
      </c>
      <c r="G425" s="6" t="s">
        <v>23</v>
      </c>
      <c r="H425" s="6" t="s">
        <v>23</v>
      </c>
      <c r="I425" s="6" t="s">
        <v>25</v>
      </c>
      <c r="J425" s="6" t="s">
        <v>25</v>
      </c>
      <c r="K425" s="6" t="s">
        <v>23</v>
      </c>
      <c r="L425" s="6" t="s">
        <v>23</v>
      </c>
      <c r="M425" s="6" t="s">
        <v>22</v>
      </c>
      <c r="N425" s="6" t="s">
        <v>23</v>
      </c>
      <c r="O425" s="6" t="s">
        <v>25</v>
      </c>
      <c r="P425" s="6" t="s">
        <v>22</v>
      </c>
      <c r="Q425" s="15" t="s">
        <v>718</v>
      </c>
      <c r="R425" s="13" t="s">
        <v>719</v>
      </c>
      <c r="S425" s="6">
        <f>IF(NOT(ISBLANK(E425)), ROUND(((IF(E425="yes",1,0)*'Grading Scale'!E$2)+(IF(F425="yes",1,0)*'Grading Scale'!E$3)+(IF(G425="yes",1,0)*'Grading Scale'!E$4)+(IF(H425="yes",1,0)*'Grading Scale'!E$5)+(IF(I425="yes",1,0)*'Grading Scale'!E$6)+(IF(J425="yes",1,0)*'Grading Scale'!E$7)+(IF(K425="yes",1,0)*'Grading Scale'!E$8)+(IF(L425="yes",1,0)*'Grading Scale'!E$9)+(IF(M425="yes",1,0)*'Grading Scale'!E$10)+(IF(N425="yes",1,0)*'Grading Scale'!E$11)+(IF(O425="yes",1,0)*'Grading Scale'!E$12)+(IF(P425="yes",1,0)*'Grading Scale'!E$13))/'Grading Scale'!E$14*100,0), "")</f>
        <v>55</v>
      </c>
      <c r="T425" s="6" t="str">
        <f>IF(ISNUMBER(S425),VLOOKUP(S425,'Grading Scale'!$A$2:$B$14, 2), "")</f>
        <v>F</v>
      </c>
      <c r="U425" s="7"/>
      <c r="V425" s="7"/>
      <c r="W425" s="7"/>
      <c r="X425" s="7"/>
      <c r="Y425" s="7"/>
      <c r="Z425" s="7"/>
      <c r="AA425" s="7"/>
      <c r="AB425" s="7"/>
      <c r="AC425" s="7"/>
      <c r="AD425" s="7"/>
      <c r="AE425" s="7"/>
      <c r="AF425" s="7"/>
      <c r="AG425" s="7"/>
      <c r="AH425" s="7"/>
      <c r="AI425" s="7"/>
      <c r="AJ425" s="7"/>
    </row>
    <row r="426">
      <c r="A426" s="10">
        <v>42354.0</v>
      </c>
      <c r="B426" s="6" t="s">
        <v>717</v>
      </c>
      <c r="C426" s="6" t="s">
        <v>24</v>
      </c>
      <c r="D426" s="6" t="str">
        <f>IF(NOT(ISBLANK(C426)), VLOOKUP(C426,'Dataset Descriptions'!$A$2:$B$10, 2, FALSE), "")</f>
        <v>Transaction-level, per-agency spending records.</v>
      </c>
      <c r="E426" s="6" t="s">
        <v>25</v>
      </c>
      <c r="F426" s="6" t="s">
        <v>25</v>
      </c>
      <c r="G426" s="6" t="s">
        <v>25</v>
      </c>
      <c r="H426" s="6" t="s">
        <v>25</v>
      </c>
      <c r="I426" s="6" t="s">
        <v>25</v>
      </c>
      <c r="J426" s="6" t="s">
        <v>25</v>
      </c>
      <c r="K426" s="6" t="s">
        <v>25</v>
      </c>
      <c r="L426" s="6" t="s">
        <v>25</v>
      </c>
      <c r="M426" s="6" t="s">
        <v>25</v>
      </c>
      <c r="N426" s="6" t="s">
        <v>25</v>
      </c>
      <c r="O426" s="6" t="s">
        <v>25</v>
      </c>
      <c r="P426" s="6" t="s">
        <v>23</v>
      </c>
      <c r="Q426" s="15" t="s">
        <v>720</v>
      </c>
      <c r="R426" s="13" t="s">
        <v>721</v>
      </c>
      <c r="S426" s="6">
        <f>IF(NOT(ISBLANK(E426)), ROUND(((IF(E426="yes",1,0)*'Grading Scale'!E$2)+(IF(F426="yes",1,0)*'Grading Scale'!E$3)+(IF(G426="yes",1,0)*'Grading Scale'!E$4)+(IF(H426="yes",1,0)*'Grading Scale'!E$5)+(IF(I426="yes",1,0)*'Grading Scale'!E$6)+(IF(J426="yes",1,0)*'Grading Scale'!E$7)+(IF(K426="yes",1,0)*'Grading Scale'!E$8)+(IF(L426="yes",1,0)*'Grading Scale'!E$9)+(IF(M426="yes",1,0)*'Grading Scale'!E$10)+(IF(N426="yes",1,0)*'Grading Scale'!E$11)+(IF(O426="yes",1,0)*'Grading Scale'!E$12)+(IF(P426="yes",1,0)*'Grading Scale'!E$13))/'Grading Scale'!E$14*100,0), "")</f>
        <v>95</v>
      </c>
      <c r="T426" s="6" t="str">
        <f>IF(ISNUMBER(S426),VLOOKUP(S426,'Grading Scale'!$A$2:$B$14, 2), "")</f>
        <v>A</v>
      </c>
      <c r="U426" s="7"/>
      <c r="V426" s="7"/>
      <c r="W426" s="7"/>
      <c r="X426" s="7"/>
      <c r="Y426" s="7"/>
      <c r="Z426" s="7"/>
      <c r="AA426" s="7"/>
      <c r="AB426" s="7"/>
      <c r="AC426" s="7"/>
      <c r="AD426" s="7"/>
      <c r="AE426" s="7"/>
      <c r="AF426" s="7"/>
      <c r="AG426" s="7"/>
      <c r="AH426" s="7"/>
      <c r="AI426" s="7"/>
      <c r="AJ426" s="7"/>
    </row>
    <row r="427">
      <c r="A427" s="10">
        <v>42410.0</v>
      </c>
      <c r="B427" s="6" t="s">
        <v>717</v>
      </c>
      <c r="C427" s="6" t="s">
        <v>28</v>
      </c>
      <c r="D427" s="6" t="str">
        <f>IF(NOT(ISBLANK(C427)), VLOOKUP(C427,'Dataset Descriptions'!$A$2:$B$10, 2, FALSE), "")</f>
        <v>The register of all corporations that exist in the state.</v>
      </c>
      <c r="E427" s="6" t="s">
        <v>25</v>
      </c>
      <c r="F427" s="6" t="s">
        <v>25</v>
      </c>
      <c r="G427" s="6" t="s">
        <v>25</v>
      </c>
      <c r="H427" s="6" t="s">
        <v>25</v>
      </c>
      <c r="I427" s="6" t="s">
        <v>25</v>
      </c>
      <c r="J427" s="6" t="s">
        <v>25</v>
      </c>
      <c r="K427" s="6" t="s">
        <v>25</v>
      </c>
      <c r="L427" s="6" t="s">
        <v>25</v>
      </c>
      <c r="M427" s="6" t="s">
        <v>25</v>
      </c>
      <c r="N427" s="6" t="s">
        <v>25</v>
      </c>
      <c r="O427" s="6" t="s">
        <v>25</v>
      </c>
      <c r="P427" s="6" t="s">
        <v>25</v>
      </c>
      <c r="Q427" s="15" t="s">
        <v>722</v>
      </c>
      <c r="R427" s="13" t="s">
        <v>723</v>
      </c>
      <c r="S427" s="6">
        <f>IF(NOT(ISBLANK(E427)), ROUND(((IF(E427="yes",1,0)*'Grading Scale'!E$2)+(IF(F427="yes",1,0)*'Grading Scale'!E$3)+(IF(G427="yes",1,0)*'Grading Scale'!E$4)+(IF(H427="yes",1,0)*'Grading Scale'!E$5)+(IF(I427="yes",1,0)*'Grading Scale'!E$6)+(IF(J427="yes",1,0)*'Grading Scale'!E$7)+(IF(K427="yes",1,0)*'Grading Scale'!E$8)+(IF(L427="yes",1,0)*'Grading Scale'!E$9)+(IF(M427="yes",1,0)*'Grading Scale'!E$10)+(IF(N427="yes",1,0)*'Grading Scale'!E$11)+(IF(O427="yes",1,0)*'Grading Scale'!E$12)+(IF(P427="yes",1,0)*'Grading Scale'!E$13))/'Grading Scale'!E$14*100,0), "")</f>
        <v>100</v>
      </c>
      <c r="T427" s="6" t="str">
        <f>IF(ISNUMBER(S427),VLOOKUP(S427,'Grading Scale'!$A$2:$B$14, 2), "")</f>
        <v>A+</v>
      </c>
      <c r="U427" s="7"/>
      <c r="V427" s="7"/>
      <c r="W427" s="7"/>
      <c r="X427" s="7"/>
      <c r="Y427" s="7"/>
      <c r="Z427" s="7"/>
      <c r="AA427" s="7"/>
      <c r="AB427" s="7"/>
      <c r="AC427" s="7"/>
      <c r="AD427" s="7"/>
      <c r="AE427" s="7"/>
      <c r="AF427" s="7"/>
      <c r="AG427" s="7"/>
      <c r="AH427" s="7"/>
      <c r="AI427" s="7"/>
      <c r="AJ427" s="7"/>
    </row>
    <row r="428">
      <c r="A428" s="10">
        <v>42338.0</v>
      </c>
      <c r="B428" s="6" t="s">
        <v>717</v>
      </c>
      <c r="C428" s="6" t="s">
        <v>31</v>
      </c>
      <c r="D428" s="6" t="str">
        <f>IF(NOT(ISBLANK(C428)), VLOOKUP(C428,'Dataset Descriptions'!$A$2:$B$10, 2, FALSE), "")</f>
        <v>Per-facility inmate population records.</v>
      </c>
      <c r="E428" s="6" t="s">
        <v>25</v>
      </c>
      <c r="F428" s="6" t="s">
        <v>25</v>
      </c>
      <c r="G428" s="6" t="s">
        <v>25</v>
      </c>
      <c r="H428" s="6" t="s">
        <v>25</v>
      </c>
      <c r="I428" s="6" t="s">
        <v>25</v>
      </c>
      <c r="J428" s="6" t="s">
        <v>23</v>
      </c>
      <c r="K428" s="6" t="s">
        <v>23</v>
      </c>
      <c r="L428" s="6" t="s">
        <v>23</v>
      </c>
      <c r="M428" s="6" t="s">
        <v>25</v>
      </c>
      <c r="N428" s="6" t="s">
        <v>23</v>
      </c>
      <c r="O428" s="6" t="s">
        <v>23</v>
      </c>
      <c r="P428" s="6" t="s">
        <v>25</v>
      </c>
      <c r="Q428" s="15" t="s">
        <v>724</v>
      </c>
      <c r="R428" s="14" t="s">
        <v>725</v>
      </c>
      <c r="S428" s="6">
        <f>IF(NOT(ISBLANK(E428)), ROUND(((IF(E428="yes",1,0)*'Grading Scale'!E$2)+(IF(F428="yes",1,0)*'Grading Scale'!E$3)+(IF(G428="yes",1,0)*'Grading Scale'!E$4)+(IF(H428="yes",1,0)*'Grading Scale'!E$5)+(IF(I428="yes",1,0)*'Grading Scale'!E$6)+(IF(J428="yes",1,0)*'Grading Scale'!E$7)+(IF(K428="yes",1,0)*'Grading Scale'!E$8)+(IF(L428="yes",1,0)*'Grading Scale'!E$9)+(IF(M428="yes",1,0)*'Grading Scale'!E$10)+(IF(N428="yes",1,0)*'Grading Scale'!E$11)+(IF(O428="yes",1,0)*'Grading Scale'!E$12)+(IF(P428="yes",1,0)*'Grading Scale'!E$13))/'Grading Scale'!E$14*100,0), "")</f>
        <v>40</v>
      </c>
      <c r="T428" s="6" t="str">
        <f>IF(ISNUMBER(S428),VLOOKUP(S428,'Grading Scale'!$A$2:$B$14, 2), "")</f>
        <v>F</v>
      </c>
      <c r="U428" s="7"/>
      <c r="V428" s="7"/>
      <c r="W428" s="7"/>
      <c r="X428" s="7"/>
      <c r="Y428" s="7"/>
      <c r="Z428" s="7"/>
      <c r="AA428" s="7"/>
      <c r="AB428" s="7"/>
      <c r="AC428" s="7"/>
      <c r="AD428" s="7"/>
      <c r="AE428" s="7"/>
      <c r="AF428" s="7"/>
      <c r="AG428" s="7"/>
      <c r="AH428" s="7"/>
      <c r="AI428" s="7"/>
      <c r="AJ428" s="7"/>
    </row>
    <row r="429">
      <c r="A429" s="10">
        <v>42354.0</v>
      </c>
      <c r="B429" s="6" t="s">
        <v>717</v>
      </c>
      <c r="C429" s="6" t="s">
        <v>34</v>
      </c>
      <c r="D429" s="6" t="str">
        <f>IF(NOT(ISBLANK(C429)), VLOOKUP(C429,'Dataset Descriptions'!$A$2:$B$10, 2, FALSE), "")</f>
        <v>Bills before the legislature, and the legislators that comprise it.</v>
      </c>
      <c r="E429" s="6" t="s">
        <v>25</v>
      </c>
      <c r="F429" s="6" t="s">
        <v>25</v>
      </c>
      <c r="G429" s="6" t="s">
        <v>25</v>
      </c>
      <c r="H429" s="6" t="s">
        <v>25</v>
      </c>
      <c r="I429" s="6" t="s">
        <v>25</v>
      </c>
      <c r="J429" s="6" t="s">
        <v>25</v>
      </c>
      <c r="K429" s="6" t="s">
        <v>23</v>
      </c>
      <c r="L429" s="6" t="s">
        <v>25</v>
      </c>
      <c r="M429" s="6" t="s">
        <v>25</v>
      </c>
      <c r="N429" s="6" t="s">
        <v>25</v>
      </c>
      <c r="O429" s="6" t="s">
        <v>23</v>
      </c>
      <c r="P429" s="6" t="s">
        <v>25</v>
      </c>
      <c r="Q429" s="15" t="s">
        <v>726</v>
      </c>
      <c r="R429" s="14" t="s">
        <v>727</v>
      </c>
      <c r="S429" s="6">
        <f>IF(NOT(ISBLANK(E429)), ROUND(((IF(E429="yes",1,0)*'Grading Scale'!E$2)+(IF(F429="yes",1,0)*'Grading Scale'!E$3)+(IF(G429="yes",1,0)*'Grading Scale'!E$4)+(IF(H429="yes",1,0)*'Grading Scale'!E$5)+(IF(I429="yes",1,0)*'Grading Scale'!E$6)+(IF(J429="yes",1,0)*'Grading Scale'!E$7)+(IF(K429="yes",1,0)*'Grading Scale'!E$8)+(IF(L429="yes",1,0)*'Grading Scale'!E$9)+(IF(M429="yes",1,0)*'Grading Scale'!E$10)+(IF(N429="yes",1,0)*'Grading Scale'!E$11)+(IF(O429="yes",1,0)*'Grading Scale'!E$12)+(IF(P429="yes",1,0)*'Grading Scale'!E$13))/'Grading Scale'!E$14*100,0), "")</f>
        <v>90</v>
      </c>
      <c r="T429" s="6" t="str">
        <f>IF(ISNUMBER(S429),VLOOKUP(S429,'Grading Scale'!$A$2:$B$14, 2), "")</f>
        <v>A−</v>
      </c>
      <c r="U429" s="7"/>
      <c r="V429" s="7"/>
      <c r="W429" s="7"/>
      <c r="X429" s="7"/>
      <c r="Y429" s="7"/>
      <c r="Z429" s="7"/>
      <c r="AA429" s="7"/>
      <c r="AB429" s="7"/>
      <c r="AC429" s="7"/>
      <c r="AD429" s="7"/>
      <c r="AE429" s="7"/>
      <c r="AF429" s="7"/>
      <c r="AG429" s="7"/>
      <c r="AH429" s="7"/>
      <c r="AI429" s="7"/>
      <c r="AJ429" s="7"/>
    </row>
    <row r="430">
      <c r="A430" s="10">
        <v>42338.0</v>
      </c>
      <c r="B430" s="6" t="s">
        <v>717</v>
      </c>
      <c r="C430" s="6" t="s">
        <v>37</v>
      </c>
      <c r="D430" s="6" t="str">
        <f>IF(NOT(ISBLANK(C430)), VLOOKUP(C430,'Dataset Descriptions'!$A$2:$B$10, 2, FALSE), "")</f>
        <v>Forecasts of municipal-level changes in population over coming years.</v>
      </c>
      <c r="E430" s="6" t="s">
        <v>25</v>
      </c>
      <c r="F430" s="6" t="s">
        <v>25</v>
      </c>
      <c r="G430" s="6" t="s">
        <v>25</v>
      </c>
      <c r="H430" s="6" t="s">
        <v>25</v>
      </c>
      <c r="I430" s="6" t="s">
        <v>25</v>
      </c>
      <c r="J430" s="6" t="s">
        <v>25</v>
      </c>
      <c r="K430" s="6" t="s">
        <v>25</v>
      </c>
      <c r="L430" s="6" t="s">
        <v>23</v>
      </c>
      <c r="M430" s="6" t="s">
        <v>25</v>
      </c>
      <c r="N430" s="6" t="s">
        <v>23</v>
      </c>
      <c r="O430" s="6" t="s">
        <v>23</v>
      </c>
      <c r="P430" s="6" t="s">
        <v>23</v>
      </c>
      <c r="Q430" s="15" t="s">
        <v>728</v>
      </c>
      <c r="R430" s="14" t="s">
        <v>729</v>
      </c>
      <c r="S430" s="6">
        <f>IF(NOT(ISBLANK(E430)), ROUND(((IF(E430="yes",1,0)*'Grading Scale'!E$2)+(IF(F430="yes",1,0)*'Grading Scale'!E$3)+(IF(G430="yes",1,0)*'Grading Scale'!E$4)+(IF(H430="yes",1,0)*'Grading Scale'!E$5)+(IF(I430="yes",1,0)*'Grading Scale'!E$6)+(IF(J430="yes",1,0)*'Grading Scale'!E$7)+(IF(K430="yes",1,0)*'Grading Scale'!E$8)+(IF(L430="yes",1,0)*'Grading Scale'!E$9)+(IF(M430="yes",1,0)*'Grading Scale'!E$10)+(IF(N430="yes",1,0)*'Grading Scale'!E$11)+(IF(O430="yes",1,0)*'Grading Scale'!E$12)+(IF(P430="yes",1,0)*'Grading Scale'!E$13))/'Grading Scale'!E$14*100,0), "")</f>
        <v>80</v>
      </c>
      <c r="T430" s="6" t="str">
        <f>IF(ISNUMBER(S430),VLOOKUP(S430,'Grading Scale'!$A$2:$B$14, 2), "")</f>
        <v>B−</v>
      </c>
      <c r="U430" s="7"/>
      <c r="V430" s="7"/>
      <c r="W430" s="7"/>
      <c r="X430" s="7"/>
      <c r="Y430" s="7"/>
      <c r="Z430" s="7"/>
      <c r="AA430" s="7"/>
      <c r="AB430" s="7"/>
      <c r="AC430" s="7"/>
      <c r="AD430" s="7"/>
      <c r="AE430" s="7"/>
      <c r="AF430" s="7"/>
      <c r="AG430" s="7"/>
      <c r="AH430" s="7"/>
      <c r="AI430" s="7"/>
      <c r="AJ430" s="7"/>
    </row>
    <row r="431">
      <c r="A431" s="10">
        <v>42354.0</v>
      </c>
      <c r="B431" s="6" t="s">
        <v>717</v>
      </c>
      <c r="C431" s="6" t="s">
        <v>40</v>
      </c>
      <c r="D431" s="6" t="str">
        <f>IF(NOT(ISBLANK(C431)), VLOOKUP(C431,'Dataset Descriptions'!$A$2:$B$10, 2, FALSE), "")</f>
        <v>State-owned land and buildings.</v>
      </c>
      <c r="E431" s="6" t="s">
        <v>25</v>
      </c>
      <c r="F431" s="6" t="s">
        <v>25</v>
      </c>
      <c r="G431" s="6" t="s">
        <v>25</v>
      </c>
      <c r="H431" s="6" t="s">
        <v>25</v>
      </c>
      <c r="I431" s="6" t="s">
        <v>25</v>
      </c>
      <c r="J431" s="6" t="s">
        <v>25</v>
      </c>
      <c r="K431" s="6" t="s">
        <v>25</v>
      </c>
      <c r="L431" s="6" t="s">
        <v>23</v>
      </c>
      <c r="M431" s="6" t="s">
        <v>25</v>
      </c>
      <c r="N431" s="6" t="s">
        <v>25</v>
      </c>
      <c r="O431" s="6" t="s">
        <v>25</v>
      </c>
      <c r="P431" s="6" t="s">
        <v>23</v>
      </c>
      <c r="Q431" s="15" t="s">
        <v>730</v>
      </c>
      <c r="R431" s="13" t="s">
        <v>731</v>
      </c>
      <c r="S431" s="6">
        <f>IF(NOT(ISBLANK(E431)), ROUND(((IF(E431="yes",1,0)*'Grading Scale'!E$2)+(IF(F431="yes",1,0)*'Grading Scale'!E$3)+(IF(G431="yes",1,0)*'Grading Scale'!E$4)+(IF(H431="yes",1,0)*'Grading Scale'!E$5)+(IF(I431="yes",1,0)*'Grading Scale'!E$6)+(IF(J431="yes",1,0)*'Grading Scale'!E$7)+(IF(K431="yes",1,0)*'Grading Scale'!E$8)+(IF(L431="yes",1,0)*'Grading Scale'!E$9)+(IF(M431="yes",1,0)*'Grading Scale'!E$10)+(IF(N431="yes",1,0)*'Grading Scale'!E$11)+(IF(O431="yes",1,0)*'Grading Scale'!E$12)+(IF(P431="yes",1,0)*'Grading Scale'!E$13))/'Grading Scale'!E$14*100,0), "")</f>
        <v>90</v>
      </c>
      <c r="T431" s="6" t="str">
        <f>IF(ISNUMBER(S431),VLOOKUP(S431,'Grading Scale'!$A$2:$B$14, 2), "")</f>
        <v>A−</v>
      </c>
      <c r="U431" s="7"/>
      <c r="V431" s="7"/>
      <c r="W431" s="7"/>
      <c r="X431" s="7"/>
      <c r="Y431" s="7"/>
      <c r="Z431" s="7"/>
      <c r="AA431" s="7"/>
      <c r="AB431" s="7"/>
      <c r="AC431" s="7"/>
      <c r="AD431" s="7"/>
      <c r="AE431" s="7"/>
      <c r="AF431" s="7"/>
      <c r="AG431" s="7"/>
      <c r="AH431" s="7"/>
      <c r="AI431" s="7"/>
      <c r="AJ431" s="7"/>
    </row>
    <row r="432">
      <c r="A432" s="10">
        <v>43038.0</v>
      </c>
      <c r="B432" s="6" t="s">
        <v>717</v>
      </c>
      <c r="C432" s="6" t="s">
        <v>43</v>
      </c>
      <c r="D432" s="6" t="str">
        <f>IF(NOT(ISBLANK(C432)), VLOOKUP(C432,'Dataset Descriptions'!$A$2:$B$10, 2, FALSE), "")</f>
        <v>Health inspections of establishments that serve food to the public.</v>
      </c>
      <c r="E432" s="6" t="s">
        <v>25</v>
      </c>
      <c r="F432" s="6" t="s">
        <v>25</v>
      </c>
      <c r="G432" s="6" t="s">
        <v>25</v>
      </c>
      <c r="H432" s="6" t="s">
        <v>25</v>
      </c>
      <c r="I432" s="6" t="s">
        <v>25</v>
      </c>
      <c r="J432" s="6" t="s">
        <v>25</v>
      </c>
      <c r="K432" s="6" t="s">
        <v>23</v>
      </c>
      <c r="L432" s="6" t="s">
        <v>25</v>
      </c>
      <c r="M432" s="6" t="s">
        <v>25</v>
      </c>
      <c r="N432" s="6" t="s">
        <v>25</v>
      </c>
      <c r="O432" s="6" t="s">
        <v>23</v>
      </c>
      <c r="P432" s="6" t="s">
        <v>23</v>
      </c>
      <c r="Q432" s="15" t="s">
        <v>732</v>
      </c>
      <c r="R432" s="13" t="s">
        <v>733</v>
      </c>
      <c r="S432" s="6">
        <f>IF(NOT(ISBLANK(E432)), ROUND(((IF(E432="yes",1,0)*'Grading Scale'!E$2)+(IF(F432="yes",1,0)*'Grading Scale'!E$3)+(IF(G432="yes",1,0)*'Grading Scale'!E$4)+(IF(H432="yes",1,0)*'Grading Scale'!E$5)+(IF(I432="yes",1,0)*'Grading Scale'!E$6)+(IF(J432="yes",1,0)*'Grading Scale'!E$7)+(IF(K432="yes",1,0)*'Grading Scale'!E$8)+(IF(L432="yes",1,0)*'Grading Scale'!E$9)+(IF(M432="yes",1,0)*'Grading Scale'!E$10)+(IF(N432="yes",1,0)*'Grading Scale'!E$11)+(IF(O432="yes",1,0)*'Grading Scale'!E$12)+(IF(P432="yes",1,0)*'Grading Scale'!E$13))/'Grading Scale'!E$14*100,0), "")</f>
        <v>85</v>
      </c>
      <c r="T432" s="6" t="str">
        <f>IF(ISNUMBER(S432),VLOOKUP(S432,'Grading Scale'!$A$2:$B$14, 2), "")</f>
        <v>B</v>
      </c>
      <c r="U432" s="7"/>
      <c r="V432" s="7"/>
      <c r="W432" s="7"/>
      <c r="X432" s="7"/>
      <c r="Y432" s="7"/>
      <c r="Z432" s="7"/>
      <c r="AA432" s="7"/>
      <c r="AB432" s="7"/>
      <c r="AC432" s="7"/>
      <c r="AD432" s="7"/>
      <c r="AE432" s="7"/>
      <c r="AF432" s="7"/>
      <c r="AG432" s="7"/>
      <c r="AH432" s="7"/>
      <c r="AI432" s="7"/>
      <c r="AJ432" s="7"/>
    </row>
    <row r="433">
      <c r="A433" s="10">
        <v>42338.0</v>
      </c>
      <c r="B433" s="6" t="s">
        <v>717</v>
      </c>
      <c r="C433" s="6" t="s">
        <v>46</v>
      </c>
      <c r="D433" s="6" t="str">
        <f>IF(NOT(ISBLANK(C433)), VLOOKUP(C433,'Dataset Descriptions'!$A$2:$B$10, 2, FALSE), "")</f>
        <v>Incident-level reportable motor vehicle crash records.</v>
      </c>
      <c r="E433" s="6" t="s">
        <v>25</v>
      </c>
      <c r="F433" s="6" t="s">
        <v>25</v>
      </c>
      <c r="G433" s="6" t="s">
        <v>25</v>
      </c>
      <c r="H433" s="6" t="s">
        <v>25</v>
      </c>
      <c r="I433" s="6" t="s">
        <v>25</v>
      </c>
      <c r="J433" s="6" t="s">
        <v>25</v>
      </c>
      <c r="K433" s="6" t="s">
        <v>25</v>
      </c>
      <c r="L433" s="6" t="s">
        <v>23</v>
      </c>
      <c r="M433" s="6" t="s">
        <v>25</v>
      </c>
      <c r="N433" s="6" t="s">
        <v>23</v>
      </c>
      <c r="O433" s="6" t="s">
        <v>23</v>
      </c>
      <c r="P433" s="6" t="s">
        <v>23</v>
      </c>
      <c r="Q433" s="15" t="s">
        <v>734</v>
      </c>
      <c r="R433" s="14" t="s">
        <v>76</v>
      </c>
      <c r="S433" s="6">
        <f>IF(NOT(ISBLANK(E433)), ROUND(((IF(E433="yes",1,0)*'Grading Scale'!E$2)+(IF(F433="yes",1,0)*'Grading Scale'!E$3)+(IF(G433="yes",1,0)*'Grading Scale'!E$4)+(IF(H433="yes",1,0)*'Grading Scale'!E$5)+(IF(I433="yes",1,0)*'Grading Scale'!E$6)+(IF(J433="yes",1,0)*'Grading Scale'!E$7)+(IF(K433="yes",1,0)*'Grading Scale'!E$8)+(IF(L433="yes",1,0)*'Grading Scale'!E$9)+(IF(M433="yes",1,0)*'Grading Scale'!E$10)+(IF(N433="yes",1,0)*'Grading Scale'!E$11)+(IF(O433="yes",1,0)*'Grading Scale'!E$12)+(IF(P433="yes",1,0)*'Grading Scale'!E$13))/'Grading Scale'!E$14*100,0), "")</f>
        <v>80</v>
      </c>
      <c r="T433" s="6" t="str">
        <f>IF(ISNUMBER(S433),VLOOKUP(S433,'Grading Scale'!$A$2:$B$14, 2), "")</f>
        <v>B−</v>
      </c>
      <c r="U433" s="7"/>
      <c r="V433" s="7"/>
      <c r="W433" s="7"/>
      <c r="X433" s="7"/>
      <c r="Y433" s="7"/>
      <c r="Z433" s="7"/>
      <c r="AA433" s="7"/>
      <c r="AB433" s="7"/>
      <c r="AC433" s="7"/>
      <c r="AD433" s="7"/>
      <c r="AE433" s="7"/>
      <c r="AF433" s="7"/>
      <c r="AG433" s="7"/>
      <c r="AH433" s="7"/>
      <c r="AI433" s="7"/>
      <c r="AJ433" s="7"/>
    </row>
    <row r="434">
      <c r="A434" s="4">
        <v>42437.0</v>
      </c>
      <c r="B434" s="5" t="s">
        <v>735</v>
      </c>
      <c r="C434" s="5" t="s">
        <v>21</v>
      </c>
      <c r="D434" s="6" t="str">
        <f>IF(NOT(ISBLANK(C434)), VLOOKUP(C434,'Dataset Descriptions'!$A$2:$B$10, 2, FALSE), "")</f>
        <v>The geographic coordinates for physical addresses.</v>
      </c>
      <c r="E434" s="5" t="s">
        <v>25</v>
      </c>
      <c r="F434" s="5" t="s">
        <v>25</v>
      </c>
      <c r="G434" s="5" t="s">
        <v>25</v>
      </c>
      <c r="H434" s="5" t="s">
        <v>25</v>
      </c>
      <c r="I434" s="5" t="s">
        <v>25</v>
      </c>
      <c r="J434" s="5" t="s">
        <v>25</v>
      </c>
      <c r="K434" s="5" t="s">
        <v>25</v>
      </c>
      <c r="L434" s="5" t="s">
        <v>25</v>
      </c>
      <c r="M434" s="5" t="s">
        <v>25</v>
      </c>
      <c r="N434" s="5" t="s">
        <v>25</v>
      </c>
      <c r="O434" s="5" t="s">
        <v>25</v>
      </c>
      <c r="P434" s="5" t="s">
        <v>25</v>
      </c>
      <c r="Q434" s="9" t="s">
        <v>736</v>
      </c>
      <c r="R434" s="6" t="s">
        <v>79</v>
      </c>
      <c r="S434" s="6">
        <f>IF(NOT(ISBLANK(E434)), ROUND(((IF(E434="yes",1,0)*'Grading Scale'!E$2)+(IF(F434="yes",1,0)*'Grading Scale'!E$3)+(IF(G434="yes",1,0)*'Grading Scale'!E$4)+(IF(H434="yes",1,0)*'Grading Scale'!E$5)+(IF(I434="yes",1,0)*'Grading Scale'!E$6)+(IF(J434="yes",1,0)*'Grading Scale'!E$7)+(IF(K434="yes",1,0)*'Grading Scale'!E$8)+(IF(L434="yes",1,0)*'Grading Scale'!E$9)+(IF(M434="yes",1,0)*'Grading Scale'!E$10)+(IF(N434="yes",1,0)*'Grading Scale'!E$11)+(IF(O434="yes",1,0)*'Grading Scale'!E$12)+(IF(P434="yes",1,0)*'Grading Scale'!E$13))/'Grading Scale'!E$14*100,0), "")</f>
        <v>100</v>
      </c>
      <c r="T434" s="6" t="str">
        <f>IF(ISNUMBER(S434),VLOOKUP(S434,'Grading Scale'!$A$2:$B$14, 2), "")</f>
        <v>A+</v>
      </c>
      <c r="U434" s="7"/>
      <c r="V434" s="7"/>
      <c r="W434" s="7"/>
      <c r="X434" s="7"/>
      <c r="Y434" s="7"/>
      <c r="Z434" s="7"/>
      <c r="AA434" s="7"/>
      <c r="AB434" s="7"/>
      <c r="AC434" s="7"/>
      <c r="AD434" s="7"/>
      <c r="AE434" s="7"/>
      <c r="AF434" s="7"/>
      <c r="AG434" s="7"/>
      <c r="AH434" s="7"/>
      <c r="AI434" s="7"/>
      <c r="AJ434" s="7"/>
    </row>
    <row r="435">
      <c r="A435" s="4">
        <v>42436.0</v>
      </c>
      <c r="B435" s="5" t="s">
        <v>735</v>
      </c>
      <c r="C435" s="5" t="s">
        <v>24</v>
      </c>
      <c r="D435" s="6" t="str">
        <f>IF(NOT(ISBLANK(C435)), VLOOKUP(C435,'Dataset Descriptions'!$A$2:$B$10, 2, FALSE), "")</f>
        <v>Transaction-level, per-agency spending records.</v>
      </c>
      <c r="E435" s="5" t="s">
        <v>25</v>
      </c>
      <c r="F435" s="5" t="s">
        <v>25</v>
      </c>
      <c r="G435" s="5" t="s">
        <v>25</v>
      </c>
      <c r="H435" s="5" t="s">
        <v>25</v>
      </c>
      <c r="I435" s="5" t="s">
        <v>25</v>
      </c>
      <c r="J435" s="5" t="s">
        <v>25</v>
      </c>
      <c r="K435" s="5" t="s">
        <v>25</v>
      </c>
      <c r="L435" s="5" t="s">
        <v>25</v>
      </c>
      <c r="M435" s="5" t="s">
        <v>23</v>
      </c>
      <c r="N435" s="5" t="s">
        <v>25</v>
      </c>
      <c r="O435" s="5" t="s">
        <v>23</v>
      </c>
      <c r="P435" s="5" t="s">
        <v>23</v>
      </c>
      <c r="Q435" s="9" t="s">
        <v>737</v>
      </c>
      <c r="R435" s="6" t="s">
        <v>738</v>
      </c>
      <c r="S435" s="6">
        <f>IF(NOT(ISBLANK(E435)), ROUND(((IF(E435="yes",1,0)*'Grading Scale'!E$2)+(IF(F435="yes",1,0)*'Grading Scale'!E$3)+(IF(G435="yes",1,0)*'Grading Scale'!E$4)+(IF(H435="yes",1,0)*'Grading Scale'!E$5)+(IF(I435="yes",1,0)*'Grading Scale'!E$6)+(IF(J435="yes",1,0)*'Grading Scale'!E$7)+(IF(K435="yes",1,0)*'Grading Scale'!E$8)+(IF(L435="yes",1,0)*'Grading Scale'!E$9)+(IF(M435="yes",1,0)*'Grading Scale'!E$10)+(IF(N435="yes",1,0)*'Grading Scale'!E$11)+(IF(O435="yes",1,0)*'Grading Scale'!E$12)+(IF(P435="yes",1,0)*'Grading Scale'!E$13))/'Grading Scale'!E$14*100,0), "")</f>
        <v>85</v>
      </c>
      <c r="T435" s="6" t="str">
        <f>IF(ISNUMBER(S435),VLOOKUP(S435,'Grading Scale'!$A$2:$B$14, 2), "")</f>
        <v>B</v>
      </c>
      <c r="U435" s="7"/>
      <c r="V435" s="7"/>
      <c r="W435" s="7"/>
      <c r="X435" s="7"/>
      <c r="Y435" s="7"/>
      <c r="Z435" s="7"/>
      <c r="AA435" s="7"/>
      <c r="AB435" s="7"/>
      <c r="AC435" s="7"/>
      <c r="AD435" s="7"/>
      <c r="AE435" s="7"/>
      <c r="AF435" s="7"/>
      <c r="AG435" s="7"/>
      <c r="AH435" s="7"/>
      <c r="AI435" s="7"/>
      <c r="AJ435" s="7"/>
    </row>
    <row r="436">
      <c r="A436" s="4">
        <v>42409.0</v>
      </c>
      <c r="B436" s="5" t="s">
        <v>735</v>
      </c>
      <c r="C436" s="5" t="s">
        <v>28</v>
      </c>
      <c r="D436" s="6" t="str">
        <f>IF(NOT(ISBLANK(C436)), VLOOKUP(C436,'Dataset Descriptions'!$A$2:$B$10, 2, FALSE), "")</f>
        <v>The register of all corporations that exist in the state.</v>
      </c>
      <c r="E436" s="5" t="s">
        <v>25</v>
      </c>
      <c r="F436" s="5" t="s">
        <v>25</v>
      </c>
      <c r="G436" s="5" t="s">
        <v>25</v>
      </c>
      <c r="H436" s="5" t="s">
        <v>25</v>
      </c>
      <c r="I436" s="5" t="s">
        <v>25</v>
      </c>
      <c r="J436" s="5" t="s">
        <v>25</v>
      </c>
      <c r="K436" s="5" t="s">
        <v>25</v>
      </c>
      <c r="L436" s="5" t="s">
        <v>25</v>
      </c>
      <c r="M436" s="5" t="s">
        <v>22</v>
      </c>
      <c r="N436" s="5" t="s">
        <v>23</v>
      </c>
      <c r="O436" s="5" t="s">
        <v>25</v>
      </c>
      <c r="P436" s="5" t="s">
        <v>23</v>
      </c>
      <c r="Q436" s="9" t="s">
        <v>739</v>
      </c>
      <c r="R436" s="6" t="s">
        <v>740</v>
      </c>
      <c r="S436" s="6">
        <f>IF(NOT(ISBLANK(E436)), ROUND(((IF(E436="yes",1,0)*'Grading Scale'!E$2)+(IF(F436="yes",1,0)*'Grading Scale'!E$3)+(IF(G436="yes",1,0)*'Grading Scale'!E$4)+(IF(H436="yes",1,0)*'Grading Scale'!E$5)+(IF(I436="yes",1,0)*'Grading Scale'!E$6)+(IF(J436="yes",1,0)*'Grading Scale'!E$7)+(IF(K436="yes",1,0)*'Grading Scale'!E$8)+(IF(L436="yes",1,0)*'Grading Scale'!E$9)+(IF(M436="yes",1,0)*'Grading Scale'!E$10)+(IF(N436="yes",1,0)*'Grading Scale'!E$11)+(IF(O436="yes",1,0)*'Grading Scale'!E$12)+(IF(P436="yes",1,0)*'Grading Scale'!E$13))/'Grading Scale'!E$14*100,0), "")</f>
        <v>85</v>
      </c>
      <c r="T436" s="6" t="str">
        <f>IF(ISNUMBER(S436),VLOOKUP(S436,'Grading Scale'!$A$2:$B$14, 2), "")</f>
        <v>B</v>
      </c>
      <c r="U436" s="7"/>
      <c r="V436" s="7"/>
      <c r="W436" s="7"/>
      <c r="X436" s="7"/>
      <c r="Y436" s="7"/>
      <c r="Z436" s="7"/>
      <c r="AA436" s="7"/>
      <c r="AB436" s="7"/>
      <c r="AC436" s="7"/>
      <c r="AD436" s="7"/>
      <c r="AE436" s="7"/>
      <c r="AF436" s="7"/>
      <c r="AG436" s="7"/>
      <c r="AH436" s="7"/>
      <c r="AI436" s="7"/>
      <c r="AJ436" s="7"/>
    </row>
    <row r="437">
      <c r="A437" s="4">
        <v>42409.0</v>
      </c>
      <c r="B437" s="5" t="s">
        <v>735</v>
      </c>
      <c r="C437" s="5" t="s">
        <v>31</v>
      </c>
      <c r="D437" s="6" t="str">
        <f>IF(NOT(ISBLANK(C437)), VLOOKUP(C437,'Dataset Descriptions'!$A$2:$B$10, 2, FALSE), "")</f>
        <v>Per-facility inmate population records.</v>
      </c>
      <c r="E437" s="5" t="s">
        <v>25</v>
      </c>
      <c r="F437" s="5" t="s">
        <v>25</v>
      </c>
      <c r="G437" s="5" t="s">
        <v>25</v>
      </c>
      <c r="H437" s="5" t="s">
        <v>25</v>
      </c>
      <c r="I437" s="5" t="s">
        <v>25</v>
      </c>
      <c r="J437" s="5" t="s">
        <v>23</v>
      </c>
      <c r="K437" s="5" t="s">
        <v>23</v>
      </c>
      <c r="L437" s="5" t="s">
        <v>25</v>
      </c>
      <c r="M437" s="5" t="s">
        <v>25</v>
      </c>
      <c r="N437" s="5" t="s">
        <v>23</v>
      </c>
      <c r="O437" s="5" t="s">
        <v>23</v>
      </c>
      <c r="P437" s="5" t="s">
        <v>23</v>
      </c>
      <c r="Q437" s="9" t="s">
        <v>741</v>
      </c>
      <c r="R437" s="6" t="s">
        <v>742</v>
      </c>
      <c r="S437" s="6">
        <f>IF(NOT(ISBLANK(E437)), ROUND(((IF(E437="yes",1,0)*'Grading Scale'!E$2)+(IF(F437="yes",1,0)*'Grading Scale'!E$3)+(IF(G437="yes",1,0)*'Grading Scale'!E$4)+(IF(H437="yes",1,0)*'Grading Scale'!E$5)+(IF(I437="yes",1,0)*'Grading Scale'!E$6)+(IF(J437="yes",1,0)*'Grading Scale'!E$7)+(IF(K437="yes",1,0)*'Grading Scale'!E$8)+(IF(L437="yes",1,0)*'Grading Scale'!E$9)+(IF(M437="yes",1,0)*'Grading Scale'!E$10)+(IF(N437="yes",1,0)*'Grading Scale'!E$11)+(IF(O437="yes",1,0)*'Grading Scale'!E$12)+(IF(P437="yes",1,0)*'Grading Scale'!E$13))/'Grading Scale'!E$14*100,0), "")</f>
        <v>40</v>
      </c>
      <c r="T437" s="6" t="str">
        <f>IF(ISNUMBER(S437),VLOOKUP(S437,'Grading Scale'!$A$2:$B$14, 2), "")</f>
        <v>F</v>
      </c>
      <c r="U437" s="7"/>
      <c r="V437" s="7"/>
      <c r="W437" s="7"/>
      <c r="X437" s="7"/>
      <c r="Y437" s="7"/>
      <c r="Z437" s="7"/>
      <c r="AA437" s="7"/>
      <c r="AB437" s="7"/>
      <c r="AC437" s="7"/>
      <c r="AD437" s="7"/>
      <c r="AE437" s="7"/>
      <c r="AF437" s="7"/>
      <c r="AG437" s="7"/>
      <c r="AH437" s="7"/>
      <c r="AI437" s="7"/>
      <c r="AJ437" s="7"/>
    </row>
    <row r="438">
      <c r="A438" s="4">
        <v>42409.0</v>
      </c>
      <c r="B438" s="5" t="s">
        <v>735</v>
      </c>
      <c r="C438" s="5" t="s">
        <v>34</v>
      </c>
      <c r="D438" s="6" t="str">
        <f>IF(NOT(ISBLANK(C438)), VLOOKUP(C438,'Dataset Descriptions'!$A$2:$B$10, 2, FALSE), "")</f>
        <v>Bills before the legislature, and the legislators that comprise it.</v>
      </c>
      <c r="E438" s="5" t="s">
        <v>25</v>
      </c>
      <c r="F438" s="5" t="s">
        <v>25</v>
      </c>
      <c r="G438" s="5" t="s">
        <v>25</v>
      </c>
      <c r="H438" s="5" t="s">
        <v>25</v>
      </c>
      <c r="I438" s="5" t="s">
        <v>25</v>
      </c>
      <c r="J438" s="5" t="s">
        <v>25</v>
      </c>
      <c r="K438" s="5" t="s">
        <v>25</v>
      </c>
      <c r="L438" s="5" t="s">
        <v>23</v>
      </c>
      <c r="M438" s="5" t="s">
        <v>25</v>
      </c>
      <c r="N438" s="5" t="s">
        <v>25</v>
      </c>
      <c r="O438" s="5" t="s">
        <v>23</v>
      </c>
      <c r="P438" s="5" t="s">
        <v>25</v>
      </c>
      <c r="Q438" s="9" t="s">
        <v>743</v>
      </c>
      <c r="R438" s="6" t="s">
        <v>744</v>
      </c>
      <c r="S438" s="6">
        <f>IF(NOT(ISBLANK(E438)), ROUND(((IF(E438="yes",1,0)*'Grading Scale'!E$2)+(IF(F438="yes",1,0)*'Grading Scale'!E$3)+(IF(G438="yes",1,0)*'Grading Scale'!E$4)+(IF(H438="yes",1,0)*'Grading Scale'!E$5)+(IF(I438="yes",1,0)*'Grading Scale'!E$6)+(IF(J438="yes",1,0)*'Grading Scale'!E$7)+(IF(K438="yes",1,0)*'Grading Scale'!E$8)+(IF(L438="yes",1,0)*'Grading Scale'!E$9)+(IF(M438="yes",1,0)*'Grading Scale'!E$10)+(IF(N438="yes",1,0)*'Grading Scale'!E$11)+(IF(O438="yes",1,0)*'Grading Scale'!E$12)+(IF(P438="yes",1,0)*'Grading Scale'!E$13))/'Grading Scale'!E$14*100,0), "")</f>
        <v>90</v>
      </c>
      <c r="T438" s="6" t="str">
        <f>IF(ISNUMBER(S438),VLOOKUP(S438,'Grading Scale'!$A$2:$B$14, 2), "")</f>
        <v>A−</v>
      </c>
      <c r="U438" s="7"/>
      <c r="V438" s="7"/>
      <c r="W438" s="7"/>
      <c r="X438" s="7"/>
      <c r="Y438" s="7"/>
      <c r="Z438" s="7"/>
      <c r="AA438" s="7"/>
      <c r="AB438" s="7"/>
      <c r="AC438" s="7"/>
      <c r="AD438" s="7"/>
      <c r="AE438" s="7"/>
      <c r="AF438" s="7"/>
      <c r="AG438" s="7"/>
      <c r="AH438" s="7"/>
      <c r="AI438" s="7"/>
      <c r="AJ438" s="7"/>
    </row>
    <row r="439">
      <c r="A439" s="4">
        <v>42409.0</v>
      </c>
      <c r="B439" s="5" t="s">
        <v>735</v>
      </c>
      <c r="C439" s="6" t="s">
        <v>37</v>
      </c>
      <c r="D439" s="6" t="str">
        <f>IF(NOT(ISBLANK(C439)), VLOOKUP(C439,'Dataset Descriptions'!$A$2:$B$10, 2, FALSE), "")</f>
        <v>Forecasts of municipal-level changes in population over coming years.</v>
      </c>
      <c r="E439" s="5" t="s">
        <v>25</v>
      </c>
      <c r="F439" s="5" t="s">
        <v>25</v>
      </c>
      <c r="G439" s="5" t="s">
        <v>25</v>
      </c>
      <c r="H439" s="5" t="s">
        <v>25</v>
      </c>
      <c r="I439" s="5" t="s">
        <v>25</v>
      </c>
      <c r="J439" s="5" t="s">
        <v>25</v>
      </c>
      <c r="K439" s="5" t="s">
        <v>23</v>
      </c>
      <c r="L439" s="5" t="s">
        <v>25</v>
      </c>
      <c r="M439" s="5" t="s">
        <v>25</v>
      </c>
      <c r="N439" s="5" t="s">
        <v>23</v>
      </c>
      <c r="O439" s="5" t="s">
        <v>23</v>
      </c>
      <c r="P439" s="5" t="s">
        <v>25</v>
      </c>
      <c r="Q439" s="9" t="s">
        <v>745</v>
      </c>
      <c r="R439" s="8"/>
      <c r="S439" s="6">
        <f>IF(NOT(ISBLANK(E439)), ROUND(((IF(E439="yes",1,0)*'Grading Scale'!E$2)+(IF(F439="yes",1,0)*'Grading Scale'!E$3)+(IF(G439="yes",1,0)*'Grading Scale'!E$4)+(IF(H439="yes",1,0)*'Grading Scale'!E$5)+(IF(I439="yes",1,0)*'Grading Scale'!E$6)+(IF(J439="yes",1,0)*'Grading Scale'!E$7)+(IF(K439="yes",1,0)*'Grading Scale'!E$8)+(IF(L439="yes",1,0)*'Grading Scale'!E$9)+(IF(M439="yes",1,0)*'Grading Scale'!E$10)+(IF(N439="yes",1,0)*'Grading Scale'!E$11)+(IF(O439="yes",1,0)*'Grading Scale'!E$12)+(IF(P439="yes",1,0)*'Grading Scale'!E$13))/'Grading Scale'!E$14*100,0), "")</f>
        <v>85</v>
      </c>
      <c r="T439" s="6" t="str">
        <f>IF(ISNUMBER(S439),VLOOKUP(S439,'Grading Scale'!$A$2:$B$14, 2), "")</f>
        <v>B</v>
      </c>
      <c r="U439" s="7"/>
      <c r="V439" s="7"/>
      <c r="W439" s="7"/>
      <c r="X439" s="7"/>
      <c r="Y439" s="7"/>
      <c r="Z439" s="7"/>
      <c r="AA439" s="7"/>
      <c r="AB439" s="7"/>
      <c r="AC439" s="7"/>
      <c r="AD439" s="7"/>
      <c r="AE439" s="7"/>
      <c r="AF439" s="7"/>
      <c r="AG439" s="7"/>
      <c r="AH439" s="7"/>
      <c r="AI439" s="7"/>
      <c r="AJ439" s="7"/>
    </row>
    <row r="440">
      <c r="A440" s="4">
        <v>42437.0</v>
      </c>
      <c r="B440" s="5" t="s">
        <v>735</v>
      </c>
      <c r="C440" s="5" t="s">
        <v>40</v>
      </c>
      <c r="D440" s="6" t="str">
        <f>IF(NOT(ISBLANK(C440)), VLOOKUP(C440,'Dataset Descriptions'!$A$2:$B$10, 2, FALSE), "")</f>
        <v>State-owned land and buildings.</v>
      </c>
      <c r="E440" s="5" t="s">
        <v>25</v>
      </c>
      <c r="F440" s="5" t="s">
        <v>25</v>
      </c>
      <c r="G440" s="5" t="s">
        <v>25</v>
      </c>
      <c r="H440" s="5" t="s">
        <v>25</v>
      </c>
      <c r="I440" s="5" t="s">
        <v>25</v>
      </c>
      <c r="J440" s="5" t="s">
        <v>25</v>
      </c>
      <c r="K440" s="5" t="s">
        <v>25</v>
      </c>
      <c r="L440" s="5" t="s">
        <v>25</v>
      </c>
      <c r="M440" s="5" t="s">
        <v>22</v>
      </c>
      <c r="N440" s="5" t="s">
        <v>25</v>
      </c>
      <c r="O440" s="5" t="s">
        <v>23</v>
      </c>
      <c r="P440" s="5" t="s">
        <v>25</v>
      </c>
      <c r="Q440" s="9" t="s">
        <v>746</v>
      </c>
      <c r="R440" s="8"/>
      <c r="S440" s="6">
        <f>IF(NOT(ISBLANK(E440)), ROUND(((IF(E440="yes",1,0)*'Grading Scale'!E$2)+(IF(F440="yes",1,0)*'Grading Scale'!E$3)+(IF(G440="yes",1,0)*'Grading Scale'!E$4)+(IF(H440="yes",1,0)*'Grading Scale'!E$5)+(IF(I440="yes",1,0)*'Grading Scale'!E$6)+(IF(J440="yes",1,0)*'Grading Scale'!E$7)+(IF(K440="yes",1,0)*'Grading Scale'!E$8)+(IF(L440="yes",1,0)*'Grading Scale'!E$9)+(IF(M440="yes",1,0)*'Grading Scale'!E$10)+(IF(N440="yes",1,0)*'Grading Scale'!E$11)+(IF(O440="yes",1,0)*'Grading Scale'!E$12)+(IF(P440="yes",1,0)*'Grading Scale'!E$13))/'Grading Scale'!E$14*100,0), "")</f>
        <v>90</v>
      </c>
      <c r="T440" s="6" t="str">
        <f>IF(ISNUMBER(S440),VLOOKUP(S440,'Grading Scale'!$A$2:$B$14, 2), "")</f>
        <v>A−</v>
      </c>
      <c r="U440" s="7"/>
      <c r="V440" s="7"/>
      <c r="W440" s="7"/>
      <c r="X440" s="7"/>
      <c r="Y440" s="7"/>
      <c r="Z440" s="7"/>
      <c r="AA440" s="7"/>
      <c r="AB440" s="7"/>
      <c r="AC440" s="7"/>
      <c r="AD440" s="7"/>
      <c r="AE440" s="7"/>
      <c r="AF440" s="7"/>
      <c r="AG440" s="7"/>
      <c r="AH440" s="7"/>
      <c r="AI440" s="7"/>
      <c r="AJ440" s="7"/>
    </row>
    <row r="441">
      <c r="A441" s="4">
        <v>42433.0</v>
      </c>
      <c r="B441" s="5" t="s">
        <v>735</v>
      </c>
      <c r="C441" s="5" t="s">
        <v>43</v>
      </c>
      <c r="D441" s="6" t="str">
        <f>IF(NOT(ISBLANK(C441)), VLOOKUP(C441,'Dataset Descriptions'!$A$2:$B$10, 2, FALSE), "")</f>
        <v>Health inspections of establishments that serve food to the public.</v>
      </c>
      <c r="E441" s="5" t="s">
        <v>25</v>
      </c>
      <c r="F441" s="5" t="s">
        <v>25</v>
      </c>
      <c r="G441" s="5" t="s">
        <v>25</v>
      </c>
      <c r="H441" s="5" t="s">
        <v>25</v>
      </c>
      <c r="I441" s="5" t="s">
        <v>25</v>
      </c>
      <c r="J441" s="5" t="s">
        <v>23</v>
      </c>
      <c r="K441" s="5" t="s">
        <v>23</v>
      </c>
      <c r="L441" s="5" t="s">
        <v>23</v>
      </c>
      <c r="M441" s="5" t="s">
        <v>25</v>
      </c>
      <c r="N441" s="5" t="s">
        <v>23</v>
      </c>
      <c r="O441" s="5" t="s">
        <v>23</v>
      </c>
      <c r="P441" s="5" t="s">
        <v>25</v>
      </c>
      <c r="Q441" s="9" t="s">
        <v>747</v>
      </c>
      <c r="R441" s="8"/>
      <c r="S441" s="6">
        <f>IF(NOT(ISBLANK(E441)), ROUND(((IF(E441="yes",1,0)*'Grading Scale'!E$2)+(IF(F441="yes",1,0)*'Grading Scale'!E$3)+(IF(G441="yes",1,0)*'Grading Scale'!E$4)+(IF(H441="yes",1,0)*'Grading Scale'!E$5)+(IF(I441="yes",1,0)*'Grading Scale'!E$6)+(IF(J441="yes",1,0)*'Grading Scale'!E$7)+(IF(K441="yes",1,0)*'Grading Scale'!E$8)+(IF(L441="yes",1,0)*'Grading Scale'!E$9)+(IF(M441="yes",1,0)*'Grading Scale'!E$10)+(IF(N441="yes",1,0)*'Grading Scale'!E$11)+(IF(O441="yes",1,0)*'Grading Scale'!E$12)+(IF(P441="yes",1,0)*'Grading Scale'!E$13))/'Grading Scale'!E$14*100,0), "")</f>
        <v>40</v>
      </c>
      <c r="T441" s="6" t="str">
        <f>IF(ISNUMBER(S441),VLOOKUP(S441,'Grading Scale'!$A$2:$B$14, 2), "")</f>
        <v>F</v>
      </c>
      <c r="U441" s="7"/>
      <c r="V441" s="7"/>
      <c r="W441" s="7"/>
      <c r="X441" s="7"/>
      <c r="Y441" s="7"/>
      <c r="Z441" s="7"/>
      <c r="AA441" s="7"/>
      <c r="AB441" s="7"/>
      <c r="AC441" s="7"/>
      <c r="AD441" s="7"/>
      <c r="AE441" s="7"/>
      <c r="AF441" s="7"/>
      <c r="AG441" s="7"/>
      <c r="AH441" s="7"/>
      <c r="AI441" s="7"/>
      <c r="AJ441" s="7"/>
    </row>
    <row r="442">
      <c r="A442" s="4">
        <v>42412.0</v>
      </c>
      <c r="B442" s="5" t="s">
        <v>735</v>
      </c>
      <c r="C442" s="5" t="s">
        <v>46</v>
      </c>
      <c r="D442" s="6" t="str">
        <f>IF(NOT(ISBLANK(C442)), VLOOKUP(C442,'Dataset Descriptions'!$A$2:$B$10, 2, FALSE), "")</f>
        <v>Incident-level reportable motor vehicle crash records.</v>
      </c>
      <c r="E442" s="5" t="s">
        <v>25</v>
      </c>
      <c r="F442" s="5" t="s">
        <v>25</v>
      </c>
      <c r="G442" s="5" t="s">
        <v>25</v>
      </c>
      <c r="H442" s="5" t="s">
        <v>25</v>
      </c>
      <c r="I442" s="5" t="s">
        <v>25</v>
      </c>
      <c r="J442" s="5" t="s">
        <v>25</v>
      </c>
      <c r="K442" s="5" t="s">
        <v>25</v>
      </c>
      <c r="L442" s="5" t="s">
        <v>25</v>
      </c>
      <c r="M442" s="5" t="s">
        <v>23</v>
      </c>
      <c r="N442" s="5" t="s">
        <v>25</v>
      </c>
      <c r="O442" s="5" t="s">
        <v>23</v>
      </c>
      <c r="P442" s="5" t="s">
        <v>23</v>
      </c>
      <c r="Q442" s="9" t="s">
        <v>748</v>
      </c>
      <c r="R442" s="6" t="s">
        <v>749</v>
      </c>
      <c r="S442" s="6">
        <f>IF(NOT(ISBLANK(E442)), ROUND(((IF(E442="yes",1,0)*'Grading Scale'!E$2)+(IF(F442="yes",1,0)*'Grading Scale'!E$3)+(IF(G442="yes",1,0)*'Grading Scale'!E$4)+(IF(H442="yes",1,0)*'Grading Scale'!E$5)+(IF(I442="yes",1,0)*'Grading Scale'!E$6)+(IF(J442="yes",1,0)*'Grading Scale'!E$7)+(IF(K442="yes",1,0)*'Grading Scale'!E$8)+(IF(L442="yes",1,0)*'Grading Scale'!E$9)+(IF(M442="yes",1,0)*'Grading Scale'!E$10)+(IF(N442="yes",1,0)*'Grading Scale'!E$11)+(IF(O442="yes",1,0)*'Grading Scale'!E$12)+(IF(P442="yes",1,0)*'Grading Scale'!E$13))/'Grading Scale'!E$14*100,0), "")</f>
        <v>85</v>
      </c>
      <c r="T442" s="6" t="str">
        <f>IF(ISNUMBER(S442),VLOOKUP(S442,'Grading Scale'!$A$2:$B$14, 2), "")</f>
        <v>B</v>
      </c>
      <c r="U442" s="7"/>
      <c r="V442" s="7"/>
      <c r="W442" s="7"/>
      <c r="X442" s="7"/>
      <c r="Y442" s="7"/>
      <c r="Z442" s="7"/>
      <c r="AA442" s="7"/>
      <c r="AB442" s="7"/>
      <c r="AC442" s="7"/>
      <c r="AD442" s="7"/>
      <c r="AE442" s="7"/>
      <c r="AF442" s="7"/>
      <c r="AG442" s="7"/>
      <c r="AH442" s="7"/>
      <c r="AI442" s="7"/>
      <c r="AJ442" s="7"/>
    </row>
    <row r="443">
      <c r="A443" s="4">
        <v>42394.0</v>
      </c>
      <c r="B443" s="5" t="s">
        <v>750</v>
      </c>
      <c r="C443" s="5" t="s">
        <v>21</v>
      </c>
      <c r="D443" s="6" t="str">
        <f>IF(NOT(ISBLANK(C443)), VLOOKUP(C443,'Dataset Descriptions'!$A$2:$B$10, 2, FALSE), "")</f>
        <v>The geographic coordinates for physical addresses.</v>
      </c>
      <c r="E443" s="5" t="s">
        <v>25</v>
      </c>
      <c r="F443" s="5" t="s">
        <v>25</v>
      </c>
      <c r="G443" s="5" t="s">
        <v>25</v>
      </c>
      <c r="H443" s="5" t="s">
        <v>25</v>
      </c>
      <c r="I443" s="5" t="s">
        <v>25</v>
      </c>
      <c r="J443" s="5" t="s">
        <v>25</v>
      </c>
      <c r="K443" s="5" t="s">
        <v>25</v>
      </c>
      <c r="L443" s="5" t="s">
        <v>23</v>
      </c>
      <c r="M443" s="5" t="s">
        <v>25</v>
      </c>
      <c r="N443" s="5" t="s">
        <v>23</v>
      </c>
      <c r="O443" s="5" t="s">
        <v>23</v>
      </c>
      <c r="P443" s="5" t="s">
        <v>25</v>
      </c>
      <c r="Q443" s="9" t="s">
        <v>751</v>
      </c>
      <c r="R443" s="8"/>
      <c r="S443" s="6">
        <f>IF(NOT(ISBLANK(E443)), ROUND(((IF(E443="yes",1,0)*'Grading Scale'!E$2)+(IF(F443="yes",1,0)*'Grading Scale'!E$3)+(IF(G443="yes",1,0)*'Grading Scale'!E$4)+(IF(H443="yes",1,0)*'Grading Scale'!E$5)+(IF(I443="yes",1,0)*'Grading Scale'!E$6)+(IF(J443="yes",1,0)*'Grading Scale'!E$7)+(IF(K443="yes",1,0)*'Grading Scale'!E$8)+(IF(L443="yes",1,0)*'Grading Scale'!E$9)+(IF(M443="yes",1,0)*'Grading Scale'!E$10)+(IF(N443="yes",1,0)*'Grading Scale'!E$11)+(IF(O443="yes",1,0)*'Grading Scale'!E$12)+(IF(P443="yes",1,0)*'Grading Scale'!E$13))/'Grading Scale'!E$14*100,0), "")</f>
        <v>85</v>
      </c>
      <c r="T443" s="6" t="str">
        <f>IF(ISNUMBER(S443),VLOOKUP(S443,'Grading Scale'!$A$2:$B$14, 2), "")</f>
        <v>B</v>
      </c>
      <c r="U443" s="7"/>
      <c r="V443" s="7"/>
      <c r="W443" s="7"/>
      <c r="X443" s="7"/>
      <c r="Y443" s="7"/>
      <c r="Z443" s="7"/>
      <c r="AA443" s="7"/>
      <c r="AB443" s="7"/>
      <c r="AC443" s="7"/>
      <c r="AD443" s="7"/>
      <c r="AE443" s="7"/>
      <c r="AF443" s="7"/>
      <c r="AG443" s="7"/>
      <c r="AH443" s="7"/>
      <c r="AI443" s="7"/>
      <c r="AJ443" s="7"/>
    </row>
    <row r="444">
      <c r="A444" s="4">
        <v>42394.0</v>
      </c>
      <c r="B444" s="5" t="s">
        <v>750</v>
      </c>
      <c r="C444" s="5" t="s">
        <v>24</v>
      </c>
      <c r="D444" s="6" t="str">
        <f>IF(NOT(ISBLANK(C444)), VLOOKUP(C444,'Dataset Descriptions'!$A$2:$B$10, 2, FALSE), "")</f>
        <v>Transaction-level, per-agency spending records.</v>
      </c>
      <c r="E444" s="5" t="s">
        <v>23</v>
      </c>
      <c r="F444" s="5" t="s">
        <v>23</v>
      </c>
      <c r="G444" s="5" t="s">
        <v>23</v>
      </c>
      <c r="H444" s="5" t="s">
        <v>23</v>
      </c>
      <c r="I444" s="5" t="s">
        <v>23</v>
      </c>
      <c r="J444" s="5" t="s">
        <v>23</v>
      </c>
      <c r="K444" s="5" t="s">
        <v>23</v>
      </c>
      <c r="L444" s="5" t="s">
        <v>23</v>
      </c>
      <c r="M444" s="5" t="s">
        <v>23</v>
      </c>
      <c r="N444" s="5" t="s">
        <v>23</v>
      </c>
      <c r="O444" s="5" t="s">
        <v>23</v>
      </c>
      <c r="P444" s="5" t="s">
        <v>23</v>
      </c>
      <c r="Q444" s="9" t="s">
        <v>752</v>
      </c>
      <c r="R444" s="6" t="s">
        <v>753</v>
      </c>
      <c r="S444" s="6">
        <f>IF(NOT(ISBLANK(E444)), ROUND(((IF(E444="yes",1,0)*'Grading Scale'!E$2)+(IF(F444="yes",1,0)*'Grading Scale'!E$3)+(IF(G444="yes",1,0)*'Grading Scale'!E$4)+(IF(H444="yes",1,0)*'Grading Scale'!E$5)+(IF(I444="yes",1,0)*'Grading Scale'!E$6)+(IF(J444="yes",1,0)*'Grading Scale'!E$7)+(IF(K444="yes",1,0)*'Grading Scale'!E$8)+(IF(L444="yes",1,0)*'Grading Scale'!E$9)+(IF(M444="yes",1,0)*'Grading Scale'!E$10)+(IF(N444="yes",1,0)*'Grading Scale'!E$11)+(IF(O444="yes",1,0)*'Grading Scale'!E$12)+(IF(P444="yes",1,0)*'Grading Scale'!E$13))/'Grading Scale'!E$14*100,0), "")</f>
        <v>0</v>
      </c>
      <c r="T444" s="6" t="str">
        <f>IF(ISNUMBER(S444),VLOOKUP(S444,'Grading Scale'!$A$2:$B$14, 2), "")</f>
        <v>F</v>
      </c>
      <c r="U444" s="7"/>
      <c r="V444" s="7"/>
      <c r="W444" s="7"/>
      <c r="X444" s="7"/>
      <c r="Y444" s="7"/>
      <c r="Z444" s="7"/>
      <c r="AA444" s="7"/>
      <c r="AB444" s="7"/>
      <c r="AC444" s="7"/>
      <c r="AD444" s="7"/>
      <c r="AE444" s="7"/>
      <c r="AF444" s="7"/>
      <c r="AG444" s="7"/>
      <c r="AH444" s="7"/>
      <c r="AI444" s="7"/>
      <c r="AJ444" s="7"/>
    </row>
    <row r="445">
      <c r="A445" s="4">
        <v>42394.0</v>
      </c>
      <c r="B445" s="5" t="s">
        <v>750</v>
      </c>
      <c r="C445" s="5" t="s">
        <v>28</v>
      </c>
      <c r="D445" s="6" t="str">
        <f>IF(NOT(ISBLANK(C445)), VLOOKUP(C445,'Dataset Descriptions'!$A$2:$B$10, 2, FALSE), "")</f>
        <v>The register of all corporations that exist in the state.</v>
      </c>
      <c r="E445" s="5" t="s">
        <v>25</v>
      </c>
      <c r="F445" s="5" t="s">
        <v>25</v>
      </c>
      <c r="G445" s="5" t="s">
        <v>25</v>
      </c>
      <c r="H445" s="5" t="s">
        <v>23</v>
      </c>
      <c r="I445" s="5" t="s">
        <v>25</v>
      </c>
      <c r="J445" s="5" t="s">
        <v>25</v>
      </c>
      <c r="K445" s="5" t="s">
        <v>23</v>
      </c>
      <c r="L445" s="5" t="s">
        <v>23</v>
      </c>
      <c r="M445" s="5" t="s">
        <v>25</v>
      </c>
      <c r="N445" s="5" t="s">
        <v>23</v>
      </c>
      <c r="O445" s="5" t="s">
        <v>25</v>
      </c>
      <c r="P445" s="5" t="s">
        <v>25</v>
      </c>
      <c r="Q445" s="9" t="s">
        <v>754</v>
      </c>
      <c r="R445" s="6" t="s">
        <v>755</v>
      </c>
      <c r="S445" s="6">
        <f>IF(NOT(ISBLANK(E445)), ROUND(((IF(E445="yes",1,0)*'Grading Scale'!E$2)+(IF(F445="yes",1,0)*'Grading Scale'!E$3)+(IF(G445="yes",1,0)*'Grading Scale'!E$4)+(IF(H445="yes",1,0)*'Grading Scale'!E$5)+(IF(I445="yes",1,0)*'Grading Scale'!E$6)+(IF(J445="yes",1,0)*'Grading Scale'!E$7)+(IF(K445="yes",1,0)*'Grading Scale'!E$8)+(IF(L445="yes",1,0)*'Grading Scale'!E$9)+(IF(M445="yes",1,0)*'Grading Scale'!E$10)+(IF(N445="yes",1,0)*'Grading Scale'!E$11)+(IF(O445="yes",1,0)*'Grading Scale'!E$12)+(IF(P445="yes",1,0)*'Grading Scale'!E$13))/'Grading Scale'!E$14*100,0), "")</f>
        <v>70</v>
      </c>
      <c r="T445" s="6" t="str">
        <f>IF(ISNUMBER(S445),VLOOKUP(S445,'Grading Scale'!$A$2:$B$14, 2), "")</f>
        <v>C−</v>
      </c>
      <c r="U445" s="7"/>
      <c r="V445" s="7"/>
      <c r="W445" s="7"/>
      <c r="X445" s="7"/>
      <c r="Y445" s="7"/>
      <c r="Z445" s="7"/>
      <c r="AA445" s="7"/>
      <c r="AB445" s="7"/>
      <c r="AC445" s="7"/>
      <c r="AD445" s="7"/>
      <c r="AE445" s="7"/>
      <c r="AF445" s="7"/>
      <c r="AG445" s="7"/>
      <c r="AH445" s="7"/>
      <c r="AI445" s="7"/>
      <c r="AJ445" s="7"/>
    </row>
    <row r="446">
      <c r="A446" s="4">
        <v>42394.0</v>
      </c>
      <c r="B446" s="5" t="s">
        <v>750</v>
      </c>
      <c r="C446" s="5" t="s">
        <v>31</v>
      </c>
      <c r="D446" s="6" t="str">
        <f>IF(NOT(ISBLANK(C446)), VLOOKUP(C446,'Dataset Descriptions'!$A$2:$B$10, 2, FALSE), "")</f>
        <v>Per-facility inmate population records.</v>
      </c>
      <c r="E446" s="5" t="s">
        <v>22</v>
      </c>
      <c r="F446" s="5" t="s">
        <v>22</v>
      </c>
      <c r="G446" s="5" t="s">
        <v>22</v>
      </c>
      <c r="H446" s="5" t="s">
        <v>22</v>
      </c>
      <c r="I446" s="5" t="s">
        <v>23</v>
      </c>
      <c r="J446" s="5" t="s">
        <v>22</v>
      </c>
      <c r="K446" s="5" t="s">
        <v>22</v>
      </c>
      <c r="L446" s="5" t="s">
        <v>22</v>
      </c>
      <c r="M446" s="5" t="s">
        <v>22</v>
      </c>
      <c r="N446" s="5" t="s">
        <v>23</v>
      </c>
      <c r="O446" s="5" t="s">
        <v>22</v>
      </c>
      <c r="P446" s="5" t="s">
        <v>22</v>
      </c>
      <c r="Q446" s="7"/>
      <c r="R446" s="8"/>
      <c r="S446" s="6">
        <f>IF(NOT(ISBLANK(E446)), ROUND(((IF(E446="yes",1,0)*'Grading Scale'!E$2)+(IF(F446="yes",1,0)*'Grading Scale'!E$3)+(IF(G446="yes",1,0)*'Grading Scale'!E$4)+(IF(H446="yes",1,0)*'Grading Scale'!E$5)+(IF(I446="yes",1,0)*'Grading Scale'!E$6)+(IF(J446="yes",1,0)*'Grading Scale'!E$7)+(IF(K446="yes",1,0)*'Grading Scale'!E$8)+(IF(L446="yes",1,0)*'Grading Scale'!E$9)+(IF(M446="yes",1,0)*'Grading Scale'!E$10)+(IF(N446="yes",1,0)*'Grading Scale'!E$11)+(IF(O446="yes",1,0)*'Grading Scale'!E$12)+(IF(P446="yes",1,0)*'Grading Scale'!E$13))/'Grading Scale'!E$14*100,0), "")</f>
        <v>0</v>
      </c>
      <c r="T446" s="6" t="str">
        <f>IF(ISNUMBER(S446),VLOOKUP(S446,'Grading Scale'!$A$2:$B$14, 2), "")</f>
        <v>F</v>
      </c>
      <c r="U446" s="7"/>
      <c r="V446" s="7"/>
      <c r="W446" s="7"/>
      <c r="X446" s="7"/>
      <c r="Y446" s="7"/>
      <c r="Z446" s="7"/>
      <c r="AA446" s="7"/>
      <c r="AB446" s="7"/>
      <c r="AC446" s="7"/>
      <c r="AD446" s="7"/>
      <c r="AE446" s="7"/>
      <c r="AF446" s="7"/>
      <c r="AG446" s="7"/>
      <c r="AH446" s="7"/>
      <c r="AI446" s="7"/>
      <c r="AJ446" s="7"/>
    </row>
    <row r="447">
      <c r="A447" s="4">
        <v>42394.0</v>
      </c>
      <c r="B447" s="5" t="s">
        <v>750</v>
      </c>
      <c r="C447" s="5" t="s">
        <v>34</v>
      </c>
      <c r="D447" s="6" t="str">
        <f>IF(NOT(ISBLANK(C447)), VLOOKUP(C447,'Dataset Descriptions'!$A$2:$B$10, 2, FALSE), "")</f>
        <v>Bills before the legislature, and the legislators that comprise it.</v>
      </c>
      <c r="E447" s="5" t="s">
        <v>25</v>
      </c>
      <c r="F447" s="5" t="s">
        <v>25</v>
      </c>
      <c r="G447" s="5" t="s">
        <v>25</v>
      </c>
      <c r="H447" s="5" t="s">
        <v>25</v>
      </c>
      <c r="I447" s="5" t="s">
        <v>25</v>
      </c>
      <c r="J447" s="5" t="s">
        <v>23</v>
      </c>
      <c r="K447" s="5" t="s">
        <v>23</v>
      </c>
      <c r="L447" s="5" t="s">
        <v>23</v>
      </c>
      <c r="M447" s="5" t="s">
        <v>25</v>
      </c>
      <c r="N447" s="5" t="s">
        <v>23</v>
      </c>
      <c r="O447" s="5" t="s">
        <v>23</v>
      </c>
      <c r="P447" s="5" t="s">
        <v>25</v>
      </c>
      <c r="Q447" s="9" t="s">
        <v>756</v>
      </c>
      <c r="R447" s="8"/>
      <c r="S447" s="6">
        <f>IF(NOT(ISBLANK(E447)), ROUND(((IF(E447="yes",1,0)*'Grading Scale'!E$2)+(IF(F447="yes",1,0)*'Grading Scale'!E$3)+(IF(G447="yes",1,0)*'Grading Scale'!E$4)+(IF(H447="yes",1,0)*'Grading Scale'!E$5)+(IF(I447="yes",1,0)*'Grading Scale'!E$6)+(IF(J447="yes",1,0)*'Grading Scale'!E$7)+(IF(K447="yes",1,0)*'Grading Scale'!E$8)+(IF(L447="yes",1,0)*'Grading Scale'!E$9)+(IF(M447="yes",1,0)*'Grading Scale'!E$10)+(IF(N447="yes",1,0)*'Grading Scale'!E$11)+(IF(O447="yes",1,0)*'Grading Scale'!E$12)+(IF(P447="yes",1,0)*'Grading Scale'!E$13))/'Grading Scale'!E$14*100,0), "")</f>
        <v>40</v>
      </c>
      <c r="T447" s="6" t="str">
        <f>IF(ISNUMBER(S447),VLOOKUP(S447,'Grading Scale'!$A$2:$B$14, 2), "")</f>
        <v>F</v>
      </c>
      <c r="U447" s="7"/>
      <c r="V447" s="7"/>
      <c r="W447" s="7"/>
      <c r="X447" s="7"/>
      <c r="Y447" s="7"/>
      <c r="Z447" s="7"/>
      <c r="AA447" s="7"/>
      <c r="AB447" s="7"/>
      <c r="AC447" s="7"/>
      <c r="AD447" s="7"/>
      <c r="AE447" s="7"/>
      <c r="AF447" s="7"/>
      <c r="AG447" s="7"/>
      <c r="AH447" s="7"/>
      <c r="AI447" s="7"/>
      <c r="AJ447" s="7"/>
    </row>
    <row r="448">
      <c r="A448" s="4">
        <v>42394.0</v>
      </c>
      <c r="B448" s="5" t="s">
        <v>750</v>
      </c>
      <c r="C448" s="6" t="s">
        <v>37</v>
      </c>
      <c r="D448" s="6" t="str">
        <f>IF(NOT(ISBLANK(C448)), VLOOKUP(C448,'Dataset Descriptions'!$A$2:$B$10, 2, FALSE), "")</f>
        <v>Forecasts of municipal-level changes in population over coming years.</v>
      </c>
      <c r="E448" s="5" t="s">
        <v>25</v>
      </c>
      <c r="F448" s="5" t="s">
        <v>25</v>
      </c>
      <c r="G448" s="5" t="s">
        <v>25</v>
      </c>
      <c r="H448" s="5" t="s">
        <v>25</v>
      </c>
      <c r="I448" s="5" t="s">
        <v>25</v>
      </c>
      <c r="J448" s="5" t="s">
        <v>23</v>
      </c>
      <c r="K448" s="5" t="s">
        <v>25</v>
      </c>
      <c r="L448" s="5" t="s">
        <v>23</v>
      </c>
      <c r="M448" s="5" t="s">
        <v>25</v>
      </c>
      <c r="N448" s="5" t="s">
        <v>23</v>
      </c>
      <c r="O448" s="5" t="s">
        <v>23</v>
      </c>
      <c r="P448" s="5" t="s">
        <v>23</v>
      </c>
      <c r="Q448" s="7"/>
      <c r="R448" s="6" t="s">
        <v>757</v>
      </c>
      <c r="S448" s="6">
        <f>IF(NOT(ISBLANK(E448)), ROUND(((IF(E448="yes",1,0)*'Grading Scale'!E$2)+(IF(F448="yes",1,0)*'Grading Scale'!E$3)+(IF(G448="yes",1,0)*'Grading Scale'!E$4)+(IF(H448="yes",1,0)*'Grading Scale'!E$5)+(IF(I448="yes",1,0)*'Grading Scale'!E$6)+(IF(J448="yes",1,0)*'Grading Scale'!E$7)+(IF(K448="yes",1,0)*'Grading Scale'!E$8)+(IF(L448="yes",1,0)*'Grading Scale'!E$9)+(IF(M448="yes",1,0)*'Grading Scale'!E$10)+(IF(N448="yes",1,0)*'Grading Scale'!E$11)+(IF(O448="yes",1,0)*'Grading Scale'!E$12)+(IF(P448="yes",1,0)*'Grading Scale'!E$13))/'Grading Scale'!E$14*100,0), "")</f>
        <v>40</v>
      </c>
      <c r="T448" s="6" t="str">
        <f>IF(ISNUMBER(S448),VLOOKUP(S448,'Grading Scale'!$A$2:$B$14, 2), "")</f>
        <v>F</v>
      </c>
      <c r="U448" s="7"/>
      <c r="V448" s="7"/>
      <c r="W448" s="7"/>
      <c r="X448" s="7"/>
      <c r="Y448" s="7"/>
      <c r="Z448" s="7"/>
      <c r="AA448" s="7"/>
      <c r="AB448" s="7"/>
      <c r="AC448" s="7"/>
      <c r="AD448" s="7"/>
      <c r="AE448" s="7"/>
      <c r="AF448" s="7"/>
      <c r="AG448" s="7"/>
      <c r="AH448" s="7"/>
      <c r="AI448" s="7"/>
      <c r="AJ448" s="7"/>
    </row>
    <row r="449">
      <c r="A449" s="4">
        <v>42394.0</v>
      </c>
      <c r="B449" s="5" t="s">
        <v>750</v>
      </c>
      <c r="C449" s="5" t="s">
        <v>40</v>
      </c>
      <c r="D449" s="6" t="str">
        <f>IF(NOT(ISBLANK(C449)), VLOOKUP(C449,'Dataset Descriptions'!$A$2:$B$10, 2, FALSE), "")</f>
        <v>State-owned land and buildings.</v>
      </c>
      <c r="E449" s="5" t="s">
        <v>25</v>
      </c>
      <c r="F449" s="5" t="s">
        <v>25</v>
      </c>
      <c r="G449" s="5" t="s">
        <v>25</v>
      </c>
      <c r="H449" s="5" t="s">
        <v>25</v>
      </c>
      <c r="I449" s="5" t="s">
        <v>25</v>
      </c>
      <c r="J449" s="5" t="s">
        <v>23</v>
      </c>
      <c r="K449" s="5" t="s">
        <v>25</v>
      </c>
      <c r="L449" s="5" t="s">
        <v>23</v>
      </c>
      <c r="M449" s="5" t="s">
        <v>22</v>
      </c>
      <c r="N449" s="5" t="s">
        <v>23</v>
      </c>
      <c r="O449" s="5" t="s">
        <v>23</v>
      </c>
      <c r="P449" s="5" t="s">
        <v>23</v>
      </c>
      <c r="Q449" s="9" t="s">
        <v>758</v>
      </c>
      <c r="R449" s="6" t="s">
        <v>759</v>
      </c>
      <c r="S449" s="6">
        <f>IF(NOT(ISBLANK(E449)), ROUND(((IF(E449="yes",1,0)*'Grading Scale'!E$2)+(IF(F449="yes",1,0)*'Grading Scale'!E$3)+(IF(G449="yes",1,0)*'Grading Scale'!E$4)+(IF(H449="yes",1,0)*'Grading Scale'!E$5)+(IF(I449="yes",1,0)*'Grading Scale'!E$6)+(IF(J449="yes",1,0)*'Grading Scale'!E$7)+(IF(K449="yes",1,0)*'Grading Scale'!E$8)+(IF(L449="yes",1,0)*'Grading Scale'!E$9)+(IF(M449="yes",1,0)*'Grading Scale'!E$10)+(IF(N449="yes",1,0)*'Grading Scale'!E$11)+(IF(O449="yes",1,0)*'Grading Scale'!E$12)+(IF(P449="yes",1,0)*'Grading Scale'!E$13))/'Grading Scale'!E$14*100,0), "")</f>
        <v>35</v>
      </c>
      <c r="T449" s="6" t="str">
        <f>IF(ISNUMBER(S449),VLOOKUP(S449,'Grading Scale'!$A$2:$B$14, 2), "")</f>
        <v>F</v>
      </c>
      <c r="U449" s="7"/>
      <c r="V449" s="7"/>
      <c r="W449" s="7"/>
      <c r="X449" s="7"/>
      <c r="Y449" s="7"/>
      <c r="Z449" s="7"/>
      <c r="AA449" s="7"/>
      <c r="AB449" s="7"/>
      <c r="AC449" s="7"/>
      <c r="AD449" s="7"/>
      <c r="AE449" s="7"/>
      <c r="AF449" s="7"/>
      <c r="AG449" s="7"/>
      <c r="AH449" s="7"/>
      <c r="AI449" s="7"/>
      <c r="AJ449" s="7"/>
    </row>
    <row r="450">
      <c r="A450" s="4">
        <v>42394.0</v>
      </c>
      <c r="B450" s="5" t="s">
        <v>750</v>
      </c>
      <c r="C450" s="5" t="s">
        <v>43</v>
      </c>
      <c r="D450" s="6" t="str">
        <f>IF(NOT(ISBLANK(C450)), VLOOKUP(C450,'Dataset Descriptions'!$A$2:$B$10, 2, FALSE), "")</f>
        <v>Health inspections of establishments that serve food to the public.</v>
      </c>
      <c r="E450" s="5" t="s">
        <v>23</v>
      </c>
      <c r="F450" s="5" t="s">
        <v>23</v>
      </c>
      <c r="G450" s="5" t="s">
        <v>23</v>
      </c>
      <c r="H450" s="5" t="s">
        <v>23</v>
      </c>
      <c r="I450" s="5" t="s">
        <v>23</v>
      </c>
      <c r="J450" s="5" t="s">
        <v>23</v>
      </c>
      <c r="K450" s="5" t="s">
        <v>23</v>
      </c>
      <c r="L450" s="5" t="s">
        <v>23</v>
      </c>
      <c r="M450" s="5" t="s">
        <v>23</v>
      </c>
      <c r="N450" s="5" t="s">
        <v>23</v>
      </c>
      <c r="O450" s="5" t="s">
        <v>23</v>
      </c>
      <c r="P450" s="5" t="s">
        <v>23</v>
      </c>
      <c r="Q450" s="7"/>
      <c r="R450" s="6" t="s">
        <v>760</v>
      </c>
      <c r="S450" s="6">
        <f>IF(NOT(ISBLANK(E450)), ROUND(((IF(E450="yes",1,0)*'Grading Scale'!E$2)+(IF(F450="yes",1,0)*'Grading Scale'!E$3)+(IF(G450="yes",1,0)*'Grading Scale'!E$4)+(IF(H450="yes",1,0)*'Grading Scale'!E$5)+(IF(I450="yes",1,0)*'Grading Scale'!E$6)+(IF(J450="yes",1,0)*'Grading Scale'!E$7)+(IF(K450="yes",1,0)*'Grading Scale'!E$8)+(IF(L450="yes",1,0)*'Grading Scale'!E$9)+(IF(M450="yes",1,0)*'Grading Scale'!E$10)+(IF(N450="yes",1,0)*'Grading Scale'!E$11)+(IF(O450="yes",1,0)*'Grading Scale'!E$12)+(IF(P450="yes",1,0)*'Grading Scale'!E$13))/'Grading Scale'!E$14*100,0), "")</f>
        <v>0</v>
      </c>
      <c r="T450" s="6" t="str">
        <f>IF(ISNUMBER(S450),VLOOKUP(S450,'Grading Scale'!$A$2:$B$14, 2), "")</f>
        <v>F</v>
      </c>
      <c r="U450" s="7"/>
      <c r="V450" s="7"/>
      <c r="W450" s="7"/>
      <c r="X450" s="7"/>
      <c r="Y450" s="7"/>
      <c r="Z450" s="7"/>
      <c r="AA450" s="7"/>
      <c r="AB450" s="7"/>
      <c r="AC450" s="7"/>
      <c r="AD450" s="7"/>
      <c r="AE450" s="7"/>
      <c r="AF450" s="7"/>
      <c r="AG450" s="7"/>
      <c r="AH450" s="7"/>
      <c r="AI450" s="7"/>
      <c r="AJ450" s="7"/>
    </row>
    <row r="451">
      <c r="A451" s="4">
        <v>42394.0</v>
      </c>
      <c r="B451" s="5" t="s">
        <v>750</v>
      </c>
      <c r="C451" s="5" t="s">
        <v>46</v>
      </c>
      <c r="D451" s="6" t="str">
        <f>IF(NOT(ISBLANK(C451)), VLOOKUP(C451,'Dataset Descriptions'!$A$2:$B$10, 2, FALSE), "")</f>
        <v>Incident-level reportable motor vehicle crash records.</v>
      </c>
      <c r="E451" s="5" t="s">
        <v>25</v>
      </c>
      <c r="F451" s="5" t="s">
        <v>25</v>
      </c>
      <c r="G451" s="5" t="s">
        <v>25</v>
      </c>
      <c r="H451" s="5" t="s">
        <v>25</v>
      </c>
      <c r="I451" s="5" t="s">
        <v>25</v>
      </c>
      <c r="J451" s="5" t="s">
        <v>23</v>
      </c>
      <c r="K451" s="5" t="s">
        <v>25</v>
      </c>
      <c r="L451" s="5" t="s">
        <v>23</v>
      </c>
      <c r="M451" s="5" t="s">
        <v>23</v>
      </c>
      <c r="N451" s="5" t="s">
        <v>23</v>
      </c>
      <c r="O451" s="5" t="s">
        <v>23</v>
      </c>
      <c r="P451" s="5" t="s">
        <v>23</v>
      </c>
      <c r="Q451" s="9" t="s">
        <v>761</v>
      </c>
      <c r="R451" s="6" t="s">
        <v>762</v>
      </c>
      <c r="S451" s="6">
        <f>IF(NOT(ISBLANK(E451)), ROUND(((IF(E451="yes",1,0)*'Grading Scale'!E$2)+(IF(F451="yes",1,0)*'Grading Scale'!E$3)+(IF(G451="yes",1,0)*'Grading Scale'!E$4)+(IF(H451="yes",1,0)*'Grading Scale'!E$5)+(IF(I451="yes",1,0)*'Grading Scale'!E$6)+(IF(J451="yes",1,0)*'Grading Scale'!E$7)+(IF(K451="yes",1,0)*'Grading Scale'!E$8)+(IF(L451="yes",1,0)*'Grading Scale'!E$9)+(IF(M451="yes",1,0)*'Grading Scale'!E$10)+(IF(N451="yes",1,0)*'Grading Scale'!E$11)+(IF(O451="yes",1,0)*'Grading Scale'!E$12)+(IF(P451="yes",1,0)*'Grading Scale'!E$13))/'Grading Scale'!E$14*100,0), "")</f>
        <v>35</v>
      </c>
      <c r="T451" s="6" t="str">
        <f>IF(ISNUMBER(S451),VLOOKUP(S451,'Grading Scale'!$A$2:$B$14, 2), "")</f>
        <v>F</v>
      </c>
      <c r="U451" s="7"/>
      <c r="V451" s="7"/>
      <c r="W451" s="7"/>
      <c r="X451" s="7"/>
      <c r="Y451" s="7"/>
      <c r="Z451" s="7"/>
      <c r="AA451" s="7"/>
      <c r="AB451" s="7"/>
      <c r="AC451" s="7"/>
      <c r="AD451" s="7"/>
      <c r="AE451" s="7"/>
      <c r="AF451" s="7"/>
      <c r="AG451" s="7"/>
      <c r="AH451" s="7"/>
      <c r="AI451" s="7"/>
      <c r="AJ451" s="7"/>
    </row>
    <row r="452">
      <c r="A452" s="4">
        <v>42340.0</v>
      </c>
      <c r="B452" s="5" t="s">
        <v>763</v>
      </c>
      <c r="C452" s="5" t="s">
        <v>21</v>
      </c>
      <c r="D452" s="6" t="str">
        <f>IF(NOT(ISBLANK(C452)), VLOOKUP(C452,'Dataset Descriptions'!$A$2:$B$10, 2, FALSE), "")</f>
        <v>The geographic coordinates for physical addresses.</v>
      </c>
      <c r="E452" s="5" t="s">
        <v>25</v>
      </c>
      <c r="F452" s="5" t="s">
        <v>25</v>
      </c>
      <c r="G452" s="5" t="s">
        <v>25</v>
      </c>
      <c r="H452" s="5" t="s">
        <v>25</v>
      </c>
      <c r="I452" s="5" t="s">
        <v>25</v>
      </c>
      <c r="J452" s="5" t="s">
        <v>25</v>
      </c>
      <c r="K452" s="5" t="s">
        <v>25</v>
      </c>
      <c r="L452" s="5" t="s">
        <v>25</v>
      </c>
      <c r="M452" s="5" t="s">
        <v>23</v>
      </c>
      <c r="N452" s="5" t="s">
        <v>23</v>
      </c>
      <c r="O452" s="5" t="s">
        <v>23</v>
      </c>
      <c r="P452" s="5" t="s">
        <v>25</v>
      </c>
      <c r="Q452" s="9" t="s">
        <v>764</v>
      </c>
      <c r="R452" s="6" t="s">
        <v>765</v>
      </c>
      <c r="S452" s="6">
        <f>IF(NOT(ISBLANK(E452)), ROUND(((IF(E452="yes",1,0)*'Grading Scale'!E$2)+(IF(F452="yes",1,0)*'Grading Scale'!E$3)+(IF(G452="yes",1,0)*'Grading Scale'!E$4)+(IF(H452="yes",1,0)*'Grading Scale'!E$5)+(IF(I452="yes",1,0)*'Grading Scale'!E$6)+(IF(J452="yes",1,0)*'Grading Scale'!E$7)+(IF(K452="yes",1,0)*'Grading Scale'!E$8)+(IF(L452="yes",1,0)*'Grading Scale'!E$9)+(IF(M452="yes",1,0)*'Grading Scale'!E$10)+(IF(N452="yes",1,0)*'Grading Scale'!E$11)+(IF(O452="yes",1,0)*'Grading Scale'!E$12)+(IF(P452="yes",1,0)*'Grading Scale'!E$13))/'Grading Scale'!E$14*100,0), "")</f>
        <v>85</v>
      </c>
      <c r="T452" s="6" t="str">
        <f>IF(ISNUMBER(S452),VLOOKUP(S452,'Grading Scale'!$A$2:$B$14, 2), "")</f>
        <v>B</v>
      </c>
      <c r="U452" s="7"/>
      <c r="V452" s="7"/>
      <c r="W452" s="7"/>
      <c r="X452" s="7"/>
      <c r="Y452" s="7"/>
      <c r="Z452" s="7"/>
      <c r="AA452" s="7"/>
      <c r="AB452" s="7"/>
      <c r="AC452" s="7"/>
      <c r="AD452" s="7"/>
      <c r="AE452" s="7"/>
      <c r="AF452" s="7"/>
      <c r="AG452" s="7"/>
      <c r="AH452" s="7"/>
      <c r="AI452" s="7"/>
      <c r="AJ452" s="7"/>
    </row>
    <row r="453">
      <c r="A453" s="4">
        <v>42339.0</v>
      </c>
      <c r="B453" s="5" t="s">
        <v>763</v>
      </c>
      <c r="C453" s="5" t="s">
        <v>24</v>
      </c>
      <c r="D453" s="6" t="str">
        <f>IF(NOT(ISBLANK(C453)), VLOOKUP(C453,'Dataset Descriptions'!$A$2:$B$10, 2, FALSE), "")</f>
        <v>Transaction-level, per-agency spending records.</v>
      </c>
      <c r="E453" s="5" t="s">
        <v>25</v>
      </c>
      <c r="F453" s="5" t="s">
        <v>25</v>
      </c>
      <c r="G453" s="5" t="s">
        <v>25</v>
      </c>
      <c r="H453" s="5" t="s">
        <v>25</v>
      </c>
      <c r="I453" s="5" t="s">
        <v>25</v>
      </c>
      <c r="J453" s="5" t="s">
        <v>25</v>
      </c>
      <c r="K453" s="5" t="s">
        <v>23</v>
      </c>
      <c r="L453" s="5" t="s">
        <v>23</v>
      </c>
      <c r="M453" s="5" t="s">
        <v>23</v>
      </c>
      <c r="N453" s="5" t="s">
        <v>23</v>
      </c>
      <c r="O453" s="5" t="s">
        <v>23</v>
      </c>
      <c r="P453" s="5" t="s">
        <v>23</v>
      </c>
      <c r="Q453" s="9" t="s">
        <v>766</v>
      </c>
      <c r="R453" s="6" t="s">
        <v>767</v>
      </c>
      <c r="S453" s="6">
        <f>IF(NOT(ISBLANK(E453)), ROUND(((IF(E453="yes",1,0)*'Grading Scale'!E$2)+(IF(F453="yes",1,0)*'Grading Scale'!E$3)+(IF(G453="yes",1,0)*'Grading Scale'!E$4)+(IF(H453="yes",1,0)*'Grading Scale'!E$5)+(IF(I453="yes",1,0)*'Grading Scale'!E$6)+(IF(J453="yes",1,0)*'Grading Scale'!E$7)+(IF(K453="yes",1,0)*'Grading Scale'!E$8)+(IF(L453="yes",1,0)*'Grading Scale'!E$9)+(IF(M453="yes",1,0)*'Grading Scale'!E$10)+(IF(N453="yes",1,0)*'Grading Scale'!E$11)+(IF(O453="yes",1,0)*'Grading Scale'!E$12)+(IF(P453="yes",1,0)*'Grading Scale'!E$13))/'Grading Scale'!E$14*100,0), "")</f>
        <v>70</v>
      </c>
      <c r="T453" s="6" t="str">
        <f>IF(ISNUMBER(S453),VLOOKUP(S453,'Grading Scale'!$A$2:$B$14, 2), "")</f>
        <v>C−</v>
      </c>
      <c r="U453" s="7"/>
      <c r="V453" s="7"/>
      <c r="W453" s="7"/>
      <c r="X453" s="7"/>
      <c r="Y453" s="7"/>
      <c r="Z453" s="7"/>
      <c r="AA453" s="7"/>
      <c r="AB453" s="7"/>
      <c r="AC453" s="7"/>
      <c r="AD453" s="7"/>
      <c r="AE453" s="7"/>
      <c r="AF453" s="7"/>
      <c r="AG453" s="7"/>
      <c r="AH453" s="7"/>
      <c r="AI453" s="7"/>
      <c r="AJ453" s="7"/>
    </row>
    <row r="454">
      <c r="A454" s="4">
        <v>42339.0</v>
      </c>
      <c r="B454" s="5" t="s">
        <v>763</v>
      </c>
      <c r="C454" s="5" t="s">
        <v>28</v>
      </c>
      <c r="D454" s="6" t="str">
        <f>IF(NOT(ISBLANK(C454)), VLOOKUP(C454,'Dataset Descriptions'!$A$2:$B$10, 2, FALSE), "")</f>
        <v>The register of all corporations that exist in the state.</v>
      </c>
      <c r="E454" s="5" t="s">
        <v>25</v>
      </c>
      <c r="F454" s="5" t="s">
        <v>25</v>
      </c>
      <c r="G454" s="5" t="s">
        <v>25</v>
      </c>
      <c r="H454" s="5" t="s">
        <v>25</v>
      </c>
      <c r="I454" s="5" t="s">
        <v>25</v>
      </c>
      <c r="J454" s="5" t="s">
        <v>23</v>
      </c>
      <c r="K454" s="5" t="s">
        <v>23</v>
      </c>
      <c r="L454" s="5" t="s">
        <v>25</v>
      </c>
      <c r="M454" s="5" t="s">
        <v>25</v>
      </c>
      <c r="N454" s="5" t="s">
        <v>23</v>
      </c>
      <c r="O454" s="5" t="s">
        <v>23</v>
      </c>
      <c r="P454" s="5" t="s">
        <v>23</v>
      </c>
      <c r="Q454" s="9" t="s">
        <v>768</v>
      </c>
      <c r="R454" s="6" t="s">
        <v>769</v>
      </c>
      <c r="S454" s="6">
        <f>IF(NOT(ISBLANK(E454)), ROUND(((IF(E454="yes",1,0)*'Grading Scale'!E$2)+(IF(F454="yes",1,0)*'Grading Scale'!E$3)+(IF(G454="yes",1,0)*'Grading Scale'!E$4)+(IF(H454="yes",1,0)*'Grading Scale'!E$5)+(IF(I454="yes",1,0)*'Grading Scale'!E$6)+(IF(J454="yes",1,0)*'Grading Scale'!E$7)+(IF(K454="yes",1,0)*'Grading Scale'!E$8)+(IF(L454="yes",1,0)*'Grading Scale'!E$9)+(IF(M454="yes",1,0)*'Grading Scale'!E$10)+(IF(N454="yes",1,0)*'Grading Scale'!E$11)+(IF(O454="yes",1,0)*'Grading Scale'!E$12)+(IF(P454="yes",1,0)*'Grading Scale'!E$13))/'Grading Scale'!E$14*100,0), "")</f>
        <v>40</v>
      </c>
      <c r="T454" s="6" t="str">
        <f>IF(ISNUMBER(S454),VLOOKUP(S454,'Grading Scale'!$A$2:$B$14, 2), "")</f>
        <v>F</v>
      </c>
      <c r="U454" s="7"/>
      <c r="V454" s="7"/>
      <c r="W454" s="7"/>
      <c r="X454" s="7"/>
      <c r="Y454" s="7"/>
      <c r="Z454" s="7"/>
      <c r="AA454" s="7"/>
      <c r="AB454" s="7"/>
      <c r="AC454" s="7"/>
      <c r="AD454" s="7"/>
      <c r="AE454" s="7"/>
      <c r="AF454" s="7"/>
      <c r="AG454" s="7"/>
      <c r="AH454" s="7"/>
      <c r="AI454" s="7"/>
      <c r="AJ454" s="7"/>
    </row>
    <row r="455">
      <c r="A455" s="4">
        <v>42339.0</v>
      </c>
      <c r="B455" s="5" t="s">
        <v>763</v>
      </c>
      <c r="C455" s="5" t="s">
        <v>31</v>
      </c>
      <c r="D455" s="6" t="str">
        <f>IF(NOT(ISBLANK(C455)), VLOOKUP(C455,'Dataset Descriptions'!$A$2:$B$10, 2, FALSE), "")</f>
        <v>Per-facility inmate population records.</v>
      </c>
      <c r="E455" s="5" t="s">
        <v>25</v>
      </c>
      <c r="F455" s="5" t="s">
        <v>25</v>
      </c>
      <c r="G455" s="5" t="s">
        <v>25</v>
      </c>
      <c r="H455" s="5" t="s">
        <v>25</v>
      </c>
      <c r="I455" s="5" t="s">
        <v>25</v>
      </c>
      <c r="J455" s="5" t="s">
        <v>23</v>
      </c>
      <c r="K455" s="5" t="s">
        <v>25</v>
      </c>
      <c r="L455" s="5" t="s">
        <v>25</v>
      </c>
      <c r="M455" s="5" t="s">
        <v>25</v>
      </c>
      <c r="N455" s="5" t="s">
        <v>23</v>
      </c>
      <c r="O455" s="5" t="s">
        <v>23</v>
      </c>
      <c r="P455" s="5" t="s">
        <v>25</v>
      </c>
      <c r="Q455" s="9" t="s">
        <v>770</v>
      </c>
      <c r="R455" s="6" t="s">
        <v>771</v>
      </c>
      <c r="S455" s="6">
        <f>IF(NOT(ISBLANK(E455)), ROUND(((IF(E455="yes",1,0)*'Grading Scale'!E$2)+(IF(F455="yes",1,0)*'Grading Scale'!E$3)+(IF(G455="yes",1,0)*'Grading Scale'!E$4)+(IF(H455="yes",1,0)*'Grading Scale'!E$5)+(IF(I455="yes",1,0)*'Grading Scale'!E$6)+(IF(J455="yes",1,0)*'Grading Scale'!E$7)+(IF(K455="yes",1,0)*'Grading Scale'!E$8)+(IF(L455="yes",1,0)*'Grading Scale'!E$9)+(IF(M455="yes",1,0)*'Grading Scale'!E$10)+(IF(N455="yes",1,0)*'Grading Scale'!E$11)+(IF(O455="yes",1,0)*'Grading Scale'!E$12)+(IF(P455="yes",1,0)*'Grading Scale'!E$13))/'Grading Scale'!E$14*100,0), "")</f>
        <v>50</v>
      </c>
      <c r="T455" s="6" t="str">
        <f>IF(ISNUMBER(S455),VLOOKUP(S455,'Grading Scale'!$A$2:$B$14, 2), "")</f>
        <v>F</v>
      </c>
      <c r="U455" s="7"/>
      <c r="V455" s="7"/>
      <c r="W455" s="7"/>
      <c r="X455" s="7"/>
      <c r="Y455" s="7"/>
      <c r="Z455" s="7"/>
      <c r="AA455" s="7"/>
      <c r="AB455" s="7"/>
      <c r="AC455" s="7"/>
      <c r="AD455" s="7"/>
      <c r="AE455" s="7"/>
      <c r="AF455" s="7"/>
      <c r="AG455" s="7"/>
      <c r="AH455" s="7"/>
      <c r="AI455" s="7"/>
      <c r="AJ455" s="7"/>
    </row>
    <row r="456">
      <c r="A456" s="4">
        <v>42342.0</v>
      </c>
      <c r="B456" s="5" t="s">
        <v>763</v>
      </c>
      <c r="C456" s="5" t="s">
        <v>34</v>
      </c>
      <c r="D456" s="6" t="str">
        <f>IF(NOT(ISBLANK(C456)), VLOOKUP(C456,'Dataset Descriptions'!$A$2:$B$10, 2, FALSE), "")</f>
        <v>Bills before the legislature, and the legislators that comprise it.</v>
      </c>
      <c r="E456" s="5" t="s">
        <v>25</v>
      </c>
      <c r="F456" s="5" t="s">
        <v>25</v>
      </c>
      <c r="G456" s="5" t="s">
        <v>25</v>
      </c>
      <c r="H456" s="5" t="s">
        <v>25</v>
      </c>
      <c r="I456" s="5" t="s">
        <v>25</v>
      </c>
      <c r="J456" s="5" t="s">
        <v>23</v>
      </c>
      <c r="K456" s="5" t="s">
        <v>23</v>
      </c>
      <c r="L456" s="5" t="s">
        <v>23</v>
      </c>
      <c r="M456" s="5" t="s">
        <v>25</v>
      </c>
      <c r="N456" s="5" t="s">
        <v>23</v>
      </c>
      <c r="O456" s="5" t="s">
        <v>23</v>
      </c>
      <c r="P456" s="5" t="s">
        <v>25</v>
      </c>
      <c r="Q456" s="9" t="s">
        <v>772</v>
      </c>
      <c r="R456" s="8"/>
      <c r="S456" s="6">
        <f>IF(NOT(ISBLANK(E456)), ROUND(((IF(E456="yes",1,0)*'Grading Scale'!E$2)+(IF(F456="yes",1,0)*'Grading Scale'!E$3)+(IF(G456="yes",1,0)*'Grading Scale'!E$4)+(IF(H456="yes",1,0)*'Grading Scale'!E$5)+(IF(I456="yes",1,0)*'Grading Scale'!E$6)+(IF(J456="yes",1,0)*'Grading Scale'!E$7)+(IF(K456="yes",1,0)*'Grading Scale'!E$8)+(IF(L456="yes",1,0)*'Grading Scale'!E$9)+(IF(M456="yes",1,0)*'Grading Scale'!E$10)+(IF(N456="yes",1,0)*'Grading Scale'!E$11)+(IF(O456="yes",1,0)*'Grading Scale'!E$12)+(IF(P456="yes",1,0)*'Grading Scale'!E$13))/'Grading Scale'!E$14*100,0), "")</f>
        <v>40</v>
      </c>
      <c r="T456" s="6" t="str">
        <f>IF(ISNUMBER(S456),VLOOKUP(S456,'Grading Scale'!$A$2:$B$14, 2), "")</f>
        <v>F</v>
      </c>
      <c r="U456" s="7"/>
      <c r="V456" s="7"/>
      <c r="W456" s="7"/>
      <c r="X456" s="7"/>
      <c r="Y456" s="7"/>
      <c r="Z456" s="7"/>
      <c r="AA456" s="7"/>
      <c r="AB456" s="7"/>
      <c r="AC456" s="7"/>
      <c r="AD456" s="7"/>
      <c r="AE456" s="7"/>
      <c r="AF456" s="7"/>
      <c r="AG456" s="7"/>
      <c r="AH456" s="7"/>
      <c r="AI456" s="7"/>
      <c r="AJ456" s="7"/>
    </row>
    <row r="457">
      <c r="A457" s="4">
        <v>42342.0</v>
      </c>
      <c r="B457" s="5" t="s">
        <v>763</v>
      </c>
      <c r="C457" s="6" t="s">
        <v>37</v>
      </c>
      <c r="D457" s="6" t="str">
        <f>IF(NOT(ISBLANK(C457)), VLOOKUP(C457,'Dataset Descriptions'!$A$2:$B$10, 2, FALSE), "")</f>
        <v>Forecasts of municipal-level changes in population over coming years.</v>
      </c>
      <c r="E457" s="5" t="s">
        <v>25</v>
      </c>
      <c r="F457" s="5" t="s">
        <v>25</v>
      </c>
      <c r="G457" s="5" t="s">
        <v>25</v>
      </c>
      <c r="H457" s="5" t="s">
        <v>25</v>
      </c>
      <c r="I457" s="5" t="s">
        <v>25</v>
      </c>
      <c r="J457" s="5" t="s">
        <v>25</v>
      </c>
      <c r="K457" s="5" t="s">
        <v>25</v>
      </c>
      <c r="L457" s="5" t="s">
        <v>25</v>
      </c>
      <c r="M457" s="5" t="s">
        <v>25</v>
      </c>
      <c r="N457" s="5" t="s">
        <v>23</v>
      </c>
      <c r="O457" s="5" t="s">
        <v>23</v>
      </c>
      <c r="P457" s="5" t="s">
        <v>23</v>
      </c>
      <c r="Q457" s="9" t="s">
        <v>773</v>
      </c>
      <c r="R457" s="6" t="s">
        <v>39</v>
      </c>
      <c r="S457" s="6">
        <f>IF(NOT(ISBLANK(E457)), ROUND(((IF(E457="yes",1,0)*'Grading Scale'!E$2)+(IF(F457="yes",1,0)*'Grading Scale'!E$3)+(IF(G457="yes",1,0)*'Grading Scale'!E$4)+(IF(H457="yes",1,0)*'Grading Scale'!E$5)+(IF(I457="yes",1,0)*'Grading Scale'!E$6)+(IF(J457="yes",1,0)*'Grading Scale'!E$7)+(IF(K457="yes",1,0)*'Grading Scale'!E$8)+(IF(L457="yes",1,0)*'Grading Scale'!E$9)+(IF(M457="yes",1,0)*'Grading Scale'!E$10)+(IF(N457="yes",1,0)*'Grading Scale'!E$11)+(IF(O457="yes",1,0)*'Grading Scale'!E$12)+(IF(P457="yes",1,0)*'Grading Scale'!E$13))/'Grading Scale'!E$14*100,0), "")</f>
        <v>85</v>
      </c>
      <c r="T457" s="6" t="str">
        <f>IF(ISNUMBER(S457),VLOOKUP(S457,'Grading Scale'!$A$2:$B$14, 2), "")</f>
        <v>B</v>
      </c>
      <c r="U457" s="7"/>
      <c r="V457" s="7"/>
      <c r="W457" s="7"/>
      <c r="X457" s="7"/>
      <c r="Y457" s="7"/>
      <c r="Z457" s="7"/>
      <c r="AA457" s="7"/>
      <c r="AB457" s="7"/>
      <c r="AC457" s="7"/>
      <c r="AD457" s="7"/>
      <c r="AE457" s="7"/>
      <c r="AF457" s="7"/>
      <c r="AG457" s="7"/>
      <c r="AH457" s="7"/>
      <c r="AI457" s="7"/>
      <c r="AJ457" s="7"/>
    </row>
    <row r="458">
      <c r="A458" s="4">
        <v>42339.0</v>
      </c>
      <c r="B458" s="5" t="s">
        <v>763</v>
      </c>
      <c r="C458" s="5" t="s">
        <v>40</v>
      </c>
      <c r="D458" s="6" t="str">
        <f>IF(NOT(ISBLANK(C458)), VLOOKUP(C458,'Dataset Descriptions'!$A$2:$B$10, 2, FALSE), "")</f>
        <v>State-owned land and buildings.</v>
      </c>
      <c r="E458" s="5" t="s">
        <v>22</v>
      </c>
      <c r="F458" s="5" t="s">
        <v>22</v>
      </c>
      <c r="G458" s="5" t="s">
        <v>22</v>
      </c>
      <c r="H458" s="5" t="s">
        <v>22</v>
      </c>
      <c r="I458" s="5" t="s">
        <v>23</v>
      </c>
      <c r="J458" s="5" t="s">
        <v>22</v>
      </c>
      <c r="K458" s="5" t="s">
        <v>23</v>
      </c>
      <c r="L458" s="5" t="s">
        <v>22</v>
      </c>
      <c r="M458" s="5" t="s">
        <v>22</v>
      </c>
      <c r="N458" s="5" t="s">
        <v>23</v>
      </c>
      <c r="O458" s="5" t="s">
        <v>23</v>
      </c>
      <c r="P458" s="5" t="s">
        <v>22</v>
      </c>
      <c r="Q458" s="7"/>
      <c r="R458" s="8"/>
      <c r="S458" s="6">
        <f>IF(NOT(ISBLANK(E458)), ROUND(((IF(E458="yes",1,0)*'Grading Scale'!E$2)+(IF(F458="yes",1,0)*'Grading Scale'!E$3)+(IF(G458="yes",1,0)*'Grading Scale'!E$4)+(IF(H458="yes",1,0)*'Grading Scale'!E$5)+(IF(I458="yes",1,0)*'Grading Scale'!E$6)+(IF(J458="yes",1,0)*'Grading Scale'!E$7)+(IF(K458="yes",1,0)*'Grading Scale'!E$8)+(IF(L458="yes",1,0)*'Grading Scale'!E$9)+(IF(M458="yes",1,0)*'Grading Scale'!E$10)+(IF(N458="yes",1,0)*'Grading Scale'!E$11)+(IF(O458="yes",1,0)*'Grading Scale'!E$12)+(IF(P458="yes",1,0)*'Grading Scale'!E$13))/'Grading Scale'!E$14*100,0), "")</f>
        <v>0</v>
      </c>
      <c r="T458" s="6" t="str">
        <f>IF(ISNUMBER(S458),VLOOKUP(S458,'Grading Scale'!$A$2:$B$14, 2), "")</f>
        <v>F</v>
      </c>
      <c r="U458" s="7"/>
      <c r="V458" s="7"/>
      <c r="W458" s="7"/>
      <c r="X458" s="7"/>
      <c r="Y458" s="7"/>
      <c r="Z458" s="7"/>
      <c r="AA458" s="7"/>
      <c r="AB458" s="7"/>
      <c r="AC458" s="7"/>
      <c r="AD458" s="7"/>
      <c r="AE458" s="7"/>
      <c r="AF458" s="7"/>
      <c r="AG458" s="7"/>
      <c r="AH458" s="7"/>
      <c r="AI458" s="7"/>
      <c r="AJ458" s="7"/>
    </row>
    <row r="459">
      <c r="A459" s="4">
        <v>42342.0</v>
      </c>
      <c r="B459" s="5" t="s">
        <v>763</v>
      </c>
      <c r="C459" s="5" t="s">
        <v>43</v>
      </c>
      <c r="D459" s="6" t="str">
        <f>IF(NOT(ISBLANK(C459)), VLOOKUP(C459,'Dataset Descriptions'!$A$2:$B$10, 2, FALSE), "")</f>
        <v>Health inspections of establishments that serve food to the public.</v>
      </c>
      <c r="E459" s="18" t="s">
        <v>25</v>
      </c>
      <c r="F459" s="5" t="s">
        <v>25</v>
      </c>
      <c r="G459" s="5" t="s">
        <v>25</v>
      </c>
      <c r="H459" s="5" t="s">
        <v>25</v>
      </c>
      <c r="I459" s="5" t="s">
        <v>25</v>
      </c>
      <c r="J459" s="5" t="s">
        <v>23</v>
      </c>
      <c r="K459" s="5" t="s">
        <v>23</v>
      </c>
      <c r="L459" s="5" t="s">
        <v>23</v>
      </c>
      <c r="M459" s="5" t="s">
        <v>25</v>
      </c>
      <c r="N459" s="5" t="s">
        <v>23</v>
      </c>
      <c r="O459" s="5" t="s">
        <v>23</v>
      </c>
      <c r="P459" s="5" t="s">
        <v>25</v>
      </c>
      <c r="Q459" s="9" t="s">
        <v>774</v>
      </c>
      <c r="R459" s="8"/>
      <c r="S459" s="6">
        <f>IF(NOT(ISBLANK(E459)), ROUND(((IF(E459="yes",1,0)*'Grading Scale'!E$2)+(IF(F459="yes",1,0)*'Grading Scale'!E$3)+(IF(G459="yes",1,0)*'Grading Scale'!E$4)+(IF(H459="yes",1,0)*'Grading Scale'!E$5)+(IF(I459="yes",1,0)*'Grading Scale'!E$6)+(IF(J459="yes",1,0)*'Grading Scale'!E$7)+(IF(K459="yes",1,0)*'Grading Scale'!E$8)+(IF(L459="yes",1,0)*'Grading Scale'!E$9)+(IF(M459="yes",1,0)*'Grading Scale'!E$10)+(IF(N459="yes",1,0)*'Grading Scale'!E$11)+(IF(O459="yes",1,0)*'Grading Scale'!E$12)+(IF(P459="yes",1,0)*'Grading Scale'!E$13))/'Grading Scale'!E$14*100,0), "")</f>
        <v>40</v>
      </c>
      <c r="T459" s="6" t="str">
        <f>IF(ISNUMBER(S459),VLOOKUP(S459,'Grading Scale'!$A$2:$B$14, 2), "")</f>
        <v>F</v>
      </c>
      <c r="U459" s="7"/>
      <c r="V459" s="7"/>
      <c r="W459" s="7"/>
      <c r="X459" s="7"/>
      <c r="Y459" s="7"/>
      <c r="Z459" s="7"/>
      <c r="AA459" s="7"/>
      <c r="AB459" s="7"/>
      <c r="AC459" s="7"/>
      <c r="AD459" s="7"/>
      <c r="AE459" s="7"/>
      <c r="AF459" s="7"/>
      <c r="AG459" s="7"/>
      <c r="AH459" s="7"/>
      <c r="AI459" s="7"/>
      <c r="AJ459" s="7"/>
    </row>
    <row r="460">
      <c r="A460" s="4">
        <v>42345.0</v>
      </c>
      <c r="B460" s="5" t="s">
        <v>763</v>
      </c>
      <c r="C460" s="17" t="s">
        <v>46</v>
      </c>
      <c r="D460" s="6" t="str">
        <f>IF(NOT(ISBLANK(C460)), VLOOKUP(C460,'Dataset Descriptions'!$A$2:$B$10, 2, FALSE), "")</f>
        <v>Incident-level reportable motor vehicle crash records.</v>
      </c>
      <c r="E460" s="5" t="s">
        <v>25</v>
      </c>
      <c r="F460" s="5" t="s">
        <v>25</v>
      </c>
      <c r="G460" s="5" t="s">
        <v>25</v>
      </c>
      <c r="H460" s="5" t="s">
        <v>25</v>
      </c>
      <c r="I460" s="5" t="s">
        <v>25</v>
      </c>
      <c r="J460" s="5" t="s">
        <v>23</v>
      </c>
      <c r="K460" s="5" t="s">
        <v>23</v>
      </c>
      <c r="L460" s="5" t="s">
        <v>25</v>
      </c>
      <c r="M460" s="5" t="s">
        <v>23</v>
      </c>
      <c r="N460" s="5" t="s">
        <v>23</v>
      </c>
      <c r="O460" s="5" t="s">
        <v>23</v>
      </c>
      <c r="P460" s="5" t="s">
        <v>23</v>
      </c>
      <c r="Q460" s="9" t="s">
        <v>775</v>
      </c>
      <c r="R460" s="6" t="s">
        <v>776</v>
      </c>
      <c r="S460" s="6">
        <f>IF(NOT(ISBLANK(E460)), ROUND(((IF(E460="yes",1,0)*'Grading Scale'!E$2)+(IF(F460="yes",1,0)*'Grading Scale'!E$3)+(IF(G460="yes",1,0)*'Grading Scale'!E$4)+(IF(H460="yes",1,0)*'Grading Scale'!E$5)+(IF(I460="yes",1,0)*'Grading Scale'!E$6)+(IF(J460="yes",1,0)*'Grading Scale'!E$7)+(IF(K460="yes",1,0)*'Grading Scale'!E$8)+(IF(L460="yes",1,0)*'Grading Scale'!E$9)+(IF(M460="yes",1,0)*'Grading Scale'!E$10)+(IF(N460="yes",1,0)*'Grading Scale'!E$11)+(IF(O460="yes",1,0)*'Grading Scale'!E$12)+(IF(P460="yes",1,0)*'Grading Scale'!E$13))/'Grading Scale'!E$14*100,0), "")</f>
        <v>35</v>
      </c>
      <c r="T460" s="6" t="str">
        <f>IF(ISNUMBER(S460),VLOOKUP(S460,'Grading Scale'!$A$2:$B$14, 2), "")</f>
        <v>F</v>
      </c>
      <c r="U460" s="7"/>
      <c r="V460" s="7"/>
      <c r="W460" s="7"/>
      <c r="X460" s="7"/>
      <c r="Y460" s="7"/>
      <c r="Z460" s="7"/>
      <c r="AA460" s="7"/>
      <c r="AB460" s="7"/>
      <c r="AC460" s="7"/>
      <c r="AD460" s="7"/>
      <c r="AE460" s="7"/>
      <c r="AF460" s="7"/>
      <c r="AG460" s="7"/>
      <c r="AH460" s="7"/>
      <c r="AI460" s="7"/>
      <c r="AJ460" s="7"/>
    </row>
    <row r="461">
      <c r="A461" s="4">
        <v>42410.0</v>
      </c>
      <c r="B461" s="5" t="s">
        <v>777</v>
      </c>
      <c r="C461" s="5" t="s">
        <v>21</v>
      </c>
      <c r="D461" s="6" t="str">
        <f>IF(NOT(ISBLANK(C461)), VLOOKUP(C461,'Dataset Descriptions'!$A$2:$B$10, 2, FALSE), "")</f>
        <v>The geographic coordinates for physical addresses.</v>
      </c>
      <c r="E461" s="5" t="s">
        <v>22</v>
      </c>
      <c r="F461" s="5" t="s">
        <v>22</v>
      </c>
      <c r="G461" s="5" t="s">
        <v>22</v>
      </c>
      <c r="H461" s="5" t="s">
        <v>22</v>
      </c>
      <c r="I461" s="5" t="s">
        <v>23</v>
      </c>
      <c r="J461" s="5" t="s">
        <v>22</v>
      </c>
      <c r="K461" s="5" t="s">
        <v>22</v>
      </c>
      <c r="L461" s="5" t="s">
        <v>22</v>
      </c>
      <c r="M461" s="5" t="s">
        <v>22</v>
      </c>
      <c r="N461" s="5" t="s">
        <v>23</v>
      </c>
      <c r="O461" s="5" t="s">
        <v>22</v>
      </c>
      <c r="P461" s="5" t="s">
        <v>22</v>
      </c>
      <c r="Q461" s="7"/>
      <c r="R461" s="8"/>
      <c r="S461" s="6">
        <f>IF(NOT(ISBLANK(E461)), ROUND(((IF(E461="yes",1,0)*'Grading Scale'!E$2)+(IF(F461="yes",1,0)*'Grading Scale'!E$3)+(IF(G461="yes",1,0)*'Grading Scale'!E$4)+(IF(H461="yes",1,0)*'Grading Scale'!E$5)+(IF(I461="yes",1,0)*'Grading Scale'!E$6)+(IF(J461="yes",1,0)*'Grading Scale'!E$7)+(IF(K461="yes",1,0)*'Grading Scale'!E$8)+(IF(L461="yes",1,0)*'Grading Scale'!E$9)+(IF(M461="yes",1,0)*'Grading Scale'!E$10)+(IF(N461="yes",1,0)*'Grading Scale'!E$11)+(IF(O461="yes",1,0)*'Grading Scale'!E$12)+(IF(P461="yes",1,0)*'Grading Scale'!E$13))/'Grading Scale'!E$14*100,0), "")</f>
        <v>0</v>
      </c>
      <c r="T461" s="6" t="str">
        <f>IF(ISNUMBER(S461),VLOOKUP(S461,'Grading Scale'!$A$2:$B$14, 2), "")</f>
        <v>F</v>
      </c>
      <c r="U461" s="7"/>
      <c r="V461" s="7"/>
      <c r="W461" s="7"/>
      <c r="X461" s="7"/>
      <c r="Y461" s="7"/>
      <c r="Z461" s="7"/>
      <c r="AA461" s="7"/>
      <c r="AB461" s="7"/>
      <c r="AC461" s="7"/>
      <c r="AD461" s="7"/>
      <c r="AE461" s="7"/>
      <c r="AF461" s="7"/>
      <c r="AG461" s="7"/>
      <c r="AH461" s="7"/>
      <c r="AI461" s="7"/>
      <c r="AJ461" s="7"/>
    </row>
    <row r="462">
      <c r="A462" s="4">
        <v>42434.0</v>
      </c>
      <c r="B462" s="5" t="s">
        <v>777</v>
      </c>
      <c r="C462" s="5" t="s">
        <v>24</v>
      </c>
      <c r="D462" s="6" t="str">
        <f>IF(NOT(ISBLANK(C462)), VLOOKUP(C462,'Dataset Descriptions'!$A$2:$B$10, 2, FALSE), "")</f>
        <v>Transaction-level, per-agency spending records.</v>
      </c>
      <c r="E462" s="5" t="s">
        <v>25</v>
      </c>
      <c r="F462" s="5" t="s">
        <v>25</v>
      </c>
      <c r="G462" s="5" t="s">
        <v>25</v>
      </c>
      <c r="H462" s="5" t="s">
        <v>25</v>
      </c>
      <c r="I462" s="5" t="s">
        <v>25</v>
      </c>
      <c r="J462" s="5" t="s">
        <v>23</v>
      </c>
      <c r="K462" s="5" t="s">
        <v>23</v>
      </c>
      <c r="L462" s="5" t="s">
        <v>23</v>
      </c>
      <c r="M462" s="5" t="s">
        <v>25</v>
      </c>
      <c r="N462" s="5" t="s">
        <v>23</v>
      </c>
      <c r="O462" s="5" t="s">
        <v>23</v>
      </c>
      <c r="P462" s="5" t="s">
        <v>23</v>
      </c>
      <c r="Q462" s="9" t="s">
        <v>778</v>
      </c>
      <c r="R462" s="6" t="s">
        <v>779</v>
      </c>
      <c r="S462" s="6">
        <f>IF(NOT(ISBLANK(E462)), ROUND(((IF(E462="yes",1,0)*'Grading Scale'!E$2)+(IF(F462="yes",1,0)*'Grading Scale'!E$3)+(IF(G462="yes",1,0)*'Grading Scale'!E$4)+(IF(H462="yes",1,0)*'Grading Scale'!E$5)+(IF(I462="yes",1,0)*'Grading Scale'!E$6)+(IF(J462="yes",1,0)*'Grading Scale'!E$7)+(IF(K462="yes",1,0)*'Grading Scale'!E$8)+(IF(L462="yes",1,0)*'Grading Scale'!E$9)+(IF(M462="yes",1,0)*'Grading Scale'!E$10)+(IF(N462="yes",1,0)*'Grading Scale'!E$11)+(IF(O462="yes",1,0)*'Grading Scale'!E$12)+(IF(P462="yes",1,0)*'Grading Scale'!E$13))/'Grading Scale'!E$14*100,0), "")</f>
        <v>35</v>
      </c>
      <c r="T462" s="6" t="str">
        <f>IF(ISNUMBER(S462),VLOOKUP(S462,'Grading Scale'!$A$2:$B$14, 2), "")</f>
        <v>F</v>
      </c>
      <c r="U462" s="7"/>
      <c r="V462" s="7"/>
      <c r="W462" s="7"/>
      <c r="X462" s="7"/>
      <c r="Y462" s="7"/>
      <c r="Z462" s="7"/>
      <c r="AA462" s="7"/>
      <c r="AB462" s="7"/>
      <c r="AC462" s="7"/>
      <c r="AD462" s="7"/>
      <c r="AE462" s="7"/>
      <c r="AF462" s="7"/>
      <c r="AG462" s="7"/>
      <c r="AH462" s="7"/>
      <c r="AI462" s="7"/>
      <c r="AJ462" s="7"/>
    </row>
    <row r="463">
      <c r="A463" s="4">
        <v>42410.0</v>
      </c>
      <c r="B463" s="5" t="s">
        <v>777</v>
      </c>
      <c r="C463" s="5" t="s">
        <v>28</v>
      </c>
      <c r="D463" s="6" t="str">
        <f>IF(NOT(ISBLANK(C463)), VLOOKUP(C463,'Dataset Descriptions'!$A$2:$B$10, 2, FALSE), "")</f>
        <v>The register of all corporations that exist in the state.</v>
      </c>
      <c r="E463" s="5" t="s">
        <v>25</v>
      </c>
      <c r="F463" s="5" t="s">
        <v>25</v>
      </c>
      <c r="G463" s="5" t="s">
        <v>25</v>
      </c>
      <c r="H463" s="5" t="s">
        <v>25</v>
      </c>
      <c r="I463" s="5" t="s">
        <v>25</v>
      </c>
      <c r="J463" s="5" t="s">
        <v>25</v>
      </c>
      <c r="K463" s="5" t="s">
        <v>23</v>
      </c>
      <c r="L463" s="5" t="s">
        <v>23</v>
      </c>
      <c r="M463" s="5" t="s">
        <v>25</v>
      </c>
      <c r="N463" s="5" t="s">
        <v>23</v>
      </c>
      <c r="O463" s="5" t="s">
        <v>25</v>
      </c>
      <c r="P463" s="5" t="s">
        <v>25</v>
      </c>
      <c r="Q463" s="9" t="s">
        <v>780</v>
      </c>
      <c r="R463" s="6" t="s">
        <v>781</v>
      </c>
      <c r="S463" s="6">
        <f>IF(NOT(ISBLANK(E463)), ROUND(((IF(E463="yes",1,0)*'Grading Scale'!E$2)+(IF(F463="yes",1,0)*'Grading Scale'!E$3)+(IF(G463="yes",1,0)*'Grading Scale'!E$4)+(IF(H463="yes",1,0)*'Grading Scale'!E$5)+(IF(I463="yes",1,0)*'Grading Scale'!E$6)+(IF(J463="yes",1,0)*'Grading Scale'!E$7)+(IF(K463="yes",1,0)*'Grading Scale'!E$8)+(IF(L463="yes",1,0)*'Grading Scale'!E$9)+(IF(M463="yes",1,0)*'Grading Scale'!E$10)+(IF(N463="yes",1,0)*'Grading Scale'!E$11)+(IF(O463="yes",1,0)*'Grading Scale'!E$12)+(IF(P463="yes",1,0)*'Grading Scale'!E$13))/'Grading Scale'!E$14*100,0), "")</f>
        <v>85</v>
      </c>
      <c r="T463" s="6" t="str">
        <f>IF(ISNUMBER(S463),VLOOKUP(S463,'Grading Scale'!$A$2:$B$14, 2), "")</f>
        <v>B</v>
      </c>
      <c r="U463" s="7"/>
      <c r="V463" s="7"/>
      <c r="W463" s="7"/>
      <c r="X463" s="7"/>
      <c r="Y463" s="7"/>
      <c r="Z463" s="7"/>
      <c r="AA463" s="7"/>
      <c r="AB463" s="7"/>
      <c r="AC463" s="7"/>
      <c r="AD463" s="7"/>
      <c r="AE463" s="7"/>
      <c r="AF463" s="7"/>
      <c r="AG463" s="7"/>
      <c r="AH463" s="7"/>
      <c r="AI463" s="7"/>
      <c r="AJ463" s="7"/>
    </row>
    <row r="464">
      <c r="A464" s="4">
        <v>42410.0</v>
      </c>
      <c r="B464" s="5" t="s">
        <v>777</v>
      </c>
      <c r="C464" s="5" t="s">
        <v>31</v>
      </c>
      <c r="D464" s="6" t="str">
        <f>IF(NOT(ISBLANK(C464)), VLOOKUP(C464,'Dataset Descriptions'!$A$2:$B$10, 2, FALSE), "")</f>
        <v>Per-facility inmate population records.</v>
      </c>
      <c r="E464" s="5" t="s">
        <v>22</v>
      </c>
      <c r="F464" s="5" t="s">
        <v>22</v>
      </c>
      <c r="G464" s="5" t="s">
        <v>22</v>
      </c>
      <c r="H464" s="5" t="s">
        <v>22</v>
      </c>
      <c r="I464" s="5" t="s">
        <v>23</v>
      </c>
      <c r="J464" s="5" t="s">
        <v>22</v>
      </c>
      <c r="K464" s="5" t="s">
        <v>22</v>
      </c>
      <c r="L464" s="5" t="s">
        <v>22</v>
      </c>
      <c r="M464" s="5" t="s">
        <v>22</v>
      </c>
      <c r="N464" s="5" t="s">
        <v>23</v>
      </c>
      <c r="O464" s="5" t="s">
        <v>22</v>
      </c>
      <c r="P464" s="5" t="s">
        <v>22</v>
      </c>
      <c r="Q464" s="7"/>
      <c r="R464" s="6" t="s">
        <v>782</v>
      </c>
      <c r="S464" s="6">
        <f>IF(NOT(ISBLANK(E464)), ROUND(((IF(E464="yes",1,0)*'Grading Scale'!E$2)+(IF(F464="yes",1,0)*'Grading Scale'!E$3)+(IF(G464="yes",1,0)*'Grading Scale'!E$4)+(IF(H464="yes",1,0)*'Grading Scale'!E$5)+(IF(I464="yes",1,0)*'Grading Scale'!E$6)+(IF(J464="yes",1,0)*'Grading Scale'!E$7)+(IF(K464="yes",1,0)*'Grading Scale'!E$8)+(IF(L464="yes",1,0)*'Grading Scale'!E$9)+(IF(M464="yes",1,0)*'Grading Scale'!E$10)+(IF(N464="yes",1,0)*'Grading Scale'!E$11)+(IF(O464="yes",1,0)*'Grading Scale'!E$12)+(IF(P464="yes",1,0)*'Grading Scale'!E$13))/'Grading Scale'!E$14*100,0), "")</f>
        <v>0</v>
      </c>
      <c r="T464" s="6" t="str">
        <f>IF(ISNUMBER(S464),VLOOKUP(S464,'Grading Scale'!$A$2:$B$14, 2), "")</f>
        <v>F</v>
      </c>
      <c r="U464" s="7"/>
      <c r="V464" s="7"/>
      <c r="W464" s="7"/>
      <c r="X464" s="7"/>
      <c r="Y464" s="7"/>
      <c r="Z464" s="7"/>
      <c r="AA464" s="7"/>
      <c r="AB464" s="7"/>
      <c r="AC464" s="7"/>
      <c r="AD464" s="7"/>
      <c r="AE464" s="7"/>
      <c r="AF464" s="7"/>
      <c r="AG464" s="7"/>
      <c r="AH464" s="7"/>
      <c r="AI464" s="7"/>
      <c r="AJ464" s="7"/>
    </row>
    <row r="465">
      <c r="A465" s="4">
        <v>42410.0</v>
      </c>
      <c r="B465" s="5" t="s">
        <v>777</v>
      </c>
      <c r="C465" s="5" t="s">
        <v>34</v>
      </c>
      <c r="D465" s="6" t="str">
        <f>IF(NOT(ISBLANK(C465)), VLOOKUP(C465,'Dataset Descriptions'!$A$2:$B$10, 2, FALSE), "")</f>
        <v>Bills before the legislature, and the legislators that comprise it.</v>
      </c>
      <c r="E465" s="5" t="s">
        <v>25</v>
      </c>
      <c r="F465" s="5" t="s">
        <v>25</v>
      </c>
      <c r="G465" s="5" t="s">
        <v>25</v>
      </c>
      <c r="H465" s="5" t="s">
        <v>25</v>
      </c>
      <c r="I465" s="5" t="s">
        <v>25</v>
      </c>
      <c r="J465" s="5" t="s">
        <v>23</v>
      </c>
      <c r="K465" s="5" t="s">
        <v>23</v>
      </c>
      <c r="L465" s="5" t="s">
        <v>22</v>
      </c>
      <c r="M465" s="5" t="s">
        <v>25</v>
      </c>
      <c r="N465" s="5" t="s">
        <v>23</v>
      </c>
      <c r="O465" s="5" t="s">
        <v>23</v>
      </c>
      <c r="P465" s="5" t="s">
        <v>25</v>
      </c>
      <c r="Q465" s="9" t="s">
        <v>783</v>
      </c>
      <c r="R465" s="6" t="s">
        <v>784</v>
      </c>
      <c r="S465" s="6">
        <f>IF(NOT(ISBLANK(E465)), ROUND(((IF(E465="yes",1,0)*'Grading Scale'!E$2)+(IF(F465="yes",1,0)*'Grading Scale'!E$3)+(IF(G465="yes",1,0)*'Grading Scale'!E$4)+(IF(H465="yes",1,0)*'Grading Scale'!E$5)+(IF(I465="yes",1,0)*'Grading Scale'!E$6)+(IF(J465="yes",1,0)*'Grading Scale'!E$7)+(IF(K465="yes",1,0)*'Grading Scale'!E$8)+(IF(L465="yes",1,0)*'Grading Scale'!E$9)+(IF(M465="yes",1,0)*'Grading Scale'!E$10)+(IF(N465="yes",1,0)*'Grading Scale'!E$11)+(IF(O465="yes",1,0)*'Grading Scale'!E$12)+(IF(P465="yes",1,0)*'Grading Scale'!E$13))/'Grading Scale'!E$14*100,0), "")</f>
        <v>40</v>
      </c>
      <c r="T465" s="6" t="str">
        <f>IF(ISNUMBER(S465),VLOOKUP(S465,'Grading Scale'!$A$2:$B$14, 2), "")</f>
        <v>F</v>
      </c>
      <c r="U465" s="7"/>
      <c r="V465" s="7"/>
      <c r="W465" s="7"/>
      <c r="X465" s="7"/>
      <c r="Y465" s="7"/>
      <c r="Z465" s="7"/>
      <c r="AA465" s="7"/>
      <c r="AB465" s="7"/>
      <c r="AC465" s="7"/>
      <c r="AD465" s="7"/>
      <c r="AE465" s="7"/>
      <c r="AF465" s="7"/>
      <c r="AG465" s="7"/>
      <c r="AH465" s="7"/>
      <c r="AI465" s="7"/>
      <c r="AJ465" s="7"/>
    </row>
    <row r="466">
      <c r="A466" s="4">
        <v>42410.0</v>
      </c>
      <c r="B466" s="5" t="s">
        <v>777</v>
      </c>
      <c r="C466" s="6" t="s">
        <v>37</v>
      </c>
      <c r="D466" s="6" t="str">
        <f>IF(NOT(ISBLANK(C466)), VLOOKUP(C466,'Dataset Descriptions'!$A$2:$B$10, 2, FALSE), "")</f>
        <v>Forecasts of municipal-level changes in population over coming years.</v>
      </c>
      <c r="E466" s="5" t="s">
        <v>25</v>
      </c>
      <c r="F466" s="5" t="s">
        <v>25</v>
      </c>
      <c r="G466" s="5" t="s">
        <v>25</v>
      </c>
      <c r="H466" s="5" t="s">
        <v>25</v>
      </c>
      <c r="I466" s="5" t="s">
        <v>25</v>
      </c>
      <c r="J466" s="5" t="s">
        <v>25</v>
      </c>
      <c r="K466" s="5" t="s">
        <v>25</v>
      </c>
      <c r="L466" s="5" t="s">
        <v>22</v>
      </c>
      <c r="M466" s="5" t="s">
        <v>25</v>
      </c>
      <c r="N466" s="5" t="s">
        <v>23</v>
      </c>
      <c r="O466" s="5" t="s">
        <v>23</v>
      </c>
      <c r="P466" s="5" t="s">
        <v>23</v>
      </c>
      <c r="Q466" s="9" t="s">
        <v>785</v>
      </c>
      <c r="R466" s="23" t="s">
        <v>786</v>
      </c>
      <c r="S466" s="6">
        <f>IF(NOT(ISBLANK(E466)), ROUND(((IF(E466="yes",1,0)*'Grading Scale'!E$2)+(IF(F466="yes",1,0)*'Grading Scale'!E$3)+(IF(G466="yes",1,0)*'Grading Scale'!E$4)+(IF(H466="yes",1,0)*'Grading Scale'!E$5)+(IF(I466="yes",1,0)*'Grading Scale'!E$6)+(IF(J466="yes",1,0)*'Grading Scale'!E$7)+(IF(K466="yes",1,0)*'Grading Scale'!E$8)+(IF(L466="yes",1,0)*'Grading Scale'!E$9)+(IF(M466="yes",1,0)*'Grading Scale'!E$10)+(IF(N466="yes",1,0)*'Grading Scale'!E$11)+(IF(O466="yes",1,0)*'Grading Scale'!E$12)+(IF(P466="yes",1,0)*'Grading Scale'!E$13))/'Grading Scale'!E$14*100,0), "")</f>
        <v>80</v>
      </c>
      <c r="T466" s="6" t="str">
        <f>IF(ISNUMBER(S466),VLOOKUP(S466,'Grading Scale'!$A$2:$B$14, 2), "")</f>
        <v>B−</v>
      </c>
      <c r="U466" s="7"/>
      <c r="V466" s="7"/>
      <c r="W466" s="7"/>
      <c r="X466" s="7"/>
      <c r="Y466" s="7"/>
      <c r="Z466" s="7"/>
      <c r="AA466" s="7"/>
      <c r="AB466" s="7"/>
      <c r="AC466" s="7"/>
      <c r="AD466" s="7"/>
      <c r="AE466" s="7"/>
      <c r="AF466" s="7"/>
      <c r="AG466" s="7"/>
      <c r="AH466" s="7"/>
      <c r="AI466" s="7"/>
      <c r="AJ466" s="7"/>
    </row>
    <row r="467">
      <c r="A467" s="4">
        <v>42410.0</v>
      </c>
      <c r="B467" s="5" t="s">
        <v>777</v>
      </c>
      <c r="C467" s="5" t="s">
        <v>40</v>
      </c>
      <c r="D467" s="6" t="str">
        <f>IF(NOT(ISBLANK(C467)), VLOOKUP(C467,'Dataset Descriptions'!$A$2:$B$10, 2, FALSE), "")</f>
        <v>State-owned land and buildings.</v>
      </c>
      <c r="E467" s="5" t="s">
        <v>25</v>
      </c>
      <c r="F467" s="5" t="s">
        <v>22</v>
      </c>
      <c r="G467" s="5" t="s">
        <v>22</v>
      </c>
      <c r="H467" s="5" t="s">
        <v>22</v>
      </c>
      <c r="I467" s="5" t="s">
        <v>23</v>
      </c>
      <c r="J467" s="5" t="s">
        <v>22</v>
      </c>
      <c r="K467" s="5" t="s">
        <v>22</v>
      </c>
      <c r="L467" s="5" t="s">
        <v>22</v>
      </c>
      <c r="M467" s="5" t="s">
        <v>22</v>
      </c>
      <c r="N467" s="5" t="s">
        <v>23</v>
      </c>
      <c r="O467" s="5" t="s">
        <v>22</v>
      </c>
      <c r="P467" s="5" t="s">
        <v>22</v>
      </c>
      <c r="Q467" s="7"/>
      <c r="R467" s="6" t="s">
        <v>787</v>
      </c>
      <c r="S467" s="6">
        <f>IF(NOT(ISBLANK(E467)), ROUND(((IF(E467="yes",1,0)*'Grading Scale'!E$2)+(IF(F467="yes",1,0)*'Grading Scale'!E$3)+(IF(G467="yes",1,0)*'Grading Scale'!E$4)+(IF(H467="yes",1,0)*'Grading Scale'!E$5)+(IF(I467="yes",1,0)*'Grading Scale'!E$6)+(IF(J467="yes",1,0)*'Grading Scale'!E$7)+(IF(K467="yes",1,0)*'Grading Scale'!E$8)+(IF(L467="yes",1,0)*'Grading Scale'!E$9)+(IF(M467="yes",1,0)*'Grading Scale'!E$10)+(IF(N467="yes",1,0)*'Grading Scale'!E$11)+(IF(O467="yes",1,0)*'Grading Scale'!E$12)+(IF(P467="yes",1,0)*'Grading Scale'!E$13))/'Grading Scale'!E$14*100,0), "")</f>
        <v>0</v>
      </c>
      <c r="T467" s="6" t="str">
        <f>IF(ISNUMBER(S467),VLOOKUP(S467,'Grading Scale'!$A$2:$B$14, 2), "")</f>
        <v>F</v>
      </c>
      <c r="U467" s="7"/>
      <c r="V467" s="7"/>
      <c r="W467" s="7"/>
      <c r="X467" s="7"/>
      <c r="Y467" s="7"/>
      <c r="Z467" s="7"/>
      <c r="AA467" s="7"/>
      <c r="AB467" s="7"/>
      <c r="AC467" s="7"/>
      <c r="AD467" s="7"/>
      <c r="AE467" s="7"/>
      <c r="AF467" s="7"/>
      <c r="AG467" s="7"/>
      <c r="AH467" s="7"/>
      <c r="AI467" s="7"/>
      <c r="AJ467" s="7"/>
    </row>
    <row r="468">
      <c r="A468" s="4">
        <v>42410.0</v>
      </c>
      <c r="B468" s="5" t="s">
        <v>777</v>
      </c>
      <c r="C468" s="5" t="s">
        <v>43</v>
      </c>
      <c r="D468" s="6" t="str">
        <f>IF(NOT(ISBLANK(C468)), VLOOKUP(C468,'Dataset Descriptions'!$A$2:$B$10, 2, FALSE), "")</f>
        <v>Health inspections of establishments that serve food to the public.</v>
      </c>
      <c r="E468" s="5" t="s">
        <v>22</v>
      </c>
      <c r="F468" s="5" t="s">
        <v>22</v>
      </c>
      <c r="G468" s="5" t="s">
        <v>22</v>
      </c>
      <c r="H468" s="5" t="s">
        <v>22</v>
      </c>
      <c r="I468" s="5" t="s">
        <v>23</v>
      </c>
      <c r="J468" s="5" t="s">
        <v>22</v>
      </c>
      <c r="K468" s="5" t="s">
        <v>22</v>
      </c>
      <c r="L468" s="5" t="s">
        <v>22</v>
      </c>
      <c r="M468" s="5" t="s">
        <v>22</v>
      </c>
      <c r="N468" s="5" t="s">
        <v>23</v>
      </c>
      <c r="O468" s="5" t="s">
        <v>22</v>
      </c>
      <c r="P468" s="5" t="s">
        <v>22</v>
      </c>
      <c r="Q468" s="7"/>
      <c r="R468" s="6" t="s">
        <v>788</v>
      </c>
      <c r="S468" s="6">
        <f>IF(NOT(ISBLANK(E468)), ROUND(((IF(E468="yes",1,0)*'Grading Scale'!E$2)+(IF(F468="yes",1,0)*'Grading Scale'!E$3)+(IF(G468="yes",1,0)*'Grading Scale'!E$4)+(IF(H468="yes",1,0)*'Grading Scale'!E$5)+(IF(I468="yes",1,0)*'Grading Scale'!E$6)+(IF(J468="yes",1,0)*'Grading Scale'!E$7)+(IF(K468="yes",1,0)*'Grading Scale'!E$8)+(IF(L468="yes",1,0)*'Grading Scale'!E$9)+(IF(M468="yes",1,0)*'Grading Scale'!E$10)+(IF(N468="yes",1,0)*'Grading Scale'!E$11)+(IF(O468="yes",1,0)*'Grading Scale'!E$12)+(IF(P468="yes",1,0)*'Grading Scale'!E$13))/'Grading Scale'!E$14*100,0), "")</f>
        <v>0</v>
      </c>
      <c r="T468" s="6" t="str">
        <f>IF(ISNUMBER(S468),VLOOKUP(S468,'Grading Scale'!$A$2:$B$14, 2), "")</f>
        <v>F</v>
      </c>
      <c r="U468" s="7"/>
      <c r="V468" s="7"/>
      <c r="W468" s="7"/>
      <c r="X468" s="7"/>
      <c r="Y468" s="7"/>
      <c r="Z468" s="7"/>
      <c r="AA468" s="7"/>
      <c r="AB468" s="7"/>
      <c r="AC468" s="7"/>
      <c r="AD468" s="7"/>
      <c r="AE468" s="7"/>
      <c r="AF468" s="7"/>
      <c r="AG468" s="7"/>
      <c r="AH468" s="7"/>
      <c r="AI468" s="7"/>
      <c r="AJ468" s="7"/>
    </row>
    <row r="469">
      <c r="A469" s="4">
        <v>42426.0</v>
      </c>
      <c r="B469" s="5" t="s">
        <v>777</v>
      </c>
      <c r="C469" s="5" t="s">
        <v>46</v>
      </c>
      <c r="D469" s="6" t="str">
        <f>IF(NOT(ISBLANK(C469)), VLOOKUP(C469,'Dataset Descriptions'!$A$2:$B$10, 2, FALSE), "")</f>
        <v>Incident-level reportable motor vehicle crash records.</v>
      </c>
      <c r="E469" s="5" t="s">
        <v>25</v>
      </c>
      <c r="F469" s="5" t="s">
        <v>25</v>
      </c>
      <c r="G469" s="5" t="s">
        <v>25</v>
      </c>
      <c r="H469" s="5" t="s">
        <v>25</v>
      </c>
      <c r="I469" s="5" t="s">
        <v>25</v>
      </c>
      <c r="J469" s="5" t="s">
        <v>23</v>
      </c>
      <c r="K469" s="5" t="s">
        <v>23</v>
      </c>
      <c r="L469" s="5" t="s">
        <v>23</v>
      </c>
      <c r="M469" s="5" t="s">
        <v>23</v>
      </c>
      <c r="N469" s="5" t="s">
        <v>23</v>
      </c>
      <c r="O469" s="5" t="s">
        <v>23</v>
      </c>
      <c r="P469" s="5" t="s">
        <v>25</v>
      </c>
      <c r="Q469" s="9" t="s">
        <v>789</v>
      </c>
      <c r="R469" s="6" t="s">
        <v>790</v>
      </c>
      <c r="S469" s="6">
        <f>IF(NOT(ISBLANK(E469)), ROUND(((IF(E469="yes",1,0)*'Grading Scale'!E$2)+(IF(F469="yes",1,0)*'Grading Scale'!E$3)+(IF(G469="yes",1,0)*'Grading Scale'!E$4)+(IF(H469="yes",1,0)*'Grading Scale'!E$5)+(IF(I469="yes",1,0)*'Grading Scale'!E$6)+(IF(J469="yes",1,0)*'Grading Scale'!E$7)+(IF(K469="yes",1,0)*'Grading Scale'!E$8)+(IF(L469="yes",1,0)*'Grading Scale'!E$9)+(IF(M469="yes",1,0)*'Grading Scale'!E$10)+(IF(N469="yes",1,0)*'Grading Scale'!E$11)+(IF(O469="yes",1,0)*'Grading Scale'!E$12)+(IF(P469="yes",1,0)*'Grading Scale'!E$13))/'Grading Scale'!E$14*100,0), "")</f>
        <v>35</v>
      </c>
      <c r="T469" s="6" t="str">
        <f>IF(ISNUMBER(S469),VLOOKUP(S469,'Grading Scale'!$A$2:$B$14, 2), "")</f>
        <v>F</v>
      </c>
      <c r="U469" s="7"/>
      <c r="V469" s="7"/>
      <c r="W469" s="7"/>
      <c r="X469" s="7"/>
      <c r="Y469" s="7"/>
      <c r="Z469" s="7"/>
      <c r="AA469" s="7"/>
      <c r="AB469" s="7"/>
      <c r="AC469" s="7"/>
      <c r="AD469" s="7"/>
      <c r="AE469" s="7"/>
      <c r="AF469" s="7"/>
      <c r="AG469" s="7"/>
      <c r="AH469" s="7"/>
      <c r="AI469" s="7"/>
      <c r="AJ469" s="7"/>
    </row>
    <row r="470">
      <c r="A470" s="7"/>
      <c r="B470" s="7"/>
      <c r="C470" s="7"/>
      <c r="D470" s="6" t="str">
        <f>IF(NOT(ISBLANK(C470)), VLOOKUP(C470,'Dataset Descriptions'!$A$2:$B$10, 2, FALSE), "")</f>
        <v/>
      </c>
      <c r="E470" s="7"/>
      <c r="F470" s="7"/>
      <c r="G470" s="7"/>
      <c r="H470" s="7"/>
      <c r="I470" s="7"/>
      <c r="J470" s="7"/>
      <c r="K470" s="7"/>
      <c r="L470" s="7"/>
      <c r="M470" s="7"/>
      <c r="N470" s="7"/>
      <c r="O470" s="7"/>
      <c r="P470" s="7"/>
      <c r="Q470" s="7"/>
      <c r="R470" s="8"/>
      <c r="S470" s="6" t="str">
        <f>IF(NOT(ISBLANK(E470)), ROUND(((IF(E470="yes",1,0)*'Grading Scale'!E$2)+(IF(F470="yes",1,0)*'Grading Scale'!E$3)+(IF(G470="yes",1,0)*'Grading Scale'!E$4)+(IF(H470="yes",1,0)*'Grading Scale'!E$5)+(IF(I470="yes",1,0)*'Grading Scale'!E$6)+(IF(J470="yes",1,0)*'Grading Scale'!E$7)+(IF(K470="yes",1,0)*'Grading Scale'!E$8)+(IF(L470="yes",1,0)*'Grading Scale'!E$9)+(IF(M470="yes",1,0)*'Grading Scale'!E$10)+(IF(N470="yes",1,0)*'Grading Scale'!E$11)+(IF(O470="yes",1,0)*'Grading Scale'!E$12)+(IF(P470="yes",1,0)*'Grading Scale'!E$13))/'Grading Scale'!E$14*100,0), "")</f>
        <v/>
      </c>
      <c r="T470" s="6" t="str">
        <f>IF(ISNUMBER(S470),VLOOKUP(S470,'Grading Scale'!$A$2:$B$14, 2), "")</f>
        <v/>
      </c>
      <c r="U470" s="7"/>
      <c r="V470" s="7"/>
      <c r="W470" s="7"/>
      <c r="X470" s="7"/>
      <c r="Y470" s="7"/>
      <c r="Z470" s="7"/>
      <c r="AA470" s="7"/>
      <c r="AB470" s="7"/>
      <c r="AC470" s="7"/>
      <c r="AD470" s="7"/>
      <c r="AE470" s="7"/>
      <c r="AF470" s="7"/>
      <c r="AG470" s="7"/>
      <c r="AH470" s="7"/>
      <c r="AI470" s="7"/>
      <c r="AJ470" s="7"/>
    </row>
    <row r="471">
      <c r="A471" s="7"/>
      <c r="B471" s="7"/>
      <c r="C471" s="7"/>
      <c r="D471" s="6" t="str">
        <f>IF(NOT(ISBLANK(C471)), VLOOKUP(C471,'Dataset Descriptions'!$A$2:$B$10, 2, FALSE), "")</f>
        <v/>
      </c>
      <c r="E471" s="7"/>
      <c r="F471" s="7"/>
      <c r="G471" s="7"/>
      <c r="H471" s="7"/>
      <c r="I471" s="7"/>
      <c r="J471" s="7"/>
      <c r="K471" s="7"/>
      <c r="L471" s="7"/>
      <c r="M471" s="7"/>
      <c r="N471" s="7"/>
      <c r="O471" s="7"/>
      <c r="P471" s="7"/>
      <c r="Q471" s="7"/>
      <c r="R471" s="8"/>
      <c r="S471" s="6" t="str">
        <f>IF(NOT(ISBLANK(E471)), ROUND(((IF(E471="yes",1,0)*'Grading Scale'!E$2)+(IF(F471="yes",1,0)*'Grading Scale'!E$3)+(IF(G471="yes",1,0)*'Grading Scale'!E$4)+(IF(H471="yes",1,0)*'Grading Scale'!E$5)+(IF(I471="yes",1,0)*'Grading Scale'!E$6)+(IF(J471="yes",1,0)*'Grading Scale'!E$7)+(IF(K471="yes",1,0)*'Grading Scale'!E$8)+(IF(L471="yes",1,0)*'Grading Scale'!E$9)+(IF(M471="yes",1,0)*'Grading Scale'!E$10)+(IF(N471="yes",1,0)*'Grading Scale'!E$11)+(IF(O471="yes",1,0)*'Grading Scale'!E$12)+(IF(P471="yes",1,0)*'Grading Scale'!E$13))/'Grading Scale'!E$14*100,0), "")</f>
        <v/>
      </c>
      <c r="T471" s="6" t="str">
        <f>IF(ISNUMBER(S471),VLOOKUP(S471,'Grading Scale'!$A$2:$B$14, 2), "")</f>
        <v/>
      </c>
      <c r="U471" s="7"/>
      <c r="V471" s="7"/>
      <c r="W471" s="7"/>
      <c r="X471" s="7"/>
      <c r="Y471" s="7"/>
      <c r="Z471" s="7"/>
      <c r="AA471" s="7"/>
      <c r="AB471" s="7"/>
      <c r="AC471" s="7"/>
      <c r="AD471" s="7"/>
      <c r="AE471" s="7"/>
      <c r="AF471" s="7"/>
      <c r="AG471" s="7"/>
      <c r="AH471" s="7"/>
      <c r="AI471" s="7"/>
      <c r="AJ471" s="7"/>
    </row>
    <row r="472">
      <c r="A472" s="7"/>
      <c r="B472" s="7"/>
      <c r="C472" s="7"/>
      <c r="D472" s="6" t="str">
        <f>IF(NOT(ISBLANK(C472)), VLOOKUP(C472,'Dataset Descriptions'!$A$2:$B$10, 2, FALSE), "")</f>
        <v/>
      </c>
      <c r="E472" s="7"/>
      <c r="F472" s="7"/>
      <c r="G472" s="7"/>
      <c r="H472" s="7"/>
      <c r="I472" s="7"/>
      <c r="J472" s="7"/>
      <c r="K472" s="7"/>
      <c r="L472" s="7"/>
      <c r="M472" s="7"/>
      <c r="N472" s="7"/>
      <c r="O472" s="7"/>
      <c r="P472" s="7"/>
      <c r="Q472" s="7"/>
      <c r="R472" s="8"/>
      <c r="S472" s="6" t="str">
        <f>IF(NOT(ISBLANK(E472)), ROUND(((IF(E472="yes",1,0)*'Grading Scale'!E$2)+(IF(F472="yes",1,0)*'Grading Scale'!E$3)+(IF(G472="yes",1,0)*'Grading Scale'!E$4)+(IF(H472="yes",1,0)*'Grading Scale'!E$5)+(IF(I472="yes",1,0)*'Grading Scale'!E$6)+(IF(J472="yes",1,0)*'Grading Scale'!E$7)+(IF(K472="yes",1,0)*'Grading Scale'!E$8)+(IF(L472="yes",1,0)*'Grading Scale'!E$9)+(IF(M472="yes",1,0)*'Grading Scale'!E$10)+(IF(N472="yes",1,0)*'Grading Scale'!E$11)+(IF(O472="yes",1,0)*'Grading Scale'!E$12)+(IF(P472="yes",1,0)*'Grading Scale'!E$13))/'Grading Scale'!E$14*100,0), "")</f>
        <v/>
      </c>
      <c r="T472" s="6" t="str">
        <f>IF(ISNUMBER(S472),VLOOKUP(S472,'Grading Scale'!$A$2:$B$14, 2), "")</f>
        <v/>
      </c>
      <c r="U472" s="7"/>
      <c r="V472" s="7"/>
      <c r="W472" s="7"/>
      <c r="X472" s="7"/>
      <c r="Y472" s="7"/>
      <c r="Z472" s="7"/>
      <c r="AA472" s="7"/>
      <c r="AB472" s="7"/>
      <c r="AC472" s="7"/>
      <c r="AD472" s="7"/>
      <c r="AE472" s="7"/>
      <c r="AF472" s="7"/>
      <c r="AG472" s="7"/>
      <c r="AH472" s="7"/>
      <c r="AI472" s="7"/>
      <c r="AJ472" s="7"/>
    </row>
    <row r="473">
      <c r="A473" s="7"/>
      <c r="B473" s="7"/>
      <c r="C473" s="7"/>
      <c r="D473" s="6" t="str">
        <f>IF(NOT(ISBLANK(C473)), VLOOKUP(C473,'Dataset Descriptions'!$A$2:$B$10, 2, FALSE), "")</f>
        <v/>
      </c>
      <c r="E473" s="7"/>
      <c r="F473" s="7"/>
      <c r="G473" s="7"/>
      <c r="H473" s="7"/>
      <c r="I473" s="7"/>
      <c r="J473" s="7"/>
      <c r="K473" s="7"/>
      <c r="L473" s="7"/>
      <c r="M473" s="7"/>
      <c r="N473" s="7"/>
      <c r="O473" s="7"/>
      <c r="P473" s="7"/>
      <c r="Q473" s="7"/>
      <c r="R473" s="8"/>
      <c r="S473" s="6" t="str">
        <f>IF(NOT(ISBLANK(E473)), ROUND(((IF(E473="yes",1,0)*'Grading Scale'!E$2)+(IF(F473="yes",1,0)*'Grading Scale'!E$3)+(IF(G473="yes",1,0)*'Grading Scale'!E$4)+(IF(H473="yes",1,0)*'Grading Scale'!E$5)+(IF(I473="yes",1,0)*'Grading Scale'!E$6)+(IF(J473="yes",1,0)*'Grading Scale'!E$7)+(IF(K473="yes",1,0)*'Grading Scale'!E$8)+(IF(L473="yes",1,0)*'Grading Scale'!E$9)+(IF(M473="yes",1,0)*'Grading Scale'!E$10)+(IF(N473="yes",1,0)*'Grading Scale'!E$11)+(IF(O473="yes",1,0)*'Grading Scale'!E$12)+(IF(P473="yes",1,0)*'Grading Scale'!E$13))/'Grading Scale'!E$14*100,0), "")</f>
        <v/>
      </c>
      <c r="T473" s="6" t="str">
        <f>IF(ISNUMBER(S473),VLOOKUP(S473,'Grading Scale'!$A$2:$B$14, 2), "")</f>
        <v/>
      </c>
      <c r="U473" s="7"/>
      <c r="V473" s="7"/>
      <c r="W473" s="7"/>
      <c r="X473" s="7"/>
      <c r="Y473" s="7"/>
      <c r="Z473" s="7"/>
      <c r="AA473" s="7"/>
      <c r="AB473" s="7"/>
      <c r="AC473" s="7"/>
      <c r="AD473" s="7"/>
      <c r="AE473" s="7"/>
      <c r="AF473" s="7"/>
      <c r="AG473" s="7"/>
      <c r="AH473" s="7"/>
      <c r="AI473" s="7"/>
      <c r="AJ473" s="7"/>
    </row>
    <row r="474">
      <c r="A474" s="7"/>
      <c r="B474" s="7"/>
      <c r="C474" s="7"/>
      <c r="D474" s="6" t="str">
        <f>IF(NOT(ISBLANK(C474)), VLOOKUP(C474,'Dataset Descriptions'!$A$2:$B$10, 2, FALSE), "")</f>
        <v/>
      </c>
      <c r="E474" s="7"/>
      <c r="F474" s="7"/>
      <c r="G474" s="7"/>
      <c r="H474" s="7"/>
      <c r="I474" s="7"/>
      <c r="J474" s="7"/>
      <c r="K474" s="7"/>
      <c r="L474" s="7"/>
      <c r="M474" s="7"/>
      <c r="N474" s="7"/>
      <c r="O474" s="7"/>
      <c r="P474" s="7"/>
      <c r="Q474" s="7"/>
      <c r="R474" s="8"/>
      <c r="S474" s="6" t="str">
        <f>IF(NOT(ISBLANK(E474)), ROUND(((IF(E474="yes",1,0)*'Grading Scale'!E$2)+(IF(F474="yes",1,0)*'Grading Scale'!E$3)+(IF(G474="yes",1,0)*'Grading Scale'!E$4)+(IF(H474="yes",1,0)*'Grading Scale'!E$5)+(IF(I474="yes",1,0)*'Grading Scale'!E$6)+(IF(J474="yes",1,0)*'Grading Scale'!E$7)+(IF(K474="yes",1,0)*'Grading Scale'!E$8)+(IF(L474="yes",1,0)*'Grading Scale'!E$9)+(IF(M474="yes",1,0)*'Grading Scale'!E$10)+(IF(N474="yes",1,0)*'Grading Scale'!E$11)+(IF(O474="yes",1,0)*'Grading Scale'!E$12)+(IF(P474="yes",1,0)*'Grading Scale'!E$13))/'Grading Scale'!E$14*100,0), "")</f>
        <v/>
      </c>
      <c r="T474" s="6" t="str">
        <f>IF(ISNUMBER(S474),VLOOKUP(S474,'Grading Scale'!$A$2:$B$14, 2), "")</f>
        <v/>
      </c>
      <c r="U474" s="7"/>
      <c r="V474" s="7"/>
      <c r="W474" s="7"/>
      <c r="X474" s="7"/>
      <c r="Y474" s="7"/>
      <c r="Z474" s="7"/>
      <c r="AA474" s="7"/>
      <c r="AB474" s="7"/>
      <c r="AC474" s="7"/>
      <c r="AD474" s="7"/>
      <c r="AE474" s="7"/>
      <c r="AF474" s="7"/>
      <c r="AG474" s="7"/>
      <c r="AH474" s="7"/>
      <c r="AI474" s="7"/>
      <c r="AJ474" s="7"/>
    </row>
    <row r="475">
      <c r="A475" s="7"/>
      <c r="B475" s="7"/>
      <c r="C475" s="7"/>
      <c r="D475" s="6" t="str">
        <f>IF(NOT(ISBLANK(C475)), VLOOKUP(C475,'Dataset Descriptions'!$A$2:$B$10, 2, FALSE), "")</f>
        <v/>
      </c>
      <c r="E475" s="7"/>
      <c r="F475" s="7"/>
      <c r="G475" s="7"/>
      <c r="H475" s="7"/>
      <c r="I475" s="7"/>
      <c r="J475" s="7"/>
      <c r="K475" s="7"/>
      <c r="L475" s="7"/>
      <c r="M475" s="7"/>
      <c r="N475" s="7"/>
      <c r="O475" s="7"/>
      <c r="P475" s="7"/>
      <c r="Q475" s="7"/>
      <c r="R475" s="8"/>
      <c r="S475" s="6" t="str">
        <f>IF(NOT(ISBLANK(E475)), ROUND(((IF(E475="yes",1,0)*'Grading Scale'!E$2)+(IF(F475="yes",1,0)*'Grading Scale'!E$3)+(IF(G475="yes",1,0)*'Grading Scale'!E$4)+(IF(H475="yes",1,0)*'Grading Scale'!E$5)+(IF(I475="yes",1,0)*'Grading Scale'!E$6)+(IF(J475="yes",1,0)*'Grading Scale'!E$7)+(IF(K475="yes",1,0)*'Grading Scale'!E$8)+(IF(L475="yes",1,0)*'Grading Scale'!E$9)+(IF(M475="yes",1,0)*'Grading Scale'!E$10)+(IF(N475="yes",1,0)*'Grading Scale'!E$11)+(IF(O475="yes",1,0)*'Grading Scale'!E$12)+(IF(P475="yes",1,0)*'Grading Scale'!E$13))/'Grading Scale'!E$14*100,0), "")</f>
        <v/>
      </c>
      <c r="T475" s="6" t="str">
        <f>IF(ISNUMBER(S475),VLOOKUP(S475,'Grading Scale'!$A$2:$B$14, 2), "")</f>
        <v/>
      </c>
      <c r="U475" s="7"/>
      <c r="V475" s="7"/>
      <c r="W475" s="7"/>
      <c r="X475" s="7"/>
      <c r="Y475" s="7"/>
      <c r="Z475" s="7"/>
      <c r="AA475" s="7"/>
      <c r="AB475" s="7"/>
      <c r="AC475" s="7"/>
      <c r="AD475" s="7"/>
      <c r="AE475" s="7"/>
      <c r="AF475" s="7"/>
      <c r="AG475" s="7"/>
      <c r="AH475" s="7"/>
      <c r="AI475" s="7"/>
      <c r="AJ475" s="7"/>
    </row>
    <row r="476">
      <c r="A476" s="7"/>
      <c r="B476" s="7"/>
      <c r="C476" s="7"/>
      <c r="D476" s="6" t="str">
        <f>IF(NOT(ISBLANK(C476)), VLOOKUP(C476,'Dataset Descriptions'!$A$2:$B$10, 2, FALSE), "")</f>
        <v/>
      </c>
      <c r="E476" s="7"/>
      <c r="F476" s="7"/>
      <c r="G476" s="7"/>
      <c r="H476" s="7"/>
      <c r="I476" s="7"/>
      <c r="J476" s="7"/>
      <c r="K476" s="7"/>
      <c r="L476" s="7"/>
      <c r="M476" s="7"/>
      <c r="N476" s="7"/>
      <c r="O476" s="7"/>
      <c r="P476" s="7"/>
      <c r="Q476" s="7"/>
      <c r="R476" s="8"/>
      <c r="S476" s="6" t="str">
        <f>IF(NOT(ISBLANK(E476)), ROUND(((IF(E476="yes",1,0)*'Grading Scale'!E$2)+(IF(F476="yes",1,0)*'Grading Scale'!E$3)+(IF(G476="yes",1,0)*'Grading Scale'!E$4)+(IF(H476="yes",1,0)*'Grading Scale'!E$5)+(IF(I476="yes",1,0)*'Grading Scale'!E$6)+(IF(J476="yes",1,0)*'Grading Scale'!E$7)+(IF(K476="yes",1,0)*'Grading Scale'!E$8)+(IF(L476="yes",1,0)*'Grading Scale'!E$9)+(IF(M476="yes",1,0)*'Grading Scale'!E$10)+(IF(N476="yes",1,0)*'Grading Scale'!E$11)+(IF(O476="yes",1,0)*'Grading Scale'!E$12)+(IF(P476="yes",1,0)*'Grading Scale'!E$13))/'Grading Scale'!E$14*100,0), "")</f>
        <v/>
      </c>
      <c r="T476" s="6" t="str">
        <f>IF(ISNUMBER(S476),VLOOKUP(S476,'Grading Scale'!$A$2:$B$14, 2), "")</f>
        <v/>
      </c>
      <c r="U476" s="7"/>
      <c r="V476" s="7"/>
      <c r="W476" s="7"/>
      <c r="X476" s="7"/>
      <c r="Y476" s="7"/>
      <c r="Z476" s="7"/>
      <c r="AA476" s="7"/>
      <c r="AB476" s="7"/>
      <c r="AC476" s="7"/>
      <c r="AD476" s="7"/>
      <c r="AE476" s="7"/>
      <c r="AF476" s="7"/>
      <c r="AG476" s="7"/>
      <c r="AH476" s="7"/>
      <c r="AI476" s="7"/>
      <c r="AJ476" s="7"/>
    </row>
    <row r="477">
      <c r="A477" s="7"/>
      <c r="B477" s="7"/>
      <c r="C477" s="7"/>
      <c r="D477" s="6" t="str">
        <f>IF(NOT(ISBLANK(C477)), VLOOKUP(C477,'Dataset Descriptions'!$A$2:$B$10, 2, FALSE), "")</f>
        <v/>
      </c>
      <c r="E477" s="7"/>
      <c r="F477" s="7"/>
      <c r="G477" s="7"/>
      <c r="H477" s="7"/>
      <c r="I477" s="7"/>
      <c r="J477" s="7"/>
      <c r="K477" s="7"/>
      <c r="L477" s="7"/>
      <c r="M477" s="7"/>
      <c r="N477" s="7"/>
      <c r="O477" s="7"/>
      <c r="P477" s="7"/>
      <c r="Q477" s="7"/>
      <c r="R477" s="8"/>
      <c r="S477" s="6" t="str">
        <f>IF(NOT(ISBLANK(E477)), ROUND(((IF(E477="yes",1,0)*'Grading Scale'!E$2)+(IF(F477="yes",1,0)*'Grading Scale'!E$3)+(IF(G477="yes",1,0)*'Grading Scale'!E$4)+(IF(H477="yes",1,0)*'Grading Scale'!E$5)+(IF(I477="yes",1,0)*'Grading Scale'!E$6)+(IF(J477="yes",1,0)*'Grading Scale'!E$7)+(IF(K477="yes",1,0)*'Grading Scale'!E$8)+(IF(L477="yes",1,0)*'Grading Scale'!E$9)+(IF(M477="yes",1,0)*'Grading Scale'!E$10)+(IF(N477="yes",1,0)*'Grading Scale'!E$11)+(IF(O477="yes",1,0)*'Grading Scale'!E$12)+(IF(P477="yes",1,0)*'Grading Scale'!E$13))/'Grading Scale'!E$14*100,0), "")</f>
        <v/>
      </c>
      <c r="T477" s="6" t="str">
        <f>IF(ISNUMBER(S477),VLOOKUP(S477,'Grading Scale'!$A$2:$B$14, 2), "")</f>
        <v/>
      </c>
      <c r="U477" s="7"/>
      <c r="V477" s="7"/>
      <c r="W477" s="7"/>
      <c r="X477" s="7"/>
      <c r="Y477" s="7"/>
      <c r="Z477" s="7"/>
      <c r="AA477" s="7"/>
      <c r="AB477" s="7"/>
      <c r="AC477" s="7"/>
      <c r="AD477" s="7"/>
      <c r="AE477" s="7"/>
      <c r="AF477" s="7"/>
      <c r="AG477" s="7"/>
      <c r="AH477" s="7"/>
      <c r="AI477" s="7"/>
      <c r="AJ477" s="7"/>
    </row>
    <row r="478">
      <c r="A478" s="7"/>
      <c r="B478" s="7"/>
      <c r="C478" s="7"/>
      <c r="D478" s="6" t="str">
        <f>IF(NOT(ISBLANK(C478)), VLOOKUP(C478,'Dataset Descriptions'!$A$2:$B$10, 2, FALSE), "")</f>
        <v/>
      </c>
      <c r="E478" s="7"/>
      <c r="F478" s="7"/>
      <c r="G478" s="7"/>
      <c r="H478" s="7"/>
      <c r="I478" s="7"/>
      <c r="J478" s="7"/>
      <c r="K478" s="7"/>
      <c r="L478" s="7"/>
      <c r="M478" s="7"/>
      <c r="N478" s="7"/>
      <c r="O478" s="7"/>
      <c r="P478" s="7"/>
      <c r="Q478" s="7"/>
      <c r="R478" s="8"/>
      <c r="S478" s="6" t="str">
        <f>IF(NOT(ISBLANK(E478)), ROUND(((IF(E478="yes",1,0)*'Grading Scale'!E$2)+(IF(F478="yes",1,0)*'Grading Scale'!E$3)+(IF(G478="yes",1,0)*'Grading Scale'!E$4)+(IF(H478="yes",1,0)*'Grading Scale'!E$5)+(IF(I478="yes",1,0)*'Grading Scale'!E$6)+(IF(J478="yes",1,0)*'Grading Scale'!E$7)+(IF(K478="yes",1,0)*'Grading Scale'!E$8)+(IF(L478="yes",1,0)*'Grading Scale'!E$9)+(IF(M478="yes",1,0)*'Grading Scale'!E$10)+(IF(N478="yes",1,0)*'Grading Scale'!E$11)+(IF(O478="yes",1,0)*'Grading Scale'!E$12)+(IF(P478="yes",1,0)*'Grading Scale'!E$13))/'Grading Scale'!E$14*100,0), "")</f>
        <v/>
      </c>
      <c r="T478" s="6" t="str">
        <f>IF(ISNUMBER(S478),VLOOKUP(S478,'Grading Scale'!$A$2:$B$14, 2), "")</f>
        <v/>
      </c>
      <c r="U478" s="7"/>
      <c r="V478" s="7"/>
      <c r="W478" s="7"/>
      <c r="X478" s="7"/>
      <c r="Y478" s="7"/>
      <c r="Z478" s="7"/>
      <c r="AA478" s="7"/>
      <c r="AB478" s="7"/>
      <c r="AC478" s="7"/>
      <c r="AD478" s="7"/>
      <c r="AE478" s="7"/>
      <c r="AF478" s="7"/>
      <c r="AG478" s="7"/>
      <c r="AH478" s="7"/>
      <c r="AI478" s="7"/>
      <c r="AJ478" s="7"/>
    </row>
    <row r="479">
      <c r="A479" s="7"/>
      <c r="B479" s="7"/>
      <c r="C479" s="7"/>
      <c r="D479" s="6" t="str">
        <f>IF(NOT(ISBLANK(C479)), VLOOKUP(C479,'Dataset Descriptions'!$A$2:$B$10, 2, FALSE), "")</f>
        <v/>
      </c>
      <c r="E479" s="7"/>
      <c r="F479" s="7"/>
      <c r="G479" s="7"/>
      <c r="H479" s="7"/>
      <c r="I479" s="7"/>
      <c r="J479" s="7"/>
      <c r="K479" s="7"/>
      <c r="L479" s="7"/>
      <c r="M479" s="7"/>
      <c r="N479" s="7"/>
      <c r="O479" s="7"/>
      <c r="P479" s="7"/>
      <c r="Q479" s="7"/>
      <c r="R479" s="8"/>
      <c r="S479" s="6" t="str">
        <f>IF(NOT(ISBLANK(E479)), ROUND(((IF(E479="yes",1,0)*'Grading Scale'!E$2)+(IF(F479="yes",1,0)*'Grading Scale'!E$3)+(IF(G479="yes",1,0)*'Grading Scale'!E$4)+(IF(H479="yes",1,0)*'Grading Scale'!E$5)+(IF(I479="yes",1,0)*'Grading Scale'!E$6)+(IF(J479="yes",1,0)*'Grading Scale'!E$7)+(IF(K479="yes",1,0)*'Grading Scale'!E$8)+(IF(L479="yes",1,0)*'Grading Scale'!E$9)+(IF(M479="yes",1,0)*'Grading Scale'!E$10)+(IF(N479="yes",1,0)*'Grading Scale'!E$11)+(IF(O479="yes",1,0)*'Grading Scale'!E$12)+(IF(P479="yes",1,0)*'Grading Scale'!E$13))/'Grading Scale'!E$14*100,0), "")</f>
        <v/>
      </c>
      <c r="T479" s="6" t="str">
        <f>IF(ISNUMBER(S479),VLOOKUP(S479,'Grading Scale'!$A$2:$B$14, 2), "")</f>
        <v/>
      </c>
      <c r="U479" s="7"/>
      <c r="V479" s="7"/>
      <c r="W479" s="7"/>
      <c r="X479" s="7"/>
      <c r="Y479" s="7"/>
      <c r="Z479" s="7"/>
      <c r="AA479" s="7"/>
      <c r="AB479" s="7"/>
      <c r="AC479" s="7"/>
      <c r="AD479" s="7"/>
      <c r="AE479" s="7"/>
      <c r="AF479" s="7"/>
      <c r="AG479" s="7"/>
      <c r="AH479" s="7"/>
      <c r="AI479" s="7"/>
      <c r="AJ479" s="7"/>
    </row>
    <row r="480">
      <c r="A480" s="7"/>
      <c r="B480" s="7"/>
      <c r="C480" s="7"/>
      <c r="D480" s="6" t="str">
        <f>IF(NOT(ISBLANK(C480)), VLOOKUP(C480,'Dataset Descriptions'!$A$2:$B$10, 2, FALSE), "")</f>
        <v/>
      </c>
      <c r="E480" s="7"/>
      <c r="F480" s="7"/>
      <c r="G480" s="7"/>
      <c r="H480" s="7"/>
      <c r="I480" s="7"/>
      <c r="J480" s="7"/>
      <c r="K480" s="7"/>
      <c r="L480" s="7"/>
      <c r="M480" s="7"/>
      <c r="N480" s="7"/>
      <c r="O480" s="7"/>
      <c r="P480" s="7"/>
      <c r="Q480" s="7"/>
      <c r="R480" s="8"/>
      <c r="S480" s="6" t="str">
        <f>IF(NOT(ISBLANK(E480)), ROUND(((IF(E480="yes",1,0)*'Grading Scale'!E$2)+(IF(F480="yes",1,0)*'Grading Scale'!E$3)+(IF(G480="yes",1,0)*'Grading Scale'!E$4)+(IF(H480="yes",1,0)*'Grading Scale'!E$5)+(IF(I480="yes",1,0)*'Grading Scale'!E$6)+(IF(J480="yes",1,0)*'Grading Scale'!E$7)+(IF(K480="yes",1,0)*'Grading Scale'!E$8)+(IF(L480="yes",1,0)*'Grading Scale'!E$9)+(IF(M480="yes",1,0)*'Grading Scale'!E$10)+(IF(N480="yes",1,0)*'Grading Scale'!E$11)+(IF(O480="yes",1,0)*'Grading Scale'!E$12)+(IF(P480="yes",1,0)*'Grading Scale'!E$13))/'Grading Scale'!E$14*100,0), "")</f>
        <v/>
      </c>
      <c r="T480" s="6" t="str">
        <f>IF(ISNUMBER(S480),VLOOKUP(S480,'Grading Scale'!$A$2:$B$14, 2), "")</f>
        <v/>
      </c>
      <c r="U480" s="7"/>
      <c r="V480" s="7"/>
      <c r="W480" s="7"/>
      <c r="X480" s="7"/>
      <c r="Y480" s="7"/>
      <c r="Z480" s="7"/>
      <c r="AA480" s="7"/>
      <c r="AB480" s="7"/>
      <c r="AC480" s="7"/>
      <c r="AD480" s="7"/>
      <c r="AE480" s="7"/>
      <c r="AF480" s="7"/>
      <c r="AG480" s="7"/>
      <c r="AH480" s="7"/>
      <c r="AI480" s="7"/>
      <c r="AJ480" s="7"/>
    </row>
    <row r="481">
      <c r="A481" s="7"/>
      <c r="B481" s="7"/>
      <c r="C481" s="7"/>
      <c r="D481" s="6" t="str">
        <f>IF(NOT(ISBLANK(C481)), VLOOKUP(C481,'Dataset Descriptions'!$A$2:$B$10, 2, FALSE), "")</f>
        <v/>
      </c>
      <c r="E481" s="7"/>
      <c r="F481" s="7"/>
      <c r="G481" s="7"/>
      <c r="H481" s="7"/>
      <c r="I481" s="7"/>
      <c r="J481" s="7"/>
      <c r="K481" s="7"/>
      <c r="L481" s="7"/>
      <c r="M481" s="7"/>
      <c r="N481" s="7"/>
      <c r="O481" s="7"/>
      <c r="P481" s="7"/>
      <c r="Q481" s="7"/>
      <c r="R481" s="8"/>
      <c r="S481" s="6" t="str">
        <f>IF(NOT(ISBLANK(E481)), ROUND(((IF(E481="yes",1,0)*'Grading Scale'!E$2)+(IF(F481="yes",1,0)*'Grading Scale'!E$3)+(IF(G481="yes",1,0)*'Grading Scale'!E$4)+(IF(H481="yes",1,0)*'Grading Scale'!E$5)+(IF(I481="yes",1,0)*'Grading Scale'!E$6)+(IF(J481="yes",1,0)*'Grading Scale'!E$7)+(IF(K481="yes",1,0)*'Grading Scale'!E$8)+(IF(L481="yes",1,0)*'Grading Scale'!E$9)+(IF(M481="yes",1,0)*'Grading Scale'!E$10)+(IF(N481="yes",1,0)*'Grading Scale'!E$11)+(IF(O481="yes",1,0)*'Grading Scale'!E$12)+(IF(P481="yes",1,0)*'Grading Scale'!E$13))/'Grading Scale'!E$14*100,0), "")</f>
        <v/>
      </c>
      <c r="T481" s="6" t="str">
        <f>IF(ISNUMBER(S481),VLOOKUP(S481,'Grading Scale'!$A$2:$B$14, 2), "")</f>
        <v/>
      </c>
      <c r="U481" s="7"/>
      <c r="V481" s="7"/>
      <c r="W481" s="7"/>
      <c r="X481" s="7"/>
      <c r="Y481" s="7"/>
      <c r="Z481" s="7"/>
      <c r="AA481" s="7"/>
      <c r="AB481" s="7"/>
      <c r="AC481" s="7"/>
      <c r="AD481" s="7"/>
      <c r="AE481" s="7"/>
      <c r="AF481" s="7"/>
      <c r="AG481" s="7"/>
      <c r="AH481" s="7"/>
      <c r="AI481" s="7"/>
      <c r="AJ481" s="7"/>
    </row>
    <row r="482">
      <c r="A482" s="7"/>
      <c r="B482" s="7"/>
      <c r="C482" s="7"/>
      <c r="D482" s="6" t="str">
        <f>IF(NOT(ISBLANK(C482)), VLOOKUP(C482,'Dataset Descriptions'!$A$2:$B$10, 2, FALSE), "")</f>
        <v/>
      </c>
      <c r="E482" s="7"/>
      <c r="F482" s="7"/>
      <c r="G482" s="7"/>
      <c r="H482" s="7"/>
      <c r="I482" s="7"/>
      <c r="J482" s="7"/>
      <c r="K482" s="7"/>
      <c r="L482" s="7"/>
      <c r="M482" s="7"/>
      <c r="N482" s="7"/>
      <c r="O482" s="7"/>
      <c r="P482" s="7"/>
      <c r="Q482" s="7"/>
      <c r="R482" s="8"/>
      <c r="S482" s="6" t="str">
        <f>IF(NOT(ISBLANK(E482)), ROUND(((IF(E482="yes",1,0)*'Grading Scale'!E$2)+(IF(F482="yes",1,0)*'Grading Scale'!E$3)+(IF(G482="yes",1,0)*'Grading Scale'!E$4)+(IF(H482="yes",1,0)*'Grading Scale'!E$5)+(IF(I482="yes",1,0)*'Grading Scale'!E$6)+(IF(J482="yes",1,0)*'Grading Scale'!E$7)+(IF(K482="yes",1,0)*'Grading Scale'!E$8)+(IF(L482="yes",1,0)*'Grading Scale'!E$9)+(IF(M482="yes",1,0)*'Grading Scale'!E$10)+(IF(N482="yes",1,0)*'Grading Scale'!E$11)+(IF(O482="yes",1,0)*'Grading Scale'!E$12)+(IF(P482="yes",1,0)*'Grading Scale'!E$13))/'Grading Scale'!E$14*100,0), "")</f>
        <v/>
      </c>
      <c r="T482" s="6" t="str">
        <f>IF(ISNUMBER(S482),VLOOKUP(S482,'Grading Scale'!$A$2:$B$14, 2), "")</f>
        <v/>
      </c>
      <c r="U482" s="7"/>
      <c r="V482" s="7"/>
      <c r="W482" s="7"/>
      <c r="X482" s="7"/>
      <c r="Y482" s="7"/>
      <c r="Z482" s="7"/>
      <c r="AA482" s="7"/>
      <c r="AB482" s="7"/>
      <c r="AC482" s="7"/>
      <c r="AD482" s="7"/>
      <c r="AE482" s="7"/>
      <c r="AF482" s="7"/>
      <c r="AG482" s="7"/>
      <c r="AH482" s="7"/>
      <c r="AI482" s="7"/>
      <c r="AJ482" s="7"/>
    </row>
    <row r="483">
      <c r="A483" s="7"/>
      <c r="B483" s="7"/>
      <c r="C483" s="7"/>
      <c r="D483" s="6" t="str">
        <f>IF(NOT(ISBLANK(C483)), VLOOKUP(C483,'Dataset Descriptions'!$A$2:$B$10, 2, FALSE), "")</f>
        <v/>
      </c>
      <c r="E483" s="7"/>
      <c r="F483" s="7"/>
      <c r="G483" s="7"/>
      <c r="H483" s="7"/>
      <c r="I483" s="7"/>
      <c r="J483" s="7"/>
      <c r="K483" s="7"/>
      <c r="L483" s="7"/>
      <c r="M483" s="7"/>
      <c r="N483" s="7"/>
      <c r="O483" s="7"/>
      <c r="P483" s="7"/>
      <c r="Q483" s="7"/>
      <c r="R483" s="8"/>
      <c r="S483" s="6" t="str">
        <f>IF(NOT(ISBLANK(E483)), ROUND(((IF(E483="yes",1,0)*'Grading Scale'!E$2)+(IF(F483="yes",1,0)*'Grading Scale'!E$3)+(IF(G483="yes",1,0)*'Grading Scale'!E$4)+(IF(H483="yes",1,0)*'Grading Scale'!E$5)+(IF(I483="yes",1,0)*'Grading Scale'!E$6)+(IF(J483="yes",1,0)*'Grading Scale'!E$7)+(IF(K483="yes",1,0)*'Grading Scale'!E$8)+(IF(L483="yes",1,0)*'Grading Scale'!E$9)+(IF(M483="yes",1,0)*'Grading Scale'!E$10)+(IF(N483="yes",1,0)*'Grading Scale'!E$11)+(IF(O483="yes",1,0)*'Grading Scale'!E$12)+(IF(P483="yes",1,0)*'Grading Scale'!E$13))/'Grading Scale'!E$14*100,0), "")</f>
        <v/>
      </c>
      <c r="T483" s="6" t="str">
        <f>IF(ISNUMBER(S483),VLOOKUP(S483,'Grading Scale'!$A$2:$B$14, 2), "")</f>
        <v/>
      </c>
      <c r="U483" s="7"/>
      <c r="V483" s="7"/>
      <c r="W483" s="7"/>
      <c r="X483" s="7"/>
      <c r="Y483" s="7"/>
      <c r="Z483" s="7"/>
      <c r="AA483" s="7"/>
      <c r="AB483" s="7"/>
      <c r="AC483" s="7"/>
      <c r="AD483" s="7"/>
      <c r="AE483" s="7"/>
      <c r="AF483" s="7"/>
      <c r="AG483" s="7"/>
      <c r="AH483" s="7"/>
      <c r="AI483" s="7"/>
      <c r="AJ483" s="7"/>
    </row>
    <row r="484">
      <c r="A484" s="7"/>
      <c r="B484" s="7"/>
      <c r="C484" s="7"/>
      <c r="D484" s="6" t="str">
        <f>IF(NOT(ISBLANK(C484)), VLOOKUP(C484,'Dataset Descriptions'!$A$2:$B$10, 2, FALSE), "")</f>
        <v/>
      </c>
      <c r="E484" s="7"/>
      <c r="F484" s="7"/>
      <c r="G484" s="7"/>
      <c r="H484" s="7"/>
      <c r="I484" s="7"/>
      <c r="J484" s="7"/>
      <c r="K484" s="7"/>
      <c r="L484" s="7"/>
      <c r="M484" s="7"/>
      <c r="N484" s="7"/>
      <c r="O484" s="7"/>
      <c r="P484" s="7"/>
      <c r="Q484" s="7"/>
      <c r="R484" s="8"/>
      <c r="S484" s="6" t="str">
        <f>IF(NOT(ISBLANK(E484)), ROUND(((IF(E484="yes",1,0)*'Grading Scale'!E$2)+(IF(F484="yes",1,0)*'Grading Scale'!E$3)+(IF(G484="yes",1,0)*'Grading Scale'!E$4)+(IF(H484="yes",1,0)*'Grading Scale'!E$5)+(IF(I484="yes",1,0)*'Grading Scale'!E$6)+(IF(J484="yes",1,0)*'Grading Scale'!E$7)+(IF(K484="yes",1,0)*'Grading Scale'!E$8)+(IF(L484="yes",1,0)*'Grading Scale'!E$9)+(IF(M484="yes",1,0)*'Grading Scale'!E$10)+(IF(N484="yes",1,0)*'Grading Scale'!E$11)+(IF(O484="yes",1,0)*'Grading Scale'!E$12)+(IF(P484="yes",1,0)*'Grading Scale'!E$13))/'Grading Scale'!E$14*100,0), "")</f>
        <v/>
      </c>
      <c r="T484" s="6" t="str">
        <f>IF(ISNUMBER(S484),VLOOKUP(S484,'Grading Scale'!$A$2:$B$14, 2), "")</f>
        <v/>
      </c>
      <c r="U484" s="7"/>
      <c r="V484" s="7"/>
      <c r="W484" s="7"/>
      <c r="X484" s="7"/>
      <c r="Y484" s="7"/>
      <c r="Z484" s="7"/>
      <c r="AA484" s="7"/>
      <c r="AB484" s="7"/>
      <c r="AC484" s="7"/>
      <c r="AD484" s="7"/>
      <c r="AE484" s="7"/>
      <c r="AF484" s="7"/>
      <c r="AG484" s="7"/>
      <c r="AH484" s="7"/>
      <c r="AI484" s="7"/>
      <c r="AJ484" s="7"/>
    </row>
    <row r="485">
      <c r="A485" s="7"/>
      <c r="B485" s="7"/>
      <c r="C485" s="7"/>
      <c r="D485" s="6" t="str">
        <f>IF(NOT(ISBLANK(C485)), VLOOKUP(C485,'Dataset Descriptions'!$A$2:$B$10, 2, FALSE), "")</f>
        <v/>
      </c>
      <c r="E485" s="7"/>
      <c r="F485" s="7"/>
      <c r="G485" s="7"/>
      <c r="H485" s="7"/>
      <c r="I485" s="7"/>
      <c r="J485" s="7"/>
      <c r="K485" s="7"/>
      <c r="L485" s="7"/>
      <c r="M485" s="7"/>
      <c r="N485" s="7"/>
      <c r="O485" s="7"/>
      <c r="P485" s="7"/>
      <c r="Q485" s="7"/>
      <c r="R485" s="8"/>
      <c r="S485" s="6" t="str">
        <f>IF(NOT(ISBLANK(E485)), ROUND(((IF(E485="yes",1,0)*'Grading Scale'!E$2)+(IF(F485="yes",1,0)*'Grading Scale'!E$3)+(IF(G485="yes",1,0)*'Grading Scale'!E$4)+(IF(H485="yes",1,0)*'Grading Scale'!E$5)+(IF(I485="yes",1,0)*'Grading Scale'!E$6)+(IF(J485="yes",1,0)*'Grading Scale'!E$7)+(IF(K485="yes",1,0)*'Grading Scale'!E$8)+(IF(L485="yes",1,0)*'Grading Scale'!E$9)+(IF(M485="yes",1,0)*'Grading Scale'!E$10)+(IF(N485="yes",1,0)*'Grading Scale'!E$11)+(IF(O485="yes",1,0)*'Grading Scale'!E$12)+(IF(P485="yes",1,0)*'Grading Scale'!E$13))/'Grading Scale'!E$14*100,0), "")</f>
        <v/>
      </c>
      <c r="T485" s="6" t="str">
        <f>IF(ISNUMBER(S485),VLOOKUP(S485,'Grading Scale'!$A$2:$B$14, 2), "")</f>
        <v/>
      </c>
      <c r="U485" s="7"/>
      <c r="V485" s="7"/>
      <c r="W485" s="7"/>
      <c r="X485" s="7"/>
      <c r="Y485" s="7"/>
      <c r="Z485" s="7"/>
      <c r="AA485" s="7"/>
      <c r="AB485" s="7"/>
      <c r="AC485" s="7"/>
      <c r="AD485" s="7"/>
      <c r="AE485" s="7"/>
      <c r="AF485" s="7"/>
      <c r="AG485" s="7"/>
      <c r="AH485" s="7"/>
      <c r="AI485" s="7"/>
      <c r="AJ485" s="7"/>
    </row>
    <row r="486">
      <c r="A486" s="7"/>
      <c r="B486" s="7"/>
      <c r="C486" s="7"/>
      <c r="D486" s="6" t="str">
        <f>IF(NOT(ISBLANK(C486)), VLOOKUP(C486,'Dataset Descriptions'!$A$2:$B$10, 2, FALSE), "")</f>
        <v/>
      </c>
      <c r="E486" s="7"/>
      <c r="F486" s="7"/>
      <c r="G486" s="7"/>
      <c r="H486" s="7"/>
      <c r="I486" s="7"/>
      <c r="J486" s="7"/>
      <c r="K486" s="7"/>
      <c r="L486" s="7"/>
      <c r="M486" s="7"/>
      <c r="N486" s="7"/>
      <c r="O486" s="7"/>
      <c r="P486" s="7"/>
      <c r="Q486" s="7"/>
      <c r="R486" s="8"/>
      <c r="S486" s="6" t="str">
        <f>IF(NOT(ISBLANK(E486)), ROUND(((IF(E486="yes",1,0)*'Grading Scale'!E$2)+(IF(F486="yes",1,0)*'Grading Scale'!E$3)+(IF(G486="yes",1,0)*'Grading Scale'!E$4)+(IF(H486="yes",1,0)*'Grading Scale'!E$5)+(IF(I486="yes",1,0)*'Grading Scale'!E$6)+(IF(J486="yes",1,0)*'Grading Scale'!E$7)+(IF(K486="yes",1,0)*'Grading Scale'!E$8)+(IF(L486="yes",1,0)*'Grading Scale'!E$9)+(IF(M486="yes",1,0)*'Grading Scale'!E$10)+(IF(N486="yes",1,0)*'Grading Scale'!E$11)+(IF(O486="yes",1,0)*'Grading Scale'!E$12)+(IF(P486="yes",1,0)*'Grading Scale'!E$13))/'Grading Scale'!E$14*100,0), "")</f>
        <v/>
      </c>
      <c r="T486" s="6" t="str">
        <f>IF(ISNUMBER(S486),VLOOKUP(S486,'Grading Scale'!$A$2:$B$14, 2), "")</f>
        <v/>
      </c>
      <c r="U486" s="7"/>
      <c r="V486" s="7"/>
      <c r="W486" s="7"/>
      <c r="X486" s="7"/>
      <c r="Y486" s="7"/>
      <c r="Z486" s="7"/>
      <c r="AA486" s="7"/>
      <c r="AB486" s="7"/>
      <c r="AC486" s="7"/>
      <c r="AD486" s="7"/>
      <c r="AE486" s="7"/>
      <c r="AF486" s="7"/>
      <c r="AG486" s="7"/>
      <c r="AH486" s="7"/>
      <c r="AI486" s="7"/>
      <c r="AJ486" s="7"/>
    </row>
    <row r="487">
      <c r="A487" s="7"/>
      <c r="B487" s="7"/>
      <c r="C487" s="7"/>
      <c r="D487" s="6" t="str">
        <f>IF(NOT(ISBLANK(C487)), VLOOKUP(C487,'Dataset Descriptions'!$A$2:$B$10, 2, FALSE), "")</f>
        <v/>
      </c>
      <c r="E487" s="7"/>
      <c r="F487" s="7"/>
      <c r="G487" s="7"/>
      <c r="H487" s="7"/>
      <c r="I487" s="7"/>
      <c r="J487" s="7"/>
      <c r="K487" s="7"/>
      <c r="L487" s="7"/>
      <c r="M487" s="7"/>
      <c r="N487" s="7"/>
      <c r="O487" s="7"/>
      <c r="P487" s="7"/>
      <c r="Q487" s="7"/>
      <c r="R487" s="8"/>
      <c r="S487" s="6" t="str">
        <f>IF(NOT(ISBLANK(E487)), ROUND(((IF(E487="yes",1,0)*'Grading Scale'!E$2)+(IF(F487="yes",1,0)*'Grading Scale'!E$3)+(IF(G487="yes",1,0)*'Grading Scale'!E$4)+(IF(H487="yes",1,0)*'Grading Scale'!E$5)+(IF(I487="yes",1,0)*'Grading Scale'!E$6)+(IF(J487="yes",1,0)*'Grading Scale'!E$7)+(IF(K487="yes",1,0)*'Grading Scale'!E$8)+(IF(L487="yes",1,0)*'Grading Scale'!E$9)+(IF(M487="yes",1,0)*'Grading Scale'!E$10)+(IF(N487="yes",1,0)*'Grading Scale'!E$11)+(IF(O487="yes",1,0)*'Grading Scale'!E$12)+(IF(P487="yes",1,0)*'Grading Scale'!E$13))/'Grading Scale'!E$14*100,0), "")</f>
        <v/>
      </c>
      <c r="T487" s="6" t="str">
        <f>IF(ISNUMBER(S487),VLOOKUP(S487,'Grading Scale'!$A$2:$B$14, 2), "")</f>
        <v/>
      </c>
      <c r="U487" s="7"/>
      <c r="V487" s="7"/>
      <c r="W487" s="7"/>
      <c r="X487" s="7"/>
      <c r="Y487" s="7"/>
      <c r="Z487" s="7"/>
      <c r="AA487" s="7"/>
      <c r="AB487" s="7"/>
      <c r="AC487" s="7"/>
      <c r="AD487" s="7"/>
      <c r="AE487" s="7"/>
      <c r="AF487" s="7"/>
      <c r="AG487" s="7"/>
      <c r="AH487" s="7"/>
      <c r="AI487" s="7"/>
      <c r="AJ487" s="7"/>
    </row>
    <row r="488">
      <c r="A488" s="7"/>
      <c r="B488" s="7"/>
      <c r="C488" s="7"/>
      <c r="D488" s="6" t="str">
        <f>IF(NOT(ISBLANK(C488)), VLOOKUP(C488,'Dataset Descriptions'!$A$2:$B$10, 2, FALSE), "")</f>
        <v/>
      </c>
      <c r="E488" s="7"/>
      <c r="F488" s="7"/>
      <c r="G488" s="7"/>
      <c r="H488" s="7"/>
      <c r="I488" s="7"/>
      <c r="J488" s="7"/>
      <c r="K488" s="7"/>
      <c r="L488" s="7"/>
      <c r="M488" s="7"/>
      <c r="N488" s="7"/>
      <c r="O488" s="7"/>
      <c r="P488" s="7"/>
      <c r="Q488" s="7"/>
      <c r="R488" s="8"/>
      <c r="S488" s="6" t="str">
        <f>IF(NOT(ISBLANK(E488)), ROUND(((IF(E488="yes",1,0)*'Grading Scale'!E$2)+(IF(F488="yes",1,0)*'Grading Scale'!E$3)+(IF(G488="yes",1,0)*'Grading Scale'!E$4)+(IF(H488="yes",1,0)*'Grading Scale'!E$5)+(IF(I488="yes",1,0)*'Grading Scale'!E$6)+(IF(J488="yes",1,0)*'Grading Scale'!E$7)+(IF(K488="yes",1,0)*'Grading Scale'!E$8)+(IF(L488="yes",1,0)*'Grading Scale'!E$9)+(IF(M488="yes",1,0)*'Grading Scale'!E$10)+(IF(N488="yes",1,0)*'Grading Scale'!E$11)+(IF(O488="yes",1,0)*'Grading Scale'!E$12)+(IF(P488="yes",1,0)*'Grading Scale'!E$13))/'Grading Scale'!E$14*100,0), "")</f>
        <v/>
      </c>
      <c r="T488" s="6" t="str">
        <f>IF(ISNUMBER(S488),VLOOKUP(S488,'Grading Scale'!$A$2:$B$14, 2), "")</f>
        <v/>
      </c>
      <c r="U488" s="7"/>
      <c r="V488" s="7"/>
      <c r="W488" s="7"/>
      <c r="X488" s="7"/>
      <c r="Y488" s="7"/>
      <c r="Z488" s="7"/>
      <c r="AA488" s="7"/>
      <c r="AB488" s="7"/>
      <c r="AC488" s="7"/>
      <c r="AD488" s="7"/>
      <c r="AE488" s="7"/>
      <c r="AF488" s="7"/>
      <c r="AG488" s="7"/>
      <c r="AH488" s="7"/>
      <c r="AI488" s="7"/>
      <c r="AJ488" s="7"/>
    </row>
    <row r="489">
      <c r="A489" s="7"/>
      <c r="B489" s="7"/>
      <c r="C489" s="7"/>
      <c r="D489" s="6" t="str">
        <f>IF(NOT(ISBLANK(C489)), VLOOKUP(C489,'Dataset Descriptions'!$A$2:$B$10, 2, FALSE), "")</f>
        <v/>
      </c>
      <c r="E489" s="7"/>
      <c r="F489" s="7"/>
      <c r="G489" s="7"/>
      <c r="H489" s="7"/>
      <c r="I489" s="7"/>
      <c r="J489" s="7"/>
      <c r="K489" s="7"/>
      <c r="L489" s="7"/>
      <c r="M489" s="7"/>
      <c r="N489" s="7"/>
      <c r="O489" s="7"/>
      <c r="P489" s="7"/>
      <c r="Q489" s="7"/>
      <c r="R489" s="8"/>
      <c r="S489" s="6" t="str">
        <f>IF(NOT(ISBLANK(E489)), ROUND(((IF(E489="yes",1,0)*'Grading Scale'!E$2)+(IF(F489="yes",1,0)*'Grading Scale'!E$3)+(IF(G489="yes",1,0)*'Grading Scale'!E$4)+(IF(H489="yes",1,0)*'Grading Scale'!E$5)+(IF(I489="yes",1,0)*'Grading Scale'!E$6)+(IF(J489="yes",1,0)*'Grading Scale'!E$7)+(IF(K489="yes",1,0)*'Grading Scale'!E$8)+(IF(L489="yes",1,0)*'Grading Scale'!E$9)+(IF(M489="yes",1,0)*'Grading Scale'!E$10)+(IF(N489="yes",1,0)*'Grading Scale'!E$11)+(IF(O489="yes",1,0)*'Grading Scale'!E$12)+(IF(P489="yes",1,0)*'Grading Scale'!E$13))/'Grading Scale'!E$14*100,0), "")</f>
        <v/>
      </c>
      <c r="T489" s="6" t="str">
        <f>IF(ISNUMBER(S489),VLOOKUP(S489,'Grading Scale'!$A$2:$B$14, 2), "")</f>
        <v/>
      </c>
      <c r="U489" s="7"/>
      <c r="V489" s="7"/>
      <c r="W489" s="7"/>
      <c r="X489" s="7"/>
      <c r="Y489" s="7"/>
      <c r="Z489" s="7"/>
      <c r="AA489" s="7"/>
      <c r="AB489" s="7"/>
      <c r="AC489" s="7"/>
      <c r="AD489" s="7"/>
      <c r="AE489" s="7"/>
      <c r="AF489" s="7"/>
      <c r="AG489" s="7"/>
      <c r="AH489" s="7"/>
      <c r="AI489" s="7"/>
      <c r="AJ489" s="7"/>
    </row>
    <row r="490">
      <c r="A490" s="7"/>
      <c r="B490" s="7"/>
      <c r="C490" s="7"/>
      <c r="D490" s="6" t="str">
        <f>IF(NOT(ISBLANK(C490)), VLOOKUP(C490,'Dataset Descriptions'!$A$2:$B$10, 2, FALSE), "")</f>
        <v/>
      </c>
      <c r="E490" s="7"/>
      <c r="F490" s="7"/>
      <c r="G490" s="7"/>
      <c r="H490" s="7"/>
      <c r="I490" s="7"/>
      <c r="J490" s="7"/>
      <c r="K490" s="7"/>
      <c r="L490" s="7"/>
      <c r="M490" s="7"/>
      <c r="N490" s="7"/>
      <c r="O490" s="7"/>
      <c r="P490" s="7"/>
      <c r="Q490" s="7"/>
      <c r="R490" s="8"/>
      <c r="S490" s="6" t="str">
        <f>IF(NOT(ISBLANK(E490)), ROUND(((IF(E490="yes",1,0)*'Grading Scale'!E$2)+(IF(F490="yes",1,0)*'Grading Scale'!E$3)+(IF(G490="yes",1,0)*'Grading Scale'!E$4)+(IF(H490="yes",1,0)*'Grading Scale'!E$5)+(IF(I490="yes",1,0)*'Grading Scale'!E$6)+(IF(J490="yes",1,0)*'Grading Scale'!E$7)+(IF(K490="yes",1,0)*'Grading Scale'!E$8)+(IF(L490="yes",1,0)*'Grading Scale'!E$9)+(IF(M490="yes",1,0)*'Grading Scale'!E$10)+(IF(N490="yes",1,0)*'Grading Scale'!E$11)+(IF(O490="yes",1,0)*'Grading Scale'!E$12)+(IF(P490="yes",1,0)*'Grading Scale'!E$13))/'Grading Scale'!E$14*100,0), "")</f>
        <v/>
      </c>
      <c r="T490" s="6" t="str">
        <f>IF(ISNUMBER(S490),VLOOKUP(S490,'Grading Scale'!$A$2:$B$14, 2), "")</f>
        <v/>
      </c>
      <c r="U490" s="7"/>
      <c r="V490" s="7"/>
      <c r="W490" s="7"/>
      <c r="X490" s="7"/>
      <c r="Y490" s="7"/>
      <c r="Z490" s="7"/>
      <c r="AA490" s="7"/>
      <c r="AB490" s="7"/>
      <c r="AC490" s="7"/>
      <c r="AD490" s="7"/>
      <c r="AE490" s="7"/>
      <c r="AF490" s="7"/>
      <c r="AG490" s="7"/>
      <c r="AH490" s="7"/>
      <c r="AI490" s="7"/>
      <c r="AJ490" s="7"/>
    </row>
    <row r="491">
      <c r="A491" s="7"/>
      <c r="B491" s="7"/>
      <c r="C491" s="7"/>
      <c r="D491" s="6" t="str">
        <f>IF(NOT(ISBLANK(C491)), VLOOKUP(C491,'Dataset Descriptions'!$A$2:$B$10, 2, FALSE), "")</f>
        <v/>
      </c>
      <c r="E491" s="7"/>
      <c r="F491" s="7"/>
      <c r="G491" s="7"/>
      <c r="H491" s="7"/>
      <c r="I491" s="7"/>
      <c r="J491" s="7"/>
      <c r="K491" s="7"/>
      <c r="L491" s="7"/>
      <c r="M491" s="7"/>
      <c r="N491" s="7"/>
      <c r="O491" s="7"/>
      <c r="P491" s="7"/>
      <c r="Q491" s="7"/>
      <c r="R491" s="8"/>
      <c r="S491" s="6" t="str">
        <f>IF(NOT(ISBLANK(E491)), ROUND(((IF(E491="yes",1,0)*'Grading Scale'!E$2)+(IF(F491="yes",1,0)*'Grading Scale'!E$3)+(IF(G491="yes",1,0)*'Grading Scale'!E$4)+(IF(H491="yes",1,0)*'Grading Scale'!E$5)+(IF(I491="yes",1,0)*'Grading Scale'!E$6)+(IF(J491="yes",1,0)*'Grading Scale'!E$7)+(IF(K491="yes",1,0)*'Grading Scale'!E$8)+(IF(L491="yes",1,0)*'Grading Scale'!E$9)+(IF(M491="yes",1,0)*'Grading Scale'!E$10)+(IF(N491="yes",1,0)*'Grading Scale'!E$11)+(IF(O491="yes",1,0)*'Grading Scale'!E$12)+(IF(P491="yes",1,0)*'Grading Scale'!E$13))/'Grading Scale'!E$14*100,0), "")</f>
        <v/>
      </c>
      <c r="T491" s="6" t="str">
        <f>IF(ISNUMBER(S491),VLOOKUP(S491,'Grading Scale'!$A$2:$B$14, 2), "")</f>
        <v/>
      </c>
      <c r="U491" s="7"/>
      <c r="V491" s="7"/>
      <c r="W491" s="7"/>
      <c r="X491" s="7"/>
      <c r="Y491" s="7"/>
      <c r="Z491" s="7"/>
      <c r="AA491" s="7"/>
      <c r="AB491" s="7"/>
      <c r="AC491" s="7"/>
      <c r="AD491" s="7"/>
      <c r="AE491" s="7"/>
      <c r="AF491" s="7"/>
      <c r="AG491" s="7"/>
      <c r="AH491" s="7"/>
      <c r="AI491" s="7"/>
      <c r="AJ491" s="7"/>
    </row>
    <row r="492">
      <c r="A492" s="7"/>
      <c r="B492" s="7"/>
      <c r="C492" s="7"/>
      <c r="D492" s="6" t="str">
        <f>IF(NOT(ISBLANK(C492)), VLOOKUP(C492,'Dataset Descriptions'!$A$2:$B$10, 2, FALSE), "")</f>
        <v/>
      </c>
      <c r="E492" s="7"/>
      <c r="F492" s="7"/>
      <c r="G492" s="7"/>
      <c r="H492" s="7"/>
      <c r="I492" s="7"/>
      <c r="J492" s="7"/>
      <c r="K492" s="7"/>
      <c r="L492" s="7"/>
      <c r="M492" s="7"/>
      <c r="N492" s="7"/>
      <c r="O492" s="7"/>
      <c r="P492" s="7"/>
      <c r="Q492" s="7"/>
      <c r="R492" s="8"/>
      <c r="S492" s="6" t="str">
        <f>IF(NOT(ISBLANK(E492)), ROUND(((IF(E492="yes",1,0)*'Grading Scale'!E$2)+(IF(F492="yes",1,0)*'Grading Scale'!E$3)+(IF(G492="yes",1,0)*'Grading Scale'!E$4)+(IF(H492="yes",1,0)*'Grading Scale'!E$5)+(IF(I492="yes",1,0)*'Grading Scale'!E$6)+(IF(J492="yes",1,0)*'Grading Scale'!E$7)+(IF(K492="yes",1,0)*'Grading Scale'!E$8)+(IF(L492="yes",1,0)*'Grading Scale'!E$9)+(IF(M492="yes",1,0)*'Grading Scale'!E$10)+(IF(N492="yes",1,0)*'Grading Scale'!E$11)+(IF(O492="yes",1,0)*'Grading Scale'!E$12)+(IF(P492="yes",1,0)*'Grading Scale'!E$13))/'Grading Scale'!E$14*100,0), "")</f>
        <v/>
      </c>
      <c r="T492" s="6" t="str">
        <f>IF(ISNUMBER(S492),VLOOKUP(S492,'Grading Scale'!$A$2:$B$14, 2), "")</f>
        <v/>
      </c>
      <c r="U492" s="7"/>
      <c r="V492" s="7"/>
      <c r="W492" s="7"/>
      <c r="X492" s="7"/>
      <c r="Y492" s="7"/>
      <c r="Z492" s="7"/>
      <c r="AA492" s="7"/>
      <c r="AB492" s="7"/>
      <c r="AC492" s="7"/>
      <c r="AD492" s="7"/>
      <c r="AE492" s="7"/>
      <c r="AF492" s="7"/>
      <c r="AG492" s="7"/>
      <c r="AH492" s="7"/>
      <c r="AI492" s="7"/>
      <c r="AJ492" s="7"/>
    </row>
    <row r="493">
      <c r="A493" s="7"/>
      <c r="B493" s="7"/>
      <c r="C493" s="7"/>
      <c r="D493" s="6" t="str">
        <f>IF(NOT(ISBLANK(C493)), VLOOKUP(C493,'Dataset Descriptions'!$A$2:$B$10, 2, FALSE), "")</f>
        <v/>
      </c>
      <c r="E493" s="7"/>
      <c r="F493" s="7"/>
      <c r="G493" s="7"/>
      <c r="H493" s="7"/>
      <c r="I493" s="7"/>
      <c r="J493" s="7"/>
      <c r="K493" s="7"/>
      <c r="L493" s="7"/>
      <c r="M493" s="7"/>
      <c r="N493" s="7"/>
      <c r="O493" s="7"/>
      <c r="P493" s="7"/>
      <c r="Q493" s="7"/>
      <c r="R493" s="8"/>
      <c r="S493" s="6" t="str">
        <f>IF(NOT(ISBLANK(E493)), ROUND(((IF(E493="yes",1,0)*'Grading Scale'!E$2)+(IF(F493="yes",1,0)*'Grading Scale'!E$3)+(IF(G493="yes",1,0)*'Grading Scale'!E$4)+(IF(H493="yes",1,0)*'Grading Scale'!E$5)+(IF(I493="yes",1,0)*'Grading Scale'!E$6)+(IF(J493="yes",1,0)*'Grading Scale'!E$7)+(IF(K493="yes",1,0)*'Grading Scale'!E$8)+(IF(L493="yes",1,0)*'Grading Scale'!E$9)+(IF(M493="yes",1,0)*'Grading Scale'!E$10)+(IF(N493="yes",1,0)*'Grading Scale'!E$11)+(IF(O493="yes",1,0)*'Grading Scale'!E$12)+(IF(P493="yes",1,0)*'Grading Scale'!E$13))/'Grading Scale'!E$14*100,0), "")</f>
        <v/>
      </c>
      <c r="T493" s="6" t="str">
        <f>IF(ISNUMBER(S493),VLOOKUP(S493,'Grading Scale'!$A$2:$B$14, 2), "")</f>
        <v/>
      </c>
      <c r="U493" s="7"/>
      <c r="V493" s="7"/>
      <c r="W493" s="7"/>
      <c r="X493" s="7"/>
      <c r="Y493" s="7"/>
      <c r="Z493" s="7"/>
      <c r="AA493" s="7"/>
      <c r="AB493" s="7"/>
      <c r="AC493" s="7"/>
      <c r="AD493" s="7"/>
      <c r="AE493" s="7"/>
      <c r="AF493" s="7"/>
      <c r="AG493" s="7"/>
      <c r="AH493" s="7"/>
      <c r="AI493" s="7"/>
      <c r="AJ493" s="7"/>
    </row>
    <row r="494">
      <c r="A494" s="7"/>
      <c r="B494" s="7"/>
      <c r="C494" s="7"/>
      <c r="D494" s="6" t="str">
        <f>IF(NOT(ISBLANK(C494)), VLOOKUP(C494,'Dataset Descriptions'!$A$2:$B$10, 2, FALSE), "")</f>
        <v/>
      </c>
      <c r="E494" s="7"/>
      <c r="F494" s="7"/>
      <c r="G494" s="7"/>
      <c r="H494" s="7"/>
      <c r="I494" s="7"/>
      <c r="J494" s="7"/>
      <c r="K494" s="7"/>
      <c r="L494" s="7"/>
      <c r="M494" s="7"/>
      <c r="N494" s="7"/>
      <c r="O494" s="7"/>
      <c r="P494" s="7"/>
      <c r="Q494" s="7"/>
      <c r="R494" s="8"/>
      <c r="S494" s="6" t="str">
        <f>IF(NOT(ISBLANK(E494)), ROUND(((IF(E494="yes",1,0)*'Grading Scale'!E$2)+(IF(F494="yes",1,0)*'Grading Scale'!E$3)+(IF(G494="yes",1,0)*'Grading Scale'!E$4)+(IF(H494="yes",1,0)*'Grading Scale'!E$5)+(IF(I494="yes",1,0)*'Grading Scale'!E$6)+(IF(J494="yes",1,0)*'Grading Scale'!E$7)+(IF(K494="yes",1,0)*'Grading Scale'!E$8)+(IF(L494="yes",1,0)*'Grading Scale'!E$9)+(IF(M494="yes",1,0)*'Grading Scale'!E$10)+(IF(N494="yes",1,0)*'Grading Scale'!E$11)+(IF(O494="yes",1,0)*'Grading Scale'!E$12)+(IF(P494="yes",1,0)*'Grading Scale'!E$13))/'Grading Scale'!E$14*100,0), "")</f>
        <v/>
      </c>
      <c r="T494" s="6" t="str">
        <f>IF(ISNUMBER(S494),VLOOKUP(S494,'Grading Scale'!$A$2:$B$14, 2), "")</f>
        <v/>
      </c>
      <c r="U494" s="7"/>
      <c r="V494" s="7"/>
      <c r="W494" s="7"/>
      <c r="X494" s="7"/>
      <c r="Y494" s="7"/>
      <c r="Z494" s="7"/>
      <c r="AA494" s="7"/>
      <c r="AB494" s="7"/>
      <c r="AC494" s="7"/>
      <c r="AD494" s="7"/>
      <c r="AE494" s="7"/>
      <c r="AF494" s="7"/>
      <c r="AG494" s="7"/>
      <c r="AH494" s="7"/>
      <c r="AI494" s="7"/>
      <c r="AJ494" s="7"/>
    </row>
    <row r="495">
      <c r="A495" s="7"/>
      <c r="B495" s="7"/>
      <c r="C495" s="7"/>
      <c r="D495" s="6" t="str">
        <f>IF(NOT(ISBLANK(C495)), VLOOKUP(C495,'Dataset Descriptions'!$A$2:$B$10, 2, FALSE), "")</f>
        <v/>
      </c>
      <c r="E495" s="7"/>
      <c r="F495" s="7"/>
      <c r="G495" s="7"/>
      <c r="H495" s="7"/>
      <c r="I495" s="7"/>
      <c r="J495" s="7"/>
      <c r="K495" s="7"/>
      <c r="L495" s="7"/>
      <c r="M495" s="7"/>
      <c r="N495" s="7"/>
      <c r="O495" s="7"/>
      <c r="P495" s="7"/>
      <c r="Q495" s="7"/>
      <c r="R495" s="8"/>
      <c r="S495" s="6" t="str">
        <f>IF(NOT(ISBLANK(E495)), ROUND(((IF(E495="yes",1,0)*'Grading Scale'!E$2)+(IF(F495="yes",1,0)*'Grading Scale'!E$3)+(IF(G495="yes",1,0)*'Grading Scale'!E$4)+(IF(H495="yes",1,0)*'Grading Scale'!E$5)+(IF(I495="yes",1,0)*'Grading Scale'!E$6)+(IF(J495="yes",1,0)*'Grading Scale'!E$7)+(IF(K495="yes",1,0)*'Grading Scale'!E$8)+(IF(L495="yes",1,0)*'Grading Scale'!E$9)+(IF(M495="yes",1,0)*'Grading Scale'!E$10)+(IF(N495="yes",1,0)*'Grading Scale'!E$11)+(IF(O495="yes",1,0)*'Grading Scale'!E$12)+(IF(P495="yes",1,0)*'Grading Scale'!E$13))/'Grading Scale'!E$14*100,0), "")</f>
        <v/>
      </c>
      <c r="T495" s="6" t="str">
        <f>IF(ISNUMBER(S495),VLOOKUP(S495,'Grading Scale'!$A$2:$B$14, 2), "")</f>
        <v/>
      </c>
      <c r="U495" s="7"/>
      <c r="V495" s="7"/>
      <c r="W495" s="7"/>
      <c r="X495" s="7"/>
      <c r="Y495" s="7"/>
      <c r="Z495" s="7"/>
      <c r="AA495" s="7"/>
      <c r="AB495" s="7"/>
      <c r="AC495" s="7"/>
      <c r="AD495" s="7"/>
      <c r="AE495" s="7"/>
      <c r="AF495" s="7"/>
      <c r="AG495" s="7"/>
      <c r="AH495" s="7"/>
      <c r="AI495" s="7"/>
      <c r="AJ495" s="7"/>
    </row>
    <row r="496">
      <c r="A496" s="7"/>
      <c r="B496" s="7"/>
      <c r="C496" s="7"/>
      <c r="D496" s="6" t="str">
        <f>IF(NOT(ISBLANK(C496)), VLOOKUP(C496,'Dataset Descriptions'!$A$2:$B$10, 2, FALSE), "")</f>
        <v/>
      </c>
      <c r="E496" s="7"/>
      <c r="F496" s="7"/>
      <c r="G496" s="7"/>
      <c r="H496" s="7"/>
      <c r="I496" s="7"/>
      <c r="J496" s="7"/>
      <c r="K496" s="7"/>
      <c r="L496" s="7"/>
      <c r="M496" s="7"/>
      <c r="N496" s="7"/>
      <c r="O496" s="7"/>
      <c r="P496" s="7"/>
      <c r="Q496" s="7"/>
      <c r="R496" s="8"/>
      <c r="S496" s="6" t="str">
        <f>IF(NOT(ISBLANK(E496)), ROUND(((IF(E496="yes",1,0)*'Grading Scale'!E$2)+(IF(F496="yes",1,0)*'Grading Scale'!E$3)+(IF(G496="yes",1,0)*'Grading Scale'!E$4)+(IF(H496="yes",1,0)*'Grading Scale'!E$5)+(IF(I496="yes",1,0)*'Grading Scale'!E$6)+(IF(J496="yes",1,0)*'Grading Scale'!E$7)+(IF(K496="yes",1,0)*'Grading Scale'!E$8)+(IF(L496="yes",1,0)*'Grading Scale'!E$9)+(IF(M496="yes",1,0)*'Grading Scale'!E$10)+(IF(N496="yes",1,0)*'Grading Scale'!E$11)+(IF(O496="yes",1,0)*'Grading Scale'!E$12)+(IF(P496="yes",1,0)*'Grading Scale'!E$13))/'Grading Scale'!E$14*100,0), "")</f>
        <v/>
      </c>
      <c r="T496" s="6" t="str">
        <f>IF(ISNUMBER(S496),VLOOKUP(S496,'Grading Scale'!$A$2:$B$14, 2), "")</f>
        <v/>
      </c>
      <c r="U496" s="7"/>
      <c r="V496" s="7"/>
      <c r="W496" s="7"/>
      <c r="X496" s="7"/>
      <c r="Y496" s="7"/>
      <c r="Z496" s="7"/>
      <c r="AA496" s="7"/>
      <c r="AB496" s="7"/>
      <c r="AC496" s="7"/>
      <c r="AD496" s="7"/>
      <c r="AE496" s="7"/>
      <c r="AF496" s="7"/>
      <c r="AG496" s="7"/>
      <c r="AH496" s="7"/>
      <c r="AI496" s="7"/>
      <c r="AJ496" s="7"/>
    </row>
    <row r="497">
      <c r="A497" s="7"/>
      <c r="B497" s="7"/>
      <c r="C497" s="7"/>
      <c r="D497" s="6" t="str">
        <f>IF(NOT(ISBLANK(C497)), VLOOKUP(C497,'Dataset Descriptions'!$A$2:$B$10, 2, FALSE), "")</f>
        <v/>
      </c>
      <c r="E497" s="7"/>
      <c r="F497" s="7"/>
      <c r="G497" s="7"/>
      <c r="H497" s="7"/>
      <c r="I497" s="7"/>
      <c r="J497" s="7"/>
      <c r="K497" s="7"/>
      <c r="L497" s="7"/>
      <c r="M497" s="7"/>
      <c r="N497" s="7"/>
      <c r="O497" s="7"/>
      <c r="P497" s="7"/>
      <c r="Q497" s="7"/>
      <c r="R497" s="8"/>
      <c r="S497" s="6" t="str">
        <f>IF(NOT(ISBLANK(E497)), ROUND(((IF(E497="yes",1,0)*'Grading Scale'!E$2)+(IF(F497="yes",1,0)*'Grading Scale'!E$3)+(IF(G497="yes",1,0)*'Grading Scale'!E$4)+(IF(H497="yes",1,0)*'Grading Scale'!E$5)+(IF(I497="yes",1,0)*'Grading Scale'!E$6)+(IF(J497="yes",1,0)*'Grading Scale'!E$7)+(IF(K497="yes",1,0)*'Grading Scale'!E$8)+(IF(L497="yes",1,0)*'Grading Scale'!E$9)+(IF(M497="yes",1,0)*'Grading Scale'!E$10)+(IF(N497="yes",1,0)*'Grading Scale'!E$11)+(IF(O497="yes",1,0)*'Grading Scale'!E$12)+(IF(P497="yes",1,0)*'Grading Scale'!E$13))/'Grading Scale'!E$14*100,0), "")</f>
        <v/>
      </c>
      <c r="T497" s="6" t="str">
        <f>IF(ISNUMBER(S497),VLOOKUP(S497,'Grading Scale'!$A$2:$B$14, 2), "")</f>
        <v/>
      </c>
      <c r="U497" s="7"/>
      <c r="V497" s="7"/>
      <c r="W497" s="7"/>
      <c r="X497" s="7"/>
      <c r="Y497" s="7"/>
      <c r="Z497" s="7"/>
      <c r="AA497" s="7"/>
      <c r="AB497" s="7"/>
      <c r="AC497" s="7"/>
      <c r="AD497" s="7"/>
      <c r="AE497" s="7"/>
      <c r="AF497" s="7"/>
      <c r="AG497" s="7"/>
      <c r="AH497" s="7"/>
      <c r="AI497" s="7"/>
      <c r="AJ497" s="7"/>
    </row>
    <row r="498">
      <c r="A498" s="7"/>
      <c r="B498" s="7"/>
      <c r="C498" s="7"/>
      <c r="D498" s="6" t="str">
        <f>IF(NOT(ISBLANK(C498)), VLOOKUP(C498,'Dataset Descriptions'!$A$2:$B$10, 2, FALSE), "")</f>
        <v/>
      </c>
      <c r="E498" s="7"/>
      <c r="F498" s="7"/>
      <c r="G498" s="7"/>
      <c r="H498" s="7"/>
      <c r="I498" s="7"/>
      <c r="J498" s="7"/>
      <c r="K498" s="7"/>
      <c r="L498" s="7"/>
      <c r="M498" s="7"/>
      <c r="N498" s="7"/>
      <c r="O498" s="7"/>
      <c r="P498" s="7"/>
      <c r="Q498" s="7"/>
      <c r="R498" s="8"/>
      <c r="S498" s="6" t="str">
        <f>IF(NOT(ISBLANK(E498)), ROUND(((IF(E498="yes",1,0)*'Grading Scale'!E$2)+(IF(F498="yes",1,0)*'Grading Scale'!E$3)+(IF(G498="yes",1,0)*'Grading Scale'!E$4)+(IF(H498="yes",1,0)*'Grading Scale'!E$5)+(IF(I498="yes",1,0)*'Grading Scale'!E$6)+(IF(J498="yes",1,0)*'Grading Scale'!E$7)+(IF(K498="yes",1,0)*'Grading Scale'!E$8)+(IF(L498="yes",1,0)*'Grading Scale'!E$9)+(IF(M498="yes",1,0)*'Grading Scale'!E$10)+(IF(N498="yes",1,0)*'Grading Scale'!E$11)+(IF(O498="yes",1,0)*'Grading Scale'!E$12)+(IF(P498="yes",1,0)*'Grading Scale'!E$13))/'Grading Scale'!E$14*100,0), "")</f>
        <v/>
      </c>
      <c r="T498" s="6" t="str">
        <f>IF(ISNUMBER(S498),VLOOKUP(S498,'Grading Scale'!$A$2:$B$14, 2), "")</f>
        <v/>
      </c>
      <c r="U498" s="7"/>
      <c r="V498" s="7"/>
      <c r="W498" s="7"/>
      <c r="X498" s="7"/>
      <c r="Y498" s="7"/>
      <c r="Z498" s="7"/>
      <c r="AA498" s="7"/>
      <c r="AB498" s="7"/>
      <c r="AC498" s="7"/>
      <c r="AD498" s="7"/>
      <c r="AE498" s="7"/>
      <c r="AF498" s="7"/>
      <c r="AG498" s="7"/>
      <c r="AH498" s="7"/>
      <c r="AI498" s="7"/>
      <c r="AJ498" s="7"/>
    </row>
    <row r="499">
      <c r="A499" s="7"/>
      <c r="B499" s="7"/>
      <c r="C499" s="7"/>
      <c r="D499" s="6" t="str">
        <f>IF(NOT(ISBLANK(C499)), VLOOKUP(C499,'Dataset Descriptions'!$A$2:$B$10, 2, FALSE), "")</f>
        <v/>
      </c>
      <c r="E499" s="7"/>
      <c r="F499" s="7"/>
      <c r="G499" s="7"/>
      <c r="H499" s="7"/>
      <c r="I499" s="7"/>
      <c r="J499" s="7"/>
      <c r="K499" s="7"/>
      <c r="L499" s="7"/>
      <c r="M499" s="7"/>
      <c r="N499" s="7"/>
      <c r="O499" s="7"/>
      <c r="P499" s="7"/>
      <c r="Q499" s="7"/>
      <c r="R499" s="8"/>
      <c r="S499" s="6" t="str">
        <f>IF(NOT(ISBLANK(E499)), ROUND(((IF(E499="yes",1,0)*'Grading Scale'!E$2)+(IF(F499="yes",1,0)*'Grading Scale'!E$3)+(IF(G499="yes",1,0)*'Grading Scale'!E$4)+(IF(H499="yes",1,0)*'Grading Scale'!E$5)+(IF(I499="yes",1,0)*'Grading Scale'!E$6)+(IF(J499="yes",1,0)*'Grading Scale'!E$7)+(IF(K499="yes",1,0)*'Grading Scale'!E$8)+(IF(L499="yes",1,0)*'Grading Scale'!E$9)+(IF(M499="yes",1,0)*'Grading Scale'!E$10)+(IF(N499="yes",1,0)*'Grading Scale'!E$11)+(IF(O499="yes",1,0)*'Grading Scale'!E$12)+(IF(P499="yes",1,0)*'Grading Scale'!E$13))/'Grading Scale'!E$14*100,0), "")</f>
        <v/>
      </c>
      <c r="T499" s="6" t="str">
        <f>IF(ISNUMBER(S499),VLOOKUP(S499,'Grading Scale'!$A$2:$B$14, 2), "")</f>
        <v/>
      </c>
      <c r="U499" s="7"/>
      <c r="V499" s="7"/>
      <c r="W499" s="7"/>
      <c r="X499" s="7"/>
      <c r="Y499" s="7"/>
      <c r="Z499" s="7"/>
      <c r="AA499" s="7"/>
      <c r="AB499" s="7"/>
      <c r="AC499" s="7"/>
      <c r="AD499" s="7"/>
      <c r="AE499" s="7"/>
      <c r="AF499" s="7"/>
      <c r="AG499" s="7"/>
      <c r="AH499" s="7"/>
      <c r="AI499" s="7"/>
      <c r="AJ499" s="7"/>
    </row>
    <row r="500">
      <c r="A500" s="7"/>
      <c r="B500" s="7"/>
      <c r="C500" s="7"/>
      <c r="D500" s="6" t="str">
        <f>IF(NOT(ISBLANK(C500)), VLOOKUP(C500,'Dataset Descriptions'!$A$2:$B$10, 2, FALSE), "")</f>
        <v/>
      </c>
      <c r="E500" s="7"/>
      <c r="F500" s="7"/>
      <c r="G500" s="7"/>
      <c r="H500" s="7"/>
      <c r="I500" s="7"/>
      <c r="J500" s="7"/>
      <c r="K500" s="7"/>
      <c r="L500" s="7"/>
      <c r="M500" s="7"/>
      <c r="N500" s="7"/>
      <c r="O500" s="7"/>
      <c r="P500" s="7"/>
      <c r="Q500" s="7"/>
      <c r="R500" s="8"/>
      <c r="S500" s="6" t="str">
        <f>IF(NOT(ISBLANK(E500)), ROUND(((IF(E500="yes",1,0)*'Grading Scale'!E$2)+(IF(F500="yes",1,0)*'Grading Scale'!E$3)+(IF(G500="yes",1,0)*'Grading Scale'!E$4)+(IF(H500="yes",1,0)*'Grading Scale'!E$5)+(IF(I500="yes",1,0)*'Grading Scale'!E$6)+(IF(J500="yes",1,0)*'Grading Scale'!E$7)+(IF(K500="yes",1,0)*'Grading Scale'!E$8)+(IF(L500="yes",1,0)*'Grading Scale'!E$9)+(IF(M500="yes",1,0)*'Grading Scale'!E$10)+(IF(N500="yes",1,0)*'Grading Scale'!E$11)+(IF(O500="yes",1,0)*'Grading Scale'!E$12)+(IF(P500="yes",1,0)*'Grading Scale'!E$13))/'Grading Scale'!E$14*100,0), "")</f>
        <v/>
      </c>
      <c r="T500" s="6" t="str">
        <f>IF(ISNUMBER(S500),VLOOKUP(S500,'Grading Scale'!$A$2:$B$14, 2), "")</f>
        <v/>
      </c>
      <c r="U500" s="7"/>
      <c r="V500" s="7"/>
      <c r="W500" s="7"/>
      <c r="X500" s="7"/>
      <c r="Y500" s="7"/>
      <c r="Z500" s="7"/>
      <c r="AA500" s="7"/>
      <c r="AB500" s="7"/>
      <c r="AC500" s="7"/>
      <c r="AD500" s="7"/>
      <c r="AE500" s="7"/>
      <c r="AF500" s="7"/>
      <c r="AG500" s="7"/>
      <c r="AH500" s="7"/>
      <c r="AI500" s="7"/>
      <c r="AJ500" s="7"/>
    </row>
    <row r="501">
      <c r="A501" s="7"/>
      <c r="B501" s="7"/>
      <c r="C501" s="7"/>
      <c r="D501" s="6" t="str">
        <f>IF(NOT(ISBLANK(C501)), VLOOKUP(C501,'Dataset Descriptions'!$A$2:$B$10, 2, FALSE), "")</f>
        <v/>
      </c>
      <c r="E501" s="7"/>
      <c r="F501" s="7"/>
      <c r="G501" s="7"/>
      <c r="H501" s="7"/>
      <c r="I501" s="7"/>
      <c r="J501" s="7"/>
      <c r="K501" s="7"/>
      <c r="L501" s="7"/>
      <c r="M501" s="7"/>
      <c r="N501" s="7"/>
      <c r="O501" s="7"/>
      <c r="P501" s="7"/>
      <c r="Q501" s="7"/>
      <c r="R501" s="8"/>
      <c r="S501" s="6" t="str">
        <f>IF(NOT(ISBLANK(E501)), ROUND(((IF(E501="yes",1,0)*'Grading Scale'!E$2)+(IF(F501="yes",1,0)*'Grading Scale'!E$3)+(IF(G501="yes",1,0)*'Grading Scale'!E$4)+(IF(H501="yes",1,0)*'Grading Scale'!E$5)+(IF(I501="yes",1,0)*'Grading Scale'!E$6)+(IF(J501="yes",1,0)*'Grading Scale'!E$7)+(IF(K501="yes",1,0)*'Grading Scale'!E$8)+(IF(L501="yes",1,0)*'Grading Scale'!E$9)+(IF(M501="yes",1,0)*'Grading Scale'!E$10)+(IF(N501="yes",1,0)*'Grading Scale'!E$11)+(IF(O501="yes",1,0)*'Grading Scale'!E$12)+(IF(P501="yes",1,0)*'Grading Scale'!E$13))/'Grading Scale'!E$14*100,0), "")</f>
        <v/>
      </c>
      <c r="T501" s="6" t="str">
        <f>IF(ISNUMBER(S501),VLOOKUP(S501,'Grading Scale'!$A$2:$B$14, 2), "")</f>
        <v/>
      </c>
      <c r="U501" s="7"/>
      <c r="V501" s="7"/>
      <c r="W501" s="7"/>
      <c r="X501" s="7"/>
      <c r="Y501" s="7"/>
      <c r="Z501" s="7"/>
      <c r="AA501" s="7"/>
      <c r="AB501" s="7"/>
      <c r="AC501" s="7"/>
      <c r="AD501" s="7"/>
      <c r="AE501" s="7"/>
      <c r="AF501" s="7"/>
      <c r="AG501" s="7"/>
      <c r="AH501" s="7"/>
      <c r="AI501" s="7"/>
      <c r="AJ501" s="7"/>
    </row>
    <row r="502">
      <c r="A502" s="7"/>
      <c r="B502" s="7"/>
      <c r="C502" s="7"/>
      <c r="D502" s="6" t="str">
        <f>IF(NOT(ISBLANK(C502)), VLOOKUP(C502,'Dataset Descriptions'!$A$2:$B$10, 2, FALSE), "")</f>
        <v/>
      </c>
      <c r="E502" s="7"/>
      <c r="F502" s="7"/>
      <c r="G502" s="7"/>
      <c r="H502" s="7"/>
      <c r="I502" s="7"/>
      <c r="J502" s="7"/>
      <c r="K502" s="7"/>
      <c r="L502" s="7"/>
      <c r="M502" s="7"/>
      <c r="N502" s="7"/>
      <c r="O502" s="7"/>
      <c r="P502" s="7"/>
      <c r="Q502" s="7"/>
      <c r="R502" s="8"/>
      <c r="S502" s="6" t="str">
        <f>IF(NOT(ISBLANK(E502)), ROUND(((IF(E502="yes",1,0)*'Grading Scale'!E$2)+(IF(F502="yes",1,0)*'Grading Scale'!E$3)+(IF(G502="yes",1,0)*'Grading Scale'!E$4)+(IF(H502="yes",1,0)*'Grading Scale'!E$5)+(IF(I502="yes",1,0)*'Grading Scale'!E$6)+(IF(J502="yes",1,0)*'Grading Scale'!E$7)+(IF(K502="yes",1,0)*'Grading Scale'!E$8)+(IF(L502="yes",1,0)*'Grading Scale'!E$9)+(IF(M502="yes",1,0)*'Grading Scale'!E$10)+(IF(N502="yes",1,0)*'Grading Scale'!E$11)+(IF(O502="yes",1,0)*'Grading Scale'!E$12)+(IF(P502="yes",1,0)*'Grading Scale'!E$13))/'Grading Scale'!E$14*100,0), "")</f>
        <v/>
      </c>
      <c r="T502" s="6" t="str">
        <f>IF(ISNUMBER(S502),VLOOKUP(S502,'Grading Scale'!$A$2:$B$14, 2), "")</f>
        <v/>
      </c>
      <c r="U502" s="7"/>
      <c r="V502" s="7"/>
      <c r="W502" s="7"/>
      <c r="X502" s="7"/>
      <c r="Y502" s="7"/>
      <c r="Z502" s="7"/>
      <c r="AA502" s="7"/>
      <c r="AB502" s="7"/>
      <c r="AC502" s="7"/>
      <c r="AD502" s="7"/>
      <c r="AE502" s="7"/>
      <c r="AF502" s="7"/>
      <c r="AG502" s="7"/>
      <c r="AH502" s="7"/>
      <c r="AI502" s="7"/>
      <c r="AJ502" s="7"/>
    </row>
    <row r="503">
      <c r="A503" s="7"/>
      <c r="B503" s="7"/>
      <c r="C503" s="7"/>
      <c r="D503" s="6" t="str">
        <f>IF(NOT(ISBLANK(C503)), VLOOKUP(C503,'Dataset Descriptions'!$A$2:$B$10, 2, FALSE), "")</f>
        <v/>
      </c>
      <c r="E503" s="7"/>
      <c r="F503" s="7"/>
      <c r="G503" s="7"/>
      <c r="H503" s="7"/>
      <c r="I503" s="7"/>
      <c r="J503" s="7"/>
      <c r="K503" s="7"/>
      <c r="L503" s="7"/>
      <c r="M503" s="7"/>
      <c r="N503" s="7"/>
      <c r="O503" s="7"/>
      <c r="P503" s="7"/>
      <c r="Q503" s="7"/>
      <c r="R503" s="8"/>
      <c r="S503" s="6" t="str">
        <f>IF(NOT(ISBLANK(E503)), ROUND(((IF(E503="yes",1,0)*'Grading Scale'!E$2)+(IF(F503="yes",1,0)*'Grading Scale'!E$3)+(IF(G503="yes",1,0)*'Grading Scale'!E$4)+(IF(H503="yes",1,0)*'Grading Scale'!E$5)+(IF(I503="yes",1,0)*'Grading Scale'!E$6)+(IF(J503="yes",1,0)*'Grading Scale'!E$7)+(IF(K503="yes",1,0)*'Grading Scale'!E$8)+(IF(L503="yes",1,0)*'Grading Scale'!E$9)+(IF(M503="yes",1,0)*'Grading Scale'!E$10)+(IF(N503="yes",1,0)*'Grading Scale'!E$11)+(IF(O503="yes",1,0)*'Grading Scale'!E$12)+(IF(P503="yes",1,0)*'Grading Scale'!E$13))/'Grading Scale'!E$14*100,0), "")</f>
        <v/>
      </c>
      <c r="T503" s="6" t="str">
        <f>IF(ISNUMBER(S503),VLOOKUP(S503,'Grading Scale'!$A$2:$B$14, 2), "")</f>
        <v/>
      </c>
      <c r="U503" s="7"/>
      <c r="V503" s="7"/>
      <c r="W503" s="7"/>
      <c r="X503" s="7"/>
      <c r="Y503" s="7"/>
      <c r="Z503" s="7"/>
      <c r="AA503" s="7"/>
      <c r="AB503" s="7"/>
      <c r="AC503" s="7"/>
      <c r="AD503" s="7"/>
      <c r="AE503" s="7"/>
      <c r="AF503" s="7"/>
      <c r="AG503" s="7"/>
      <c r="AH503" s="7"/>
      <c r="AI503" s="7"/>
      <c r="AJ503" s="7"/>
    </row>
    <row r="504">
      <c r="A504" s="7"/>
      <c r="B504" s="7"/>
      <c r="C504" s="7"/>
      <c r="D504" s="6" t="str">
        <f>IF(NOT(ISBLANK(C504)), VLOOKUP(C504,'Dataset Descriptions'!$A$2:$B$10, 2, FALSE), "")</f>
        <v/>
      </c>
      <c r="E504" s="7"/>
      <c r="F504" s="7"/>
      <c r="G504" s="7"/>
      <c r="H504" s="7"/>
      <c r="I504" s="7"/>
      <c r="J504" s="7"/>
      <c r="K504" s="7"/>
      <c r="L504" s="7"/>
      <c r="M504" s="7"/>
      <c r="N504" s="7"/>
      <c r="O504" s="7"/>
      <c r="P504" s="7"/>
      <c r="Q504" s="7"/>
      <c r="R504" s="8"/>
      <c r="S504" s="6" t="str">
        <f>IF(NOT(ISBLANK(E504)), ROUND(((IF(E504="yes",1,0)*'Grading Scale'!E$2)+(IF(F504="yes",1,0)*'Grading Scale'!E$3)+(IF(G504="yes",1,0)*'Grading Scale'!E$4)+(IF(H504="yes",1,0)*'Grading Scale'!E$5)+(IF(I504="yes",1,0)*'Grading Scale'!E$6)+(IF(J504="yes",1,0)*'Grading Scale'!E$7)+(IF(K504="yes",1,0)*'Grading Scale'!E$8)+(IF(L504="yes",1,0)*'Grading Scale'!E$9)+(IF(M504="yes",1,0)*'Grading Scale'!E$10)+(IF(N504="yes",1,0)*'Grading Scale'!E$11)+(IF(O504="yes",1,0)*'Grading Scale'!E$12)+(IF(P504="yes",1,0)*'Grading Scale'!E$13))/'Grading Scale'!E$14*100,0), "")</f>
        <v/>
      </c>
      <c r="T504" s="6" t="str">
        <f>IF(ISNUMBER(S504),VLOOKUP(S504,'Grading Scale'!$A$2:$B$14, 2), "")</f>
        <v/>
      </c>
      <c r="U504" s="7"/>
      <c r="V504" s="7"/>
      <c r="W504" s="7"/>
      <c r="X504" s="7"/>
      <c r="Y504" s="7"/>
      <c r="Z504" s="7"/>
      <c r="AA504" s="7"/>
      <c r="AB504" s="7"/>
      <c r="AC504" s="7"/>
      <c r="AD504" s="7"/>
      <c r="AE504" s="7"/>
      <c r="AF504" s="7"/>
      <c r="AG504" s="7"/>
      <c r="AH504" s="7"/>
      <c r="AI504" s="7"/>
      <c r="AJ504" s="7"/>
    </row>
    <row r="505">
      <c r="A505" s="7"/>
      <c r="B505" s="7"/>
      <c r="C505" s="7"/>
      <c r="D505" s="6" t="str">
        <f>IF(NOT(ISBLANK(C505)), VLOOKUP(C505,'Dataset Descriptions'!$A$2:$B$10, 2, FALSE), "")</f>
        <v/>
      </c>
      <c r="E505" s="7"/>
      <c r="F505" s="7"/>
      <c r="G505" s="7"/>
      <c r="H505" s="7"/>
      <c r="I505" s="7"/>
      <c r="J505" s="7"/>
      <c r="K505" s="7"/>
      <c r="L505" s="7"/>
      <c r="M505" s="7"/>
      <c r="N505" s="7"/>
      <c r="O505" s="7"/>
      <c r="P505" s="7"/>
      <c r="Q505" s="7"/>
      <c r="R505" s="8"/>
      <c r="S505" s="6" t="str">
        <f>IF(NOT(ISBLANK(E505)), ROUND(((IF(E505="yes",1,0)*'Grading Scale'!E$2)+(IF(F505="yes",1,0)*'Grading Scale'!E$3)+(IF(G505="yes",1,0)*'Grading Scale'!E$4)+(IF(H505="yes",1,0)*'Grading Scale'!E$5)+(IF(I505="yes",1,0)*'Grading Scale'!E$6)+(IF(J505="yes",1,0)*'Grading Scale'!E$7)+(IF(K505="yes",1,0)*'Grading Scale'!E$8)+(IF(L505="yes",1,0)*'Grading Scale'!E$9)+(IF(M505="yes",1,0)*'Grading Scale'!E$10)+(IF(N505="yes",1,0)*'Grading Scale'!E$11)+(IF(O505="yes",1,0)*'Grading Scale'!E$12)+(IF(P505="yes",1,0)*'Grading Scale'!E$13))/'Grading Scale'!E$14*100,0), "")</f>
        <v/>
      </c>
      <c r="T505" s="6" t="str">
        <f>IF(ISNUMBER(S505),VLOOKUP(S505,'Grading Scale'!$A$2:$B$14, 2), "")</f>
        <v/>
      </c>
      <c r="U505" s="7"/>
      <c r="V505" s="7"/>
      <c r="W505" s="7"/>
      <c r="X505" s="7"/>
      <c r="Y505" s="7"/>
      <c r="Z505" s="7"/>
      <c r="AA505" s="7"/>
      <c r="AB505" s="7"/>
      <c r="AC505" s="7"/>
      <c r="AD505" s="7"/>
      <c r="AE505" s="7"/>
      <c r="AF505" s="7"/>
      <c r="AG505" s="7"/>
      <c r="AH505" s="7"/>
      <c r="AI505" s="7"/>
      <c r="AJ505" s="7"/>
    </row>
    <row r="506">
      <c r="A506" s="7"/>
      <c r="B506" s="7"/>
      <c r="C506" s="7"/>
      <c r="D506" s="6" t="str">
        <f>IF(NOT(ISBLANK(C506)), VLOOKUP(C506,'Dataset Descriptions'!$A$2:$B$10, 2, FALSE), "")</f>
        <v/>
      </c>
      <c r="E506" s="7"/>
      <c r="F506" s="7"/>
      <c r="G506" s="7"/>
      <c r="H506" s="7"/>
      <c r="I506" s="7"/>
      <c r="J506" s="7"/>
      <c r="K506" s="7"/>
      <c r="L506" s="7"/>
      <c r="M506" s="7"/>
      <c r="N506" s="7"/>
      <c r="O506" s="7"/>
      <c r="P506" s="7"/>
      <c r="Q506" s="7"/>
      <c r="R506" s="8"/>
      <c r="S506" s="6" t="str">
        <f>IF(NOT(ISBLANK(E506)), ROUND(((IF(E506="yes",1,0)*'Grading Scale'!E$2)+(IF(F506="yes",1,0)*'Grading Scale'!E$3)+(IF(G506="yes",1,0)*'Grading Scale'!E$4)+(IF(H506="yes",1,0)*'Grading Scale'!E$5)+(IF(I506="yes",1,0)*'Grading Scale'!E$6)+(IF(J506="yes",1,0)*'Grading Scale'!E$7)+(IF(K506="yes",1,0)*'Grading Scale'!E$8)+(IF(L506="yes",1,0)*'Grading Scale'!E$9)+(IF(M506="yes",1,0)*'Grading Scale'!E$10)+(IF(N506="yes",1,0)*'Grading Scale'!E$11)+(IF(O506="yes",1,0)*'Grading Scale'!E$12)+(IF(P506="yes",1,0)*'Grading Scale'!E$13))/'Grading Scale'!E$14*100,0), "")</f>
        <v/>
      </c>
      <c r="T506" s="6" t="str">
        <f>IF(ISNUMBER(S506),VLOOKUP(S506,'Grading Scale'!$A$2:$B$14, 2), "")</f>
        <v/>
      </c>
      <c r="U506" s="7"/>
      <c r="V506" s="7"/>
      <c r="W506" s="7"/>
      <c r="X506" s="7"/>
      <c r="Y506" s="7"/>
      <c r="Z506" s="7"/>
      <c r="AA506" s="7"/>
      <c r="AB506" s="7"/>
      <c r="AC506" s="7"/>
      <c r="AD506" s="7"/>
      <c r="AE506" s="7"/>
      <c r="AF506" s="7"/>
      <c r="AG506" s="7"/>
      <c r="AH506" s="7"/>
      <c r="AI506" s="7"/>
      <c r="AJ506" s="7"/>
    </row>
    <row r="507">
      <c r="A507" s="7"/>
      <c r="B507" s="7"/>
      <c r="C507" s="7"/>
      <c r="D507" s="6" t="str">
        <f>IF(NOT(ISBLANK(C507)), VLOOKUP(C507,'Dataset Descriptions'!$A$2:$B$10, 2, FALSE), "")</f>
        <v/>
      </c>
      <c r="E507" s="7"/>
      <c r="F507" s="7"/>
      <c r="G507" s="7"/>
      <c r="H507" s="7"/>
      <c r="I507" s="7"/>
      <c r="J507" s="7"/>
      <c r="K507" s="7"/>
      <c r="L507" s="7"/>
      <c r="M507" s="7"/>
      <c r="N507" s="7"/>
      <c r="O507" s="7"/>
      <c r="P507" s="7"/>
      <c r="Q507" s="7"/>
      <c r="R507" s="8"/>
      <c r="S507" s="6" t="str">
        <f>IF(NOT(ISBLANK(E507)), ROUND(((IF(E507="yes",1,0)*'Grading Scale'!E$2)+(IF(F507="yes",1,0)*'Grading Scale'!E$3)+(IF(G507="yes",1,0)*'Grading Scale'!E$4)+(IF(H507="yes",1,0)*'Grading Scale'!E$5)+(IF(I507="yes",1,0)*'Grading Scale'!E$6)+(IF(J507="yes",1,0)*'Grading Scale'!E$7)+(IF(K507="yes",1,0)*'Grading Scale'!E$8)+(IF(L507="yes",1,0)*'Grading Scale'!E$9)+(IF(M507="yes",1,0)*'Grading Scale'!E$10)+(IF(N507="yes",1,0)*'Grading Scale'!E$11)+(IF(O507="yes",1,0)*'Grading Scale'!E$12)+(IF(P507="yes",1,0)*'Grading Scale'!E$13))/'Grading Scale'!E$14*100,0), "")</f>
        <v/>
      </c>
      <c r="T507" s="6" t="str">
        <f>IF(ISNUMBER(S507),VLOOKUP(S507,'Grading Scale'!$A$2:$B$14, 2), "")</f>
        <v/>
      </c>
      <c r="U507" s="7"/>
      <c r="V507" s="7"/>
      <c r="W507" s="7"/>
      <c r="X507" s="7"/>
      <c r="Y507" s="7"/>
      <c r="Z507" s="7"/>
      <c r="AA507" s="7"/>
      <c r="AB507" s="7"/>
      <c r="AC507" s="7"/>
      <c r="AD507" s="7"/>
      <c r="AE507" s="7"/>
      <c r="AF507" s="7"/>
      <c r="AG507" s="7"/>
      <c r="AH507" s="7"/>
      <c r="AI507" s="7"/>
      <c r="AJ507" s="7"/>
    </row>
    <row r="508">
      <c r="A508" s="7"/>
      <c r="B508" s="7"/>
      <c r="C508" s="7"/>
      <c r="D508" s="6" t="str">
        <f>IF(NOT(ISBLANK(C508)), VLOOKUP(C508,'Dataset Descriptions'!$A$2:$B$10, 2, FALSE), "")</f>
        <v/>
      </c>
      <c r="E508" s="7"/>
      <c r="F508" s="7"/>
      <c r="G508" s="7"/>
      <c r="H508" s="7"/>
      <c r="I508" s="7"/>
      <c r="J508" s="7"/>
      <c r="K508" s="7"/>
      <c r="L508" s="7"/>
      <c r="M508" s="7"/>
      <c r="N508" s="7"/>
      <c r="O508" s="7"/>
      <c r="P508" s="7"/>
      <c r="Q508" s="7"/>
      <c r="R508" s="8"/>
      <c r="S508" s="6" t="str">
        <f>IF(NOT(ISBLANK(E508)), ROUND(((IF(E508="yes",1,0)*'Grading Scale'!E$2)+(IF(F508="yes",1,0)*'Grading Scale'!E$3)+(IF(G508="yes",1,0)*'Grading Scale'!E$4)+(IF(H508="yes",1,0)*'Grading Scale'!E$5)+(IF(I508="yes",1,0)*'Grading Scale'!E$6)+(IF(J508="yes",1,0)*'Grading Scale'!E$7)+(IF(K508="yes",1,0)*'Grading Scale'!E$8)+(IF(L508="yes",1,0)*'Grading Scale'!E$9)+(IF(M508="yes",1,0)*'Grading Scale'!E$10)+(IF(N508="yes",1,0)*'Grading Scale'!E$11)+(IF(O508="yes",1,0)*'Grading Scale'!E$12)+(IF(P508="yes",1,0)*'Grading Scale'!E$13))/'Grading Scale'!E$14*100,0), "")</f>
        <v/>
      </c>
      <c r="T508" s="6" t="str">
        <f>IF(ISNUMBER(S508),VLOOKUP(S508,'Grading Scale'!$A$2:$B$14, 2), "")</f>
        <v/>
      </c>
      <c r="U508" s="7"/>
      <c r="V508" s="7"/>
      <c r="W508" s="7"/>
      <c r="X508" s="7"/>
      <c r="Y508" s="7"/>
      <c r="Z508" s="7"/>
      <c r="AA508" s="7"/>
      <c r="AB508" s="7"/>
      <c r="AC508" s="7"/>
      <c r="AD508" s="7"/>
      <c r="AE508" s="7"/>
      <c r="AF508" s="7"/>
      <c r="AG508" s="7"/>
      <c r="AH508" s="7"/>
      <c r="AI508" s="7"/>
      <c r="AJ508" s="7"/>
    </row>
    <row r="509">
      <c r="A509" s="7"/>
      <c r="B509" s="7"/>
      <c r="C509" s="7"/>
      <c r="D509" s="6" t="str">
        <f>IF(NOT(ISBLANK(C509)), VLOOKUP(C509,'Dataset Descriptions'!$A$2:$B$10, 2, FALSE), "")</f>
        <v/>
      </c>
      <c r="E509" s="7"/>
      <c r="F509" s="7"/>
      <c r="G509" s="7"/>
      <c r="H509" s="7"/>
      <c r="I509" s="7"/>
      <c r="J509" s="7"/>
      <c r="K509" s="7"/>
      <c r="L509" s="7"/>
      <c r="M509" s="7"/>
      <c r="N509" s="7"/>
      <c r="O509" s="7"/>
      <c r="P509" s="7"/>
      <c r="Q509" s="7"/>
      <c r="R509" s="8"/>
      <c r="S509" s="6" t="str">
        <f>IF(NOT(ISBLANK(E509)), ROUND(((IF(E509="yes",1,0)*'Grading Scale'!E$2)+(IF(F509="yes",1,0)*'Grading Scale'!E$3)+(IF(G509="yes",1,0)*'Grading Scale'!E$4)+(IF(H509="yes",1,0)*'Grading Scale'!E$5)+(IF(I509="yes",1,0)*'Grading Scale'!E$6)+(IF(J509="yes",1,0)*'Grading Scale'!E$7)+(IF(K509="yes",1,0)*'Grading Scale'!E$8)+(IF(L509="yes",1,0)*'Grading Scale'!E$9)+(IF(M509="yes",1,0)*'Grading Scale'!E$10)+(IF(N509="yes",1,0)*'Grading Scale'!E$11)+(IF(O509="yes",1,0)*'Grading Scale'!E$12)+(IF(P509="yes",1,0)*'Grading Scale'!E$13))/'Grading Scale'!E$14*100,0), "")</f>
        <v/>
      </c>
      <c r="T509" s="6" t="str">
        <f>IF(ISNUMBER(S509),VLOOKUP(S509,'Grading Scale'!$A$2:$B$14, 2), "")</f>
        <v/>
      </c>
      <c r="U509" s="7"/>
      <c r="V509" s="7"/>
      <c r="W509" s="7"/>
      <c r="X509" s="7"/>
      <c r="Y509" s="7"/>
      <c r="Z509" s="7"/>
      <c r="AA509" s="7"/>
      <c r="AB509" s="7"/>
      <c r="AC509" s="7"/>
      <c r="AD509" s="7"/>
      <c r="AE509" s="7"/>
      <c r="AF509" s="7"/>
      <c r="AG509" s="7"/>
      <c r="AH509" s="7"/>
      <c r="AI509" s="7"/>
      <c r="AJ509" s="7"/>
    </row>
    <row r="510">
      <c r="A510" s="7"/>
      <c r="B510" s="7"/>
      <c r="C510" s="7"/>
      <c r="D510" s="6" t="str">
        <f>IF(NOT(ISBLANK(C510)), VLOOKUP(C510,'Dataset Descriptions'!$A$2:$B$10, 2, FALSE), "")</f>
        <v/>
      </c>
      <c r="E510" s="7"/>
      <c r="F510" s="7"/>
      <c r="G510" s="7"/>
      <c r="H510" s="7"/>
      <c r="I510" s="7"/>
      <c r="J510" s="7"/>
      <c r="K510" s="7"/>
      <c r="L510" s="7"/>
      <c r="M510" s="7"/>
      <c r="N510" s="7"/>
      <c r="O510" s="7"/>
      <c r="P510" s="7"/>
      <c r="Q510" s="7"/>
      <c r="R510" s="8"/>
      <c r="S510" s="6" t="str">
        <f>IF(NOT(ISBLANK(E510)), ROUND(((IF(E510="yes",1,0)*'Grading Scale'!E$2)+(IF(F510="yes",1,0)*'Grading Scale'!E$3)+(IF(G510="yes",1,0)*'Grading Scale'!E$4)+(IF(H510="yes",1,0)*'Grading Scale'!E$5)+(IF(I510="yes",1,0)*'Grading Scale'!E$6)+(IF(J510="yes",1,0)*'Grading Scale'!E$7)+(IF(K510="yes",1,0)*'Grading Scale'!E$8)+(IF(L510="yes",1,0)*'Grading Scale'!E$9)+(IF(M510="yes",1,0)*'Grading Scale'!E$10)+(IF(N510="yes",1,0)*'Grading Scale'!E$11)+(IF(O510="yes",1,0)*'Grading Scale'!E$12)+(IF(P510="yes",1,0)*'Grading Scale'!E$13))/'Grading Scale'!E$14*100,0), "")</f>
        <v/>
      </c>
      <c r="T510" s="6" t="str">
        <f>IF(ISNUMBER(S510),VLOOKUP(S510,'Grading Scale'!$A$2:$B$14, 2), "")</f>
        <v/>
      </c>
      <c r="U510" s="7"/>
      <c r="V510" s="7"/>
      <c r="W510" s="7"/>
      <c r="X510" s="7"/>
      <c r="Y510" s="7"/>
      <c r="Z510" s="7"/>
      <c r="AA510" s="7"/>
      <c r="AB510" s="7"/>
      <c r="AC510" s="7"/>
      <c r="AD510" s="7"/>
      <c r="AE510" s="7"/>
      <c r="AF510" s="7"/>
      <c r="AG510" s="7"/>
      <c r="AH510" s="7"/>
      <c r="AI510" s="7"/>
      <c r="AJ510" s="7"/>
    </row>
    <row r="511">
      <c r="A511" s="7"/>
      <c r="B511" s="7"/>
      <c r="C511" s="7"/>
      <c r="D511" s="6" t="str">
        <f>IF(NOT(ISBLANK(C511)), VLOOKUP(C511,'Dataset Descriptions'!$A$2:$B$10, 2, FALSE), "")</f>
        <v/>
      </c>
      <c r="E511" s="7"/>
      <c r="F511" s="7"/>
      <c r="G511" s="7"/>
      <c r="H511" s="7"/>
      <c r="I511" s="7"/>
      <c r="J511" s="7"/>
      <c r="K511" s="7"/>
      <c r="L511" s="7"/>
      <c r="M511" s="7"/>
      <c r="N511" s="7"/>
      <c r="O511" s="7"/>
      <c r="P511" s="7"/>
      <c r="Q511" s="7"/>
      <c r="R511" s="8"/>
      <c r="S511" s="6" t="str">
        <f>IF(NOT(ISBLANK(E511)), ROUND(((IF(E511="yes",1,0)*'Grading Scale'!E$2)+(IF(F511="yes",1,0)*'Grading Scale'!E$3)+(IF(G511="yes",1,0)*'Grading Scale'!E$4)+(IF(H511="yes",1,0)*'Grading Scale'!E$5)+(IF(I511="yes",1,0)*'Grading Scale'!E$6)+(IF(J511="yes",1,0)*'Grading Scale'!E$7)+(IF(K511="yes",1,0)*'Grading Scale'!E$8)+(IF(L511="yes",1,0)*'Grading Scale'!E$9)+(IF(M511="yes",1,0)*'Grading Scale'!E$10)+(IF(N511="yes",1,0)*'Grading Scale'!E$11)+(IF(O511="yes",1,0)*'Grading Scale'!E$12)+(IF(P511="yes",1,0)*'Grading Scale'!E$13))/'Grading Scale'!E$14*100,0), "")</f>
        <v/>
      </c>
      <c r="T511" s="6" t="str">
        <f>IF(ISNUMBER(S511),VLOOKUP(S511,'Grading Scale'!$A$2:$B$14, 2), "")</f>
        <v/>
      </c>
      <c r="U511" s="7"/>
      <c r="V511" s="7"/>
      <c r="W511" s="7"/>
      <c r="X511" s="7"/>
      <c r="Y511" s="7"/>
      <c r="Z511" s="7"/>
      <c r="AA511" s="7"/>
      <c r="AB511" s="7"/>
      <c r="AC511" s="7"/>
      <c r="AD511" s="7"/>
      <c r="AE511" s="7"/>
      <c r="AF511" s="7"/>
      <c r="AG511" s="7"/>
      <c r="AH511" s="7"/>
      <c r="AI511" s="7"/>
      <c r="AJ511" s="7"/>
    </row>
    <row r="512">
      <c r="A512" s="7"/>
      <c r="B512" s="7"/>
      <c r="C512" s="7"/>
      <c r="D512" s="6" t="str">
        <f>IF(NOT(ISBLANK(C512)), VLOOKUP(C512,'Dataset Descriptions'!$A$2:$B$10, 2, FALSE), "")</f>
        <v/>
      </c>
      <c r="E512" s="7"/>
      <c r="F512" s="7"/>
      <c r="G512" s="7"/>
      <c r="H512" s="7"/>
      <c r="I512" s="7"/>
      <c r="J512" s="7"/>
      <c r="K512" s="7"/>
      <c r="L512" s="7"/>
      <c r="M512" s="7"/>
      <c r="N512" s="7"/>
      <c r="O512" s="7"/>
      <c r="P512" s="7"/>
      <c r="Q512" s="7"/>
      <c r="R512" s="8"/>
      <c r="S512" s="6" t="str">
        <f>IF(NOT(ISBLANK(E512)), ROUND(((IF(E512="yes",1,0)*'Grading Scale'!E$2)+(IF(F512="yes",1,0)*'Grading Scale'!E$3)+(IF(G512="yes",1,0)*'Grading Scale'!E$4)+(IF(H512="yes",1,0)*'Grading Scale'!E$5)+(IF(I512="yes",1,0)*'Grading Scale'!E$6)+(IF(J512="yes",1,0)*'Grading Scale'!E$7)+(IF(K512="yes",1,0)*'Grading Scale'!E$8)+(IF(L512="yes",1,0)*'Grading Scale'!E$9)+(IF(M512="yes",1,0)*'Grading Scale'!E$10)+(IF(N512="yes",1,0)*'Grading Scale'!E$11)+(IF(O512="yes",1,0)*'Grading Scale'!E$12)+(IF(P512="yes",1,0)*'Grading Scale'!E$13))/'Grading Scale'!E$14*100,0), "")</f>
        <v/>
      </c>
      <c r="T512" s="6" t="str">
        <f>IF(ISNUMBER(S512),VLOOKUP(S512,'Grading Scale'!$A$2:$B$14, 2), "")</f>
        <v/>
      </c>
      <c r="U512" s="7"/>
      <c r="V512" s="7"/>
      <c r="W512" s="7"/>
      <c r="X512" s="7"/>
      <c r="Y512" s="7"/>
      <c r="Z512" s="7"/>
      <c r="AA512" s="7"/>
      <c r="AB512" s="7"/>
      <c r="AC512" s="7"/>
      <c r="AD512" s="7"/>
      <c r="AE512" s="7"/>
      <c r="AF512" s="7"/>
      <c r="AG512" s="7"/>
      <c r="AH512" s="7"/>
      <c r="AI512" s="7"/>
      <c r="AJ512" s="7"/>
    </row>
    <row r="513">
      <c r="A513" s="7"/>
      <c r="B513" s="7"/>
      <c r="C513" s="7"/>
      <c r="D513" s="6" t="str">
        <f>IF(NOT(ISBLANK(C513)), VLOOKUP(C513,'Dataset Descriptions'!$A$2:$B$10, 2, FALSE), "")</f>
        <v/>
      </c>
      <c r="E513" s="7"/>
      <c r="F513" s="7"/>
      <c r="G513" s="7"/>
      <c r="H513" s="7"/>
      <c r="I513" s="7"/>
      <c r="J513" s="7"/>
      <c r="K513" s="7"/>
      <c r="L513" s="7"/>
      <c r="M513" s="7"/>
      <c r="N513" s="7"/>
      <c r="O513" s="7"/>
      <c r="P513" s="7"/>
      <c r="Q513" s="7"/>
      <c r="R513" s="8"/>
      <c r="S513" s="6" t="str">
        <f>IF(NOT(ISBLANK(E513)), ROUND(((IF(E513="yes",1,0)*'Grading Scale'!E$2)+(IF(F513="yes",1,0)*'Grading Scale'!E$3)+(IF(G513="yes",1,0)*'Grading Scale'!E$4)+(IF(H513="yes",1,0)*'Grading Scale'!E$5)+(IF(I513="yes",1,0)*'Grading Scale'!E$6)+(IF(J513="yes",1,0)*'Grading Scale'!E$7)+(IF(K513="yes",1,0)*'Grading Scale'!E$8)+(IF(L513="yes",1,0)*'Grading Scale'!E$9)+(IF(M513="yes",1,0)*'Grading Scale'!E$10)+(IF(N513="yes",1,0)*'Grading Scale'!E$11)+(IF(O513="yes",1,0)*'Grading Scale'!E$12)+(IF(P513="yes",1,0)*'Grading Scale'!E$13))/'Grading Scale'!E$14*100,0), "")</f>
        <v/>
      </c>
      <c r="T513" s="6" t="str">
        <f>IF(ISNUMBER(S513),VLOOKUP(S513,'Grading Scale'!$A$2:$B$14, 2), "")</f>
        <v/>
      </c>
      <c r="U513" s="7"/>
      <c r="V513" s="7"/>
      <c r="W513" s="7"/>
      <c r="X513" s="7"/>
      <c r="Y513" s="7"/>
      <c r="Z513" s="7"/>
      <c r="AA513" s="7"/>
      <c r="AB513" s="7"/>
      <c r="AC513" s="7"/>
      <c r="AD513" s="7"/>
      <c r="AE513" s="7"/>
      <c r="AF513" s="7"/>
      <c r="AG513" s="7"/>
      <c r="AH513" s="7"/>
      <c r="AI513" s="7"/>
      <c r="AJ513" s="7"/>
    </row>
    <row r="514">
      <c r="A514" s="7"/>
      <c r="B514" s="7"/>
      <c r="C514" s="7"/>
      <c r="D514" s="6" t="str">
        <f>IF(NOT(ISBLANK(C514)), VLOOKUP(C514,'Dataset Descriptions'!$A$2:$B$10, 2, FALSE), "")</f>
        <v/>
      </c>
      <c r="E514" s="7"/>
      <c r="F514" s="7"/>
      <c r="G514" s="7"/>
      <c r="H514" s="7"/>
      <c r="I514" s="7"/>
      <c r="J514" s="7"/>
      <c r="K514" s="7"/>
      <c r="L514" s="7"/>
      <c r="M514" s="7"/>
      <c r="N514" s="7"/>
      <c r="O514" s="7"/>
      <c r="P514" s="7"/>
      <c r="Q514" s="7"/>
      <c r="R514" s="8"/>
      <c r="S514" s="6" t="str">
        <f>IF(NOT(ISBLANK(E514)), ROUND(((IF(E514="yes",1,0)*'Grading Scale'!E$2)+(IF(F514="yes",1,0)*'Grading Scale'!E$3)+(IF(G514="yes",1,0)*'Grading Scale'!E$4)+(IF(H514="yes",1,0)*'Grading Scale'!E$5)+(IF(I514="yes",1,0)*'Grading Scale'!E$6)+(IF(J514="yes",1,0)*'Grading Scale'!E$7)+(IF(K514="yes",1,0)*'Grading Scale'!E$8)+(IF(L514="yes",1,0)*'Grading Scale'!E$9)+(IF(M514="yes",1,0)*'Grading Scale'!E$10)+(IF(N514="yes",1,0)*'Grading Scale'!E$11)+(IF(O514="yes",1,0)*'Grading Scale'!E$12)+(IF(P514="yes",1,0)*'Grading Scale'!E$13))/'Grading Scale'!E$14*100,0), "")</f>
        <v/>
      </c>
      <c r="T514" s="6" t="str">
        <f>IF(ISNUMBER(S514),VLOOKUP(S514,'Grading Scale'!$A$2:$B$14, 2), "")</f>
        <v/>
      </c>
      <c r="U514" s="7"/>
      <c r="V514" s="7"/>
      <c r="W514" s="7"/>
      <c r="X514" s="7"/>
      <c r="Y514" s="7"/>
      <c r="Z514" s="7"/>
      <c r="AA514" s="7"/>
      <c r="AB514" s="7"/>
      <c r="AC514" s="7"/>
      <c r="AD514" s="7"/>
      <c r="AE514" s="7"/>
      <c r="AF514" s="7"/>
      <c r="AG514" s="7"/>
      <c r="AH514" s="7"/>
      <c r="AI514" s="7"/>
      <c r="AJ514" s="7"/>
    </row>
    <row r="515">
      <c r="A515" s="7"/>
      <c r="B515" s="7"/>
      <c r="C515" s="7"/>
      <c r="D515" s="6" t="str">
        <f>IF(NOT(ISBLANK(C515)), VLOOKUP(C515,'Dataset Descriptions'!$A$2:$B$10, 2, FALSE), "")</f>
        <v/>
      </c>
      <c r="E515" s="7"/>
      <c r="F515" s="7"/>
      <c r="G515" s="7"/>
      <c r="H515" s="7"/>
      <c r="I515" s="7"/>
      <c r="J515" s="7"/>
      <c r="K515" s="7"/>
      <c r="L515" s="7"/>
      <c r="M515" s="7"/>
      <c r="N515" s="7"/>
      <c r="O515" s="7"/>
      <c r="P515" s="7"/>
      <c r="Q515" s="7"/>
      <c r="R515" s="8"/>
      <c r="S515" s="6" t="str">
        <f>IF(NOT(ISBLANK(E515)), ROUND(((IF(E515="yes",1,0)*'Grading Scale'!E$2)+(IF(F515="yes",1,0)*'Grading Scale'!E$3)+(IF(G515="yes",1,0)*'Grading Scale'!E$4)+(IF(H515="yes",1,0)*'Grading Scale'!E$5)+(IF(I515="yes",1,0)*'Grading Scale'!E$6)+(IF(J515="yes",1,0)*'Grading Scale'!E$7)+(IF(K515="yes",1,0)*'Grading Scale'!E$8)+(IF(L515="yes",1,0)*'Grading Scale'!E$9)+(IF(M515="yes",1,0)*'Grading Scale'!E$10)+(IF(N515="yes",1,0)*'Grading Scale'!E$11)+(IF(O515="yes",1,0)*'Grading Scale'!E$12)+(IF(P515="yes",1,0)*'Grading Scale'!E$13))/'Grading Scale'!E$14*100,0), "")</f>
        <v/>
      </c>
      <c r="T515" s="6" t="str">
        <f>IF(ISNUMBER(S515),VLOOKUP(S515,'Grading Scale'!$A$2:$B$14, 2), "")</f>
        <v/>
      </c>
      <c r="U515" s="7"/>
      <c r="V515" s="7"/>
      <c r="W515" s="7"/>
      <c r="X515" s="7"/>
      <c r="Y515" s="7"/>
      <c r="Z515" s="7"/>
      <c r="AA515" s="7"/>
      <c r="AB515" s="7"/>
      <c r="AC515" s="7"/>
      <c r="AD515" s="7"/>
      <c r="AE515" s="7"/>
      <c r="AF515" s="7"/>
      <c r="AG515" s="7"/>
      <c r="AH515" s="7"/>
      <c r="AI515" s="7"/>
      <c r="AJ515" s="7"/>
    </row>
    <row r="516">
      <c r="A516" s="7"/>
      <c r="B516" s="7"/>
      <c r="C516" s="7"/>
      <c r="D516" s="6" t="str">
        <f>IF(NOT(ISBLANK(C516)), VLOOKUP(C516,'Dataset Descriptions'!$A$2:$B$10, 2, FALSE), "")</f>
        <v/>
      </c>
      <c r="E516" s="7"/>
      <c r="F516" s="7"/>
      <c r="G516" s="7"/>
      <c r="H516" s="7"/>
      <c r="I516" s="7"/>
      <c r="J516" s="7"/>
      <c r="K516" s="7"/>
      <c r="L516" s="7"/>
      <c r="M516" s="7"/>
      <c r="N516" s="7"/>
      <c r="O516" s="7"/>
      <c r="P516" s="7"/>
      <c r="Q516" s="7"/>
      <c r="R516" s="8"/>
      <c r="S516" s="6" t="str">
        <f>IF(NOT(ISBLANK(E516)), ROUND(((IF(E516="yes",1,0)*'Grading Scale'!E$2)+(IF(F516="yes",1,0)*'Grading Scale'!E$3)+(IF(G516="yes",1,0)*'Grading Scale'!E$4)+(IF(H516="yes",1,0)*'Grading Scale'!E$5)+(IF(I516="yes",1,0)*'Grading Scale'!E$6)+(IF(J516="yes",1,0)*'Grading Scale'!E$7)+(IF(K516="yes",1,0)*'Grading Scale'!E$8)+(IF(L516="yes",1,0)*'Grading Scale'!E$9)+(IF(M516="yes",1,0)*'Grading Scale'!E$10)+(IF(N516="yes",1,0)*'Grading Scale'!E$11)+(IF(O516="yes",1,0)*'Grading Scale'!E$12)+(IF(P516="yes",1,0)*'Grading Scale'!E$13))/'Grading Scale'!E$14*100,0), "")</f>
        <v/>
      </c>
      <c r="T516" s="6" t="str">
        <f>IF(ISNUMBER(S516),VLOOKUP(S516,'Grading Scale'!$A$2:$B$14, 2), "")</f>
        <v/>
      </c>
      <c r="U516" s="7"/>
      <c r="V516" s="7"/>
      <c r="W516" s="7"/>
      <c r="X516" s="7"/>
      <c r="Y516" s="7"/>
      <c r="Z516" s="7"/>
      <c r="AA516" s="7"/>
      <c r="AB516" s="7"/>
      <c r="AC516" s="7"/>
      <c r="AD516" s="7"/>
      <c r="AE516" s="7"/>
      <c r="AF516" s="7"/>
      <c r="AG516" s="7"/>
      <c r="AH516" s="7"/>
      <c r="AI516" s="7"/>
      <c r="AJ516" s="7"/>
    </row>
    <row r="517">
      <c r="A517" s="7"/>
      <c r="B517" s="7"/>
      <c r="C517" s="7"/>
      <c r="D517" s="6" t="str">
        <f>IF(NOT(ISBLANK(C517)), VLOOKUP(C517,'Dataset Descriptions'!$A$2:$B$10, 2, FALSE), "")</f>
        <v/>
      </c>
      <c r="E517" s="7"/>
      <c r="F517" s="7"/>
      <c r="G517" s="7"/>
      <c r="H517" s="7"/>
      <c r="I517" s="7"/>
      <c r="J517" s="7"/>
      <c r="K517" s="7"/>
      <c r="L517" s="7"/>
      <c r="M517" s="7"/>
      <c r="N517" s="7"/>
      <c r="O517" s="7"/>
      <c r="P517" s="7"/>
      <c r="Q517" s="7"/>
      <c r="R517" s="8"/>
      <c r="S517" s="6" t="str">
        <f>IF(NOT(ISBLANK(E517)), ROUND(((IF(E517="yes",1,0)*'Grading Scale'!E$2)+(IF(F517="yes",1,0)*'Grading Scale'!E$3)+(IF(G517="yes",1,0)*'Grading Scale'!E$4)+(IF(H517="yes",1,0)*'Grading Scale'!E$5)+(IF(I517="yes",1,0)*'Grading Scale'!E$6)+(IF(J517="yes",1,0)*'Grading Scale'!E$7)+(IF(K517="yes",1,0)*'Grading Scale'!E$8)+(IF(L517="yes",1,0)*'Grading Scale'!E$9)+(IF(M517="yes",1,0)*'Grading Scale'!E$10)+(IF(N517="yes",1,0)*'Grading Scale'!E$11)+(IF(O517="yes",1,0)*'Grading Scale'!E$12)+(IF(P517="yes",1,0)*'Grading Scale'!E$13))/'Grading Scale'!E$14*100,0), "")</f>
        <v/>
      </c>
      <c r="T517" s="6" t="str">
        <f>IF(ISNUMBER(S517),VLOOKUP(S517,'Grading Scale'!$A$2:$B$14, 2), "")</f>
        <v/>
      </c>
      <c r="U517" s="7"/>
      <c r="V517" s="7"/>
      <c r="W517" s="7"/>
      <c r="X517" s="7"/>
      <c r="Y517" s="7"/>
      <c r="Z517" s="7"/>
      <c r="AA517" s="7"/>
      <c r="AB517" s="7"/>
      <c r="AC517" s="7"/>
      <c r="AD517" s="7"/>
      <c r="AE517" s="7"/>
      <c r="AF517" s="7"/>
      <c r="AG517" s="7"/>
      <c r="AH517" s="7"/>
      <c r="AI517" s="7"/>
      <c r="AJ517" s="7"/>
    </row>
    <row r="518">
      <c r="A518" s="7"/>
      <c r="B518" s="7"/>
      <c r="C518" s="7"/>
      <c r="D518" s="6" t="str">
        <f>IF(NOT(ISBLANK(C518)), VLOOKUP(C518,'Dataset Descriptions'!$A$2:$B$10, 2, FALSE), "")</f>
        <v/>
      </c>
      <c r="E518" s="7"/>
      <c r="F518" s="7"/>
      <c r="G518" s="7"/>
      <c r="H518" s="7"/>
      <c r="I518" s="7"/>
      <c r="J518" s="7"/>
      <c r="K518" s="7"/>
      <c r="L518" s="7"/>
      <c r="M518" s="7"/>
      <c r="N518" s="7"/>
      <c r="O518" s="7"/>
      <c r="P518" s="7"/>
      <c r="Q518" s="7"/>
      <c r="R518" s="8"/>
      <c r="S518" s="6" t="str">
        <f>IF(NOT(ISBLANK(E518)), ROUND(((IF(E518="yes",1,0)*'Grading Scale'!E$2)+(IF(F518="yes",1,0)*'Grading Scale'!E$3)+(IF(G518="yes",1,0)*'Grading Scale'!E$4)+(IF(H518="yes",1,0)*'Grading Scale'!E$5)+(IF(I518="yes",1,0)*'Grading Scale'!E$6)+(IF(J518="yes",1,0)*'Grading Scale'!E$7)+(IF(K518="yes",1,0)*'Grading Scale'!E$8)+(IF(L518="yes",1,0)*'Grading Scale'!E$9)+(IF(M518="yes",1,0)*'Grading Scale'!E$10)+(IF(N518="yes",1,0)*'Grading Scale'!E$11)+(IF(O518="yes",1,0)*'Grading Scale'!E$12)+(IF(P518="yes",1,0)*'Grading Scale'!E$13))/'Grading Scale'!E$14*100,0), "")</f>
        <v/>
      </c>
      <c r="T518" s="6" t="str">
        <f>IF(ISNUMBER(S518),VLOOKUP(S518,'Grading Scale'!$A$2:$B$14, 2), "")</f>
        <v/>
      </c>
      <c r="U518" s="7"/>
      <c r="V518" s="7"/>
      <c r="W518" s="7"/>
      <c r="X518" s="7"/>
      <c r="Y518" s="7"/>
      <c r="Z518" s="7"/>
      <c r="AA518" s="7"/>
      <c r="AB518" s="7"/>
      <c r="AC518" s="7"/>
      <c r="AD518" s="7"/>
      <c r="AE518" s="7"/>
      <c r="AF518" s="7"/>
      <c r="AG518" s="7"/>
      <c r="AH518" s="7"/>
      <c r="AI518" s="7"/>
      <c r="AJ518" s="7"/>
    </row>
    <row r="519">
      <c r="A519" s="7"/>
      <c r="B519" s="7"/>
      <c r="C519" s="7"/>
      <c r="D519" s="6" t="str">
        <f>IF(NOT(ISBLANK(C519)), VLOOKUP(C519,'Dataset Descriptions'!$A$2:$B$10, 2, FALSE), "")</f>
        <v/>
      </c>
      <c r="E519" s="7"/>
      <c r="F519" s="7"/>
      <c r="G519" s="7"/>
      <c r="H519" s="7"/>
      <c r="I519" s="7"/>
      <c r="J519" s="7"/>
      <c r="K519" s="7"/>
      <c r="L519" s="7"/>
      <c r="M519" s="7"/>
      <c r="N519" s="7"/>
      <c r="O519" s="7"/>
      <c r="P519" s="7"/>
      <c r="Q519" s="7"/>
      <c r="R519" s="8"/>
      <c r="S519" s="6" t="str">
        <f>IF(NOT(ISBLANK(E519)), ROUND(((IF(E519="yes",1,0)*'Grading Scale'!E$2)+(IF(F519="yes",1,0)*'Grading Scale'!E$3)+(IF(G519="yes",1,0)*'Grading Scale'!E$4)+(IF(H519="yes",1,0)*'Grading Scale'!E$5)+(IF(I519="yes",1,0)*'Grading Scale'!E$6)+(IF(J519="yes",1,0)*'Grading Scale'!E$7)+(IF(K519="yes",1,0)*'Grading Scale'!E$8)+(IF(L519="yes",1,0)*'Grading Scale'!E$9)+(IF(M519="yes",1,0)*'Grading Scale'!E$10)+(IF(N519="yes",1,0)*'Grading Scale'!E$11)+(IF(O519="yes",1,0)*'Grading Scale'!E$12)+(IF(P519="yes",1,0)*'Grading Scale'!E$13))/'Grading Scale'!E$14*100,0), "")</f>
        <v/>
      </c>
      <c r="T519" s="6" t="str">
        <f>IF(ISNUMBER(S519),VLOOKUP(S519,'Grading Scale'!$A$2:$B$14, 2), "")</f>
        <v/>
      </c>
      <c r="U519" s="7"/>
      <c r="V519" s="7"/>
      <c r="W519" s="7"/>
      <c r="X519" s="7"/>
      <c r="Y519" s="7"/>
      <c r="Z519" s="7"/>
      <c r="AA519" s="7"/>
      <c r="AB519" s="7"/>
      <c r="AC519" s="7"/>
      <c r="AD519" s="7"/>
      <c r="AE519" s="7"/>
      <c r="AF519" s="7"/>
      <c r="AG519" s="7"/>
      <c r="AH519" s="7"/>
      <c r="AI519" s="7"/>
      <c r="AJ519" s="7"/>
    </row>
    <row r="520">
      <c r="A520" s="7"/>
      <c r="B520" s="7"/>
      <c r="C520" s="7"/>
      <c r="D520" s="6" t="str">
        <f>IF(NOT(ISBLANK(C520)), VLOOKUP(C520,'Dataset Descriptions'!$A$2:$B$10, 2, FALSE), "")</f>
        <v/>
      </c>
      <c r="E520" s="7"/>
      <c r="F520" s="7"/>
      <c r="G520" s="7"/>
      <c r="H520" s="7"/>
      <c r="I520" s="7"/>
      <c r="J520" s="7"/>
      <c r="K520" s="7"/>
      <c r="L520" s="7"/>
      <c r="M520" s="7"/>
      <c r="N520" s="7"/>
      <c r="O520" s="7"/>
      <c r="P520" s="7"/>
      <c r="Q520" s="7"/>
      <c r="R520" s="8"/>
      <c r="S520" s="6" t="str">
        <f>IF(NOT(ISBLANK(E520)), ROUND(((IF(E520="yes",1,0)*'Grading Scale'!E$2)+(IF(F520="yes",1,0)*'Grading Scale'!E$3)+(IF(G520="yes",1,0)*'Grading Scale'!E$4)+(IF(H520="yes",1,0)*'Grading Scale'!E$5)+(IF(I520="yes",1,0)*'Grading Scale'!E$6)+(IF(J520="yes",1,0)*'Grading Scale'!E$7)+(IF(K520="yes",1,0)*'Grading Scale'!E$8)+(IF(L520="yes",1,0)*'Grading Scale'!E$9)+(IF(M520="yes",1,0)*'Grading Scale'!E$10)+(IF(N520="yes",1,0)*'Grading Scale'!E$11)+(IF(O520="yes",1,0)*'Grading Scale'!E$12)+(IF(P520="yes",1,0)*'Grading Scale'!E$13))/'Grading Scale'!E$14*100,0), "")</f>
        <v/>
      </c>
      <c r="T520" s="6" t="str">
        <f>IF(ISNUMBER(S520),VLOOKUP(S520,'Grading Scale'!$A$2:$B$14, 2), "")</f>
        <v/>
      </c>
      <c r="U520" s="7"/>
      <c r="V520" s="7"/>
      <c r="W520" s="7"/>
      <c r="X520" s="7"/>
      <c r="Y520" s="7"/>
      <c r="Z520" s="7"/>
      <c r="AA520" s="7"/>
      <c r="AB520" s="7"/>
      <c r="AC520" s="7"/>
      <c r="AD520" s="7"/>
      <c r="AE520" s="7"/>
      <c r="AF520" s="7"/>
      <c r="AG520" s="7"/>
      <c r="AH520" s="7"/>
      <c r="AI520" s="7"/>
      <c r="AJ520" s="7"/>
    </row>
    <row r="521">
      <c r="A521" s="7"/>
      <c r="B521" s="7"/>
      <c r="C521" s="7"/>
      <c r="D521" s="6" t="str">
        <f>IF(NOT(ISBLANK(C521)), VLOOKUP(C521,'Dataset Descriptions'!$A$2:$B$10, 2, FALSE), "")</f>
        <v/>
      </c>
      <c r="E521" s="7"/>
      <c r="F521" s="7"/>
      <c r="G521" s="7"/>
      <c r="H521" s="7"/>
      <c r="I521" s="7"/>
      <c r="J521" s="7"/>
      <c r="K521" s="7"/>
      <c r="L521" s="7"/>
      <c r="M521" s="7"/>
      <c r="N521" s="7"/>
      <c r="O521" s="7"/>
      <c r="P521" s="7"/>
      <c r="Q521" s="7"/>
      <c r="R521" s="8"/>
      <c r="S521" s="6" t="str">
        <f>IF(NOT(ISBLANK(E521)), ROUND(((IF(E521="yes",1,0)*'Grading Scale'!E$2)+(IF(F521="yes",1,0)*'Grading Scale'!E$3)+(IF(G521="yes",1,0)*'Grading Scale'!E$4)+(IF(H521="yes",1,0)*'Grading Scale'!E$5)+(IF(I521="yes",1,0)*'Grading Scale'!E$6)+(IF(J521="yes",1,0)*'Grading Scale'!E$7)+(IF(K521="yes",1,0)*'Grading Scale'!E$8)+(IF(L521="yes",1,0)*'Grading Scale'!E$9)+(IF(M521="yes",1,0)*'Grading Scale'!E$10)+(IF(N521="yes",1,0)*'Grading Scale'!E$11)+(IF(O521="yes",1,0)*'Grading Scale'!E$12)+(IF(P521="yes",1,0)*'Grading Scale'!E$13))/'Grading Scale'!E$14*100,0), "")</f>
        <v/>
      </c>
      <c r="T521" s="6" t="str">
        <f>IF(ISNUMBER(S521),VLOOKUP(S521,'Grading Scale'!$A$2:$B$14, 2), "")</f>
        <v/>
      </c>
      <c r="U521" s="7"/>
      <c r="V521" s="7"/>
      <c r="W521" s="7"/>
      <c r="X521" s="7"/>
      <c r="Y521" s="7"/>
      <c r="Z521" s="7"/>
      <c r="AA521" s="7"/>
      <c r="AB521" s="7"/>
      <c r="AC521" s="7"/>
      <c r="AD521" s="7"/>
      <c r="AE521" s="7"/>
      <c r="AF521" s="7"/>
      <c r="AG521" s="7"/>
      <c r="AH521" s="7"/>
      <c r="AI521" s="7"/>
      <c r="AJ521" s="7"/>
    </row>
    <row r="522">
      <c r="A522" s="7"/>
      <c r="B522" s="7"/>
      <c r="C522" s="7"/>
      <c r="D522" s="6" t="str">
        <f>IF(NOT(ISBLANK(C522)), VLOOKUP(C522,'Dataset Descriptions'!$A$2:$B$10, 2, FALSE), "")</f>
        <v/>
      </c>
      <c r="E522" s="7"/>
      <c r="F522" s="7"/>
      <c r="G522" s="7"/>
      <c r="H522" s="7"/>
      <c r="I522" s="7"/>
      <c r="J522" s="7"/>
      <c r="K522" s="7"/>
      <c r="L522" s="7"/>
      <c r="M522" s="7"/>
      <c r="N522" s="7"/>
      <c r="O522" s="7"/>
      <c r="P522" s="7"/>
      <c r="Q522" s="7"/>
      <c r="R522" s="8"/>
      <c r="S522" s="6" t="str">
        <f>IF(NOT(ISBLANK(E522)), ROUND(((IF(E522="yes",1,0)*'Grading Scale'!E$2)+(IF(F522="yes",1,0)*'Grading Scale'!E$3)+(IF(G522="yes",1,0)*'Grading Scale'!E$4)+(IF(H522="yes",1,0)*'Grading Scale'!E$5)+(IF(I522="yes",1,0)*'Grading Scale'!E$6)+(IF(J522="yes",1,0)*'Grading Scale'!E$7)+(IF(K522="yes",1,0)*'Grading Scale'!E$8)+(IF(L522="yes",1,0)*'Grading Scale'!E$9)+(IF(M522="yes",1,0)*'Grading Scale'!E$10)+(IF(N522="yes",1,0)*'Grading Scale'!E$11)+(IF(O522="yes",1,0)*'Grading Scale'!E$12)+(IF(P522="yes",1,0)*'Grading Scale'!E$13))/'Grading Scale'!E$14*100,0), "")</f>
        <v/>
      </c>
      <c r="T522" s="6" t="str">
        <f>IF(ISNUMBER(S522),VLOOKUP(S522,'Grading Scale'!$A$2:$B$14, 2), "")</f>
        <v/>
      </c>
      <c r="U522" s="7"/>
      <c r="V522" s="7"/>
      <c r="W522" s="7"/>
      <c r="X522" s="7"/>
      <c r="Y522" s="7"/>
      <c r="Z522" s="7"/>
      <c r="AA522" s="7"/>
      <c r="AB522" s="7"/>
      <c r="AC522" s="7"/>
      <c r="AD522" s="7"/>
      <c r="AE522" s="7"/>
      <c r="AF522" s="7"/>
      <c r="AG522" s="7"/>
      <c r="AH522" s="7"/>
      <c r="AI522" s="7"/>
      <c r="AJ522" s="7"/>
    </row>
    <row r="523">
      <c r="A523" s="7"/>
      <c r="B523" s="7"/>
      <c r="C523" s="7"/>
      <c r="D523" s="6" t="str">
        <f>IF(NOT(ISBLANK(C523)), VLOOKUP(C523,'Dataset Descriptions'!$A$2:$B$10, 2, FALSE), "")</f>
        <v/>
      </c>
      <c r="E523" s="7"/>
      <c r="F523" s="7"/>
      <c r="G523" s="7"/>
      <c r="H523" s="7"/>
      <c r="I523" s="7"/>
      <c r="J523" s="7"/>
      <c r="K523" s="7"/>
      <c r="L523" s="7"/>
      <c r="M523" s="7"/>
      <c r="N523" s="7"/>
      <c r="O523" s="7"/>
      <c r="P523" s="7"/>
      <c r="Q523" s="7"/>
      <c r="R523" s="8"/>
      <c r="S523" s="6" t="str">
        <f>IF(NOT(ISBLANK(E523)), ROUND(((IF(E523="yes",1,0)*'Grading Scale'!E$2)+(IF(F523="yes",1,0)*'Grading Scale'!E$3)+(IF(G523="yes",1,0)*'Grading Scale'!E$4)+(IF(H523="yes",1,0)*'Grading Scale'!E$5)+(IF(I523="yes",1,0)*'Grading Scale'!E$6)+(IF(J523="yes",1,0)*'Grading Scale'!E$7)+(IF(K523="yes",1,0)*'Grading Scale'!E$8)+(IF(L523="yes",1,0)*'Grading Scale'!E$9)+(IF(M523="yes",1,0)*'Grading Scale'!E$10)+(IF(N523="yes",1,0)*'Grading Scale'!E$11)+(IF(O523="yes",1,0)*'Grading Scale'!E$12)+(IF(P523="yes",1,0)*'Grading Scale'!E$13))/'Grading Scale'!E$14*100,0), "")</f>
        <v/>
      </c>
      <c r="T523" s="6" t="str">
        <f>IF(ISNUMBER(S523),VLOOKUP(S523,'Grading Scale'!$A$2:$B$14, 2), "")</f>
        <v/>
      </c>
      <c r="U523" s="7"/>
      <c r="V523" s="7"/>
      <c r="W523" s="7"/>
      <c r="X523" s="7"/>
      <c r="Y523" s="7"/>
      <c r="Z523" s="7"/>
      <c r="AA523" s="7"/>
      <c r="AB523" s="7"/>
      <c r="AC523" s="7"/>
      <c r="AD523" s="7"/>
      <c r="AE523" s="7"/>
      <c r="AF523" s="7"/>
      <c r="AG523" s="7"/>
      <c r="AH523" s="7"/>
      <c r="AI523" s="7"/>
      <c r="AJ523" s="7"/>
    </row>
    <row r="524">
      <c r="A524" s="7"/>
      <c r="B524" s="7"/>
      <c r="C524" s="7"/>
      <c r="D524" s="6" t="str">
        <f>IF(NOT(ISBLANK(C524)), VLOOKUP(C524,'Dataset Descriptions'!$A$2:$B$10, 2, FALSE), "")</f>
        <v/>
      </c>
      <c r="E524" s="7"/>
      <c r="F524" s="7"/>
      <c r="G524" s="7"/>
      <c r="H524" s="7"/>
      <c r="I524" s="7"/>
      <c r="J524" s="7"/>
      <c r="K524" s="7"/>
      <c r="L524" s="7"/>
      <c r="M524" s="7"/>
      <c r="N524" s="7"/>
      <c r="O524" s="7"/>
      <c r="P524" s="7"/>
      <c r="Q524" s="7"/>
      <c r="R524" s="8"/>
      <c r="S524" s="6" t="str">
        <f>IF(NOT(ISBLANK(E524)), ROUND(((IF(E524="yes",1,0)*'Grading Scale'!E$2)+(IF(F524="yes",1,0)*'Grading Scale'!E$3)+(IF(G524="yes",1,0)*'Grading Scale'!E$4)+(IF(H524="yes",1,0)*'Grading Scale'!E$5)+(IF(I524="yes",1,0)*'Grading Scale'!E$6)+(IF(J524="yes",1,0)*'Grading Scale'!E$7)+(IF(K524="yes",1,0)*'Grading Scale'!E$8)+(IF(L524="yes",1,0)*'Grading Scale'!E$9)+(IF(M524="yes",1,0)*'Grading Scale'!E$10)+(IF(N524="yes",1,0)*'Grading Scale'!E$11)+(IF(O524="yes",1,0)*'Grading Scale'!E$12)+(IF(P524="yes",1,0)*'Grading Scale'!E$13))/'Grading Scale'!E$14*100,0), "")</f>
        <v/>
      </c>
      <c r="T524" s="6" t="str">
        <f>IF(ISNUMBER(S524),VLOOKUP(S524,'Grading Scale'!$A$2:$B$14, 2), "")</f>
        <v/>
      </c>
      <c r="U524" s="7"/>
      <c r="V524" s="7"/>
      <c r="W524" s="7"/>
      <c r="X524" s="7"/>
      <c r="Y524" s="7"/>
      <c r="Z524" s="7"/>
      <c r="AA524" s="7"/>
      <c r="AB524" s="7"/>
      <c r="AC524" s="7"/>
      <c r="AD524" s="7"/>
      <c r="AE524" s="7"/>
      <c r="AF524" s="7"/>
      <c r="AG524" s="7"/>
      <c r="AH524" s="7"/>
      <c r="AI524" s="7"/>
      <c r="AJ524" s="7"/>
    </row>
    <row r="525">
      <c r="A525" s="7"/>
      <c r="B525" s="7"/>
      <c r="C525" s="7"/>
      <c r="D525" s="6" t="str">
        <f>IF(NOT(ISBLANK(C525)), VLOOKUP(C525,'Dataset Descriptions'!$A$2:$B$10, 2, FALSE), "")</f>
        <v/>
      </c>
      <c r="E525" s="7"/>
      <c r="F525" s="7"/>
      <c r="G525" s="7"/>
      <c r="H525" s="7"/>
      <c r="I525" s="7"/>
      <c r="J525" s="7"/>
      <c r="K525" s="7"/>
      <c r="L525" s="7"/>
      <c r="M525" s="7"/>
      <c r="N525" s="7"/>
      <c r="O525" s="7"/>
      <c r="P525" s="7"/>
      <c r="Q525" s="7"/>
      <c r="R525" s="8"/>
      <c r="S525" s="6" t="str">
        <f>IF(NOT(ISBLANK(E525)), ROUND(((IF(E525="yes",1,0)*'Grading Scale'!E$2)+(IF(F525="yes",1,0)*'Grading Scale'!E$3)+(IF(G525="yes",1,0)*'Grading Scale'!E$4)+(IF(H525="yes",1,0)*'Grading Scale'!E$5)+(IF(I525="yes",1,0)*'Grading Scale'!E$6)+(IF(J525="yes",1,0)*'Grading Scale'!E$7)+(IF(K525="yes",1,0)*'Grading Scale'!E$8)+(IF(L525="yes",1,0)*'Grading Scale'!E$9)+(IF(M525="yes",1,0)*'Grading Scale'!E$10)+(IF(N525="yes",1,0)*'Grading Scale'!E$11)+(IF(O525="yes",1,0)*'Grading Scale'!E$12)+(IF(P525="yes",1,0)*'Grading Scale'!E$13))/'Grading Scale'!E$14*100,0), "")</f>
        <v/>
      </c>
      <c r="T525" s="6" t="str">
        <f>IF(ISNUMBER(S525),VLOOKUP(S525,'Grading Scale'!$A$2:$B$14, 2), "")</f>
        <v/>
      </c>
      <c r="U525" s="7"/>
      <c r="V525" s="7"/>
      <c r="W525" s="7"/>
      <c r="X525" s="7"/>
      <c r="Y525" s="7"/>
      <c r="Z525" s="7"/>
      <c r="AA525" s="7"/>
      <c r="AB525" s="7"/>
      <c r="AC525" s="7"/>
      <c r="AD525" s="7"/>
      <c r="AE525" s="7"/>
      <c r="AF525" s="7"/>
      <c r="AG525" s="7"/>
      <c r="AH525" s="7"/>
      <c r="AI525" s="7"/>
      <c r="AJ525" s="7"/>
    </row>
    <row r="526">
      <c r="A526" s="7"/>
      <c r="B526" s="7"/>
      <c r="C526" s="7"/>
      <c r="D526" s="6" t="str">
        <f>IF(NOT(ISBLANK(C526)), VLOOKUP(C526,'Dataset Descriptions'!$A$2:$B$10, 2, FALSE), "")</f>
        <v/>
      </c>
      <c r="E526" s="7"/>
      <c r="F526" s="7"/>
      <c r="G526" s="7"/>
      <c r="H526" s="7"/>
      <c r="I526" s="7"/>
      <c r="J526" s="7"/>
      <c r="K526" s="7"/>
      <c r="L526" s="7"/>
      <c r="M526" s="7"/>
      <c r="N526" s="7"/>
      <c r="O526" s="7"/>
      <c r="P526" s="7"/>
      <c r="Q526" s="7"/>
      <c r="R526" s="8"/>
      <c r="S526" s="6" t="str">
        <f>IF(NOT(ISBLANK(E526)), ROUND(((IF(E526="yes",1,0)*'Grading Scale'!E$2)+(IF(F526="yes",1,0)*'Grading Scale'!E$3)+(IF(G526="yes",1,0)*'Grading Scale'!E$4)+(IF(H526="yes",1,0)*'Grading Scale'!E$5)+(IF(I526="yes",1,0)*'Grading Scale'!E$6)+(IF(J526="yes",1,0)*'Grading Scale'!E$7)+(IF(K526="yes",1,0)*'Grading Scale'!E$8)+(IF(L526="yes",1,0)*'Grading Scale'!E$9)+(IF(M526="yes",1,0)*'Grading Scale'!E$10)+(IF(N526="yes",1,0)*'Grading Scale'!E$11)+(IF(O526="yes",1,0)*'Grading Scale'!E$12)+(IF(P526="yes",1,0)*'Grading Scale'!E$13))/'Grading Scale'!E$14*100,0), "")</f>
        <v/>
      </c>
      <c r="T526" s="6" t="str">
        <f>IF(ISNUMBER(S526),VLOOKUP(S526,'Grading Scale'!$A$2:$B$14, 2), "")</f>
        <v/>
      </c>
      <c r="U526" s="7"/>
      <c r="V526" s="7"/>
      <c r="W526" s="7"/>
      <c r="X526" s="7"/>
      <c r="Y526" s="7"/>
      <c r="Z526" s="7"/>
      <c r="AA526" s="7"/>
      <c r="AB526" s="7"/>
      <c r="AC526" s="7"/>
      <c r="AD526" s="7"/>
      <c r="AE526" s="7"/>
      <c r="AF526" s="7"/>
      <c r="AG526" s="7"/>
      <c r="AH526" s="7"/>
      <c r="AI526" s="7"/>
      <c r="AJ526" s="7"/>
    </row>
    <row r="527">
      <c r="A527" s="7"/>
      <c r="B527" s="7"/>
      <c r="C527" s="7"/>
      <c r="D527" s="6" t="str">
        <f>IF(NOT(ISBLANK(C527)), VLOOKUP(C527,'Dataset Descriptions'!$A$2:$B$10, 2, FALSE), "")</f>
        <v/>
      </c>
      <c r="E527" s="7"/>
      <c r="F527" s="7"/>
      <c r="G527" s="7"/>
      <c r="H527" s="7"/>
      <c r="I527" s="7"/>
      <c r="J527" s="7"/>
      <c r="K527" s="7"/>
      <c r="L527" s="7"/>
      <c r="M527" s="7"/>
      <c r="N527" s="7"/>
      <c r="O527" s="7"/>
      <c r="P527" s="7"/>
      <c r="Q527" s="7"/>
      <c r="R527" s="8"/>
      <c r="S527" s="6" t="str">
        <f>IF(NOT(ISBLANK(E527)), ROUND(((IF(E527="yes",1,0)*'Grading Scale'!E$2)+(IF(F527="yes",1,0)*'Grading Scale'!E$3)+(IF(G527="yes",1,0)*'Grading Scale'!E$4)+(IF(H527="yes",1,0)*'Grading Scale'!E$5)+(IF(I527="yes",1,0)*'Grading Scale'!E$6)+(IF(J527="yes",1,0)*'Grading Scale'!E$7)+(IF(K527="yes",1,0)*'Grading Scale'!E$8)+(IF(L527="yes",1,0)*'Grading Scale'!E$9)+(IF(M527="yes",1,0)*'Grading Scale'!E$10)+(IF(N527="yes",1,0)*'Grading Scale'!E$11)+(IF(O527="yes",1,0)*'Grading Scale'!E$12)+(IF(P527="yes",1,0)*'Grading Scale'!E$13))/'Grading Scale'!E$14*100,0), "")</f>
        <v/>
      </c>
      <c r="T527" s="6" t="str">
        <f>IF(ISNUMBER(S527),VLOOKUP(S527,'Grading Scale'!$A$2:$B$14, 2), "")</f>
        <v/>
      </c>
      <c r="U527" s="7"/>
      <c r="V527" s="7"/>
      <c r="W527" s="7"/>
      <c r="X527" s="7"/>
      <c r="Y527" s="7"/>
      <c r="Z527" s="7"/>
      <c r="AA527" s="7"/>
      <c r="AB527" s="7"/>
      <c r="AC527" s="7"/>
      <c r="AD527" s="7"/>
      <c r="AE527" s="7"/>
      <c r="AF527" s="7"/>
      <c r="AG527" s="7"/>
      <c r="AH527" s="7"/>
      <c r="AI527" s="7"/>
      <c r="AJ527" s="7"/>
    </row>
    <row r="528">
      <c r="A528" s="7"/>
      <c r="B528" s="7"/>
      <c r="C528" s="7"/>
      <c r="D528" s="6" t="str">
        <f>IF(NOT(ISBLANK(C528)), VLOOKUP(C528,'Dataset Descriptions'!$A$2:$B$10, 2, FALSE), "")</f>
        <v/>
      </c>
      <c r="E528" s="7"/>
      <c r="F528" s="7"/>
      <c r="G528" s="7"/>
      <c r="H528" s="7"/>
      <c r="I528" s="7"/>
      <c r="J528" s="7"/>
      <c r="K528" s="7"/>
      <c r="L528" s="7"/>
      <c r="M528" s="7"/>
      <c r="N528" s="7"/>
      <c r="O528" s="7"/>
      <c r="P528" s="7"/>
      <c r="Q528" s="7"/>
      <c r="R528" s="8"/>
      <c r="S528" s="6" t="str">
        <f>IF(NOT(ISBLANK(E528)), ROUND(((IF(E528="yes",1,0)*'Grading Scale'!E$2)+(IF(F528="yes",1,0)*'Grading Scale'!E$3)+(IF(G528="yes",1,0)*'Grading Scale'!E$4)+(IF(H528="yes",1,0)*'Grading Scale'!E$5)+(IF(I528="yes",1,0)*'Grading Scale'!E$6)+(IF(J528="yes",1,0)*'Grading Scale'!E$7)+(IF(K528="yes",1,0)*'Grading Scale'!E$8)+(IF(L528="yes",1,0)*'Grading Scale'!E$9)+(IF(M528="yes",1,0)*'Grading Scale'!E$10)+(IF(N528="yes",1,0)*'Grading Scale'!E$11)+(IF(O528="yes",1,0)*'Grading Scale'!E$12)+(IF(P528="yes",1,0)*'Grading Scale'!E$13))/'Grading Scale'!E$14*100,0), "")</f>
        <v/>
      </c>
      <c r="T528" s="6" t="str">
        <f>IF(ISNUMBER(S528),VLOOKUP(S528,'Grading Scale'!$A$2:$B$14, 2), "")</f>
        <v/>
      </c>
      <c r="U528" s="7"/>
      <c r="V528" s="7"/>
      <c r="W528" s="7"/>
      <c r="X528" s="7"/>
      <c r="Y528" s="7"/>
      <c r="Z528" s="7"/>
      <c r="AA528" s="7"/>
      <c r="AB528" s="7"/>
      <c r="AC528" s="7"/>
      <c r="AD528" s="7"/>
      <c r="AE528" s="7"/>
      <c r="AF528" s="7"/>
      <c r="AG528" s="7"/>
      <c r="AH528" s="7"/>
      <c r="AI528" s="7"/>
      <c r="AJ528" s="7"/>
    </row>
    <row r="529">
      <c r="A529" s="7"/>
      <c r="B529" s="7"/>
      <c r="C529" s="7"/>
      <c r="D529" s="6" t="str">
        <f>IF(NOT(ISBLANK(C529)), VLOOKUP(C529,'Dataset Descriptions'!$A$2:$B$10, 2, FALSE), "")</f>
        <v/>
      </c>
      <c r="E529" s="7"/>
      <c r="F529" s="7"/>
      <c r="G529" s="7"/>
      <c r="H529" s="7"/>
      <c r="I529" s="7"/>
      <c r="J529" s="7"/>
      <c r="K529" s="7"/>
      <c r="L529" s="7"/>
      <c r="M529" s="7"/>
      <c r="N529" s="7"/>
      <c r="O529" s="7"/>
      <c r="P529" s="7"/>
      <c r="Q529" s="7"/>
      <c r="R529" s="8"/>
      <c r="S529" s="6" t="str">
        <f>IF(NOT(ISBLANK(E529)), ROUND(((IF(E529="yes",1,0)*'Grading Scale'!E$2)+(IF(F529="yes",1,0)*'Grading Scale'!E$3)+(IF(G529="yes",1,0)*'Grading Scale'!E$4)+(IF(H529="yes",1,0)*'Grading Scale'!E$5)+(IF(I529="yes",1,0)*'Grading Scale'!E$6)+(IF(J529="yes",1,0)*'Grading Scale'!E$7)+(IF(K529="yes",1,0)*'Grading Scale'!E$8)+(IF(L529="yes",1,0)*'Grading Scale'!E$9)+(IF(M529="yes",1,0)*'Grading Scale'!E$10)+(IF(N529="yes",1,0)*'Grading Scale'!E$11)+(IF(O529="yes",1,0)*'Grading Scale'!E$12)+(IF(P529="yes",1,0)*'Grading Scale'!E$13))/'Grading Scale'!E$14*100,0), "")</f>
        <v/>
      </c>
      <c r="T529" s="6" t="str">
        <f>IF(ISNUMBER(S529),VLOOKUP(S529,'Grading Scale'!$A$2:$B$14, 2), "")</f>
        <v/>
      </c>
      <c r="U529" s="7"/>
      <c r="V529" s="7"/>
      <c r="W529" s="7"/>
      <c r="X529" s="7"/>
      <c r="Y529" s="7"/>
      <c r="Z529" s="7"/>
      <c r="AA529" s="7"/>
      <c r="AB529" s="7"/>
      <c r="AC529" s="7"/>
      <c r="AD529" s="7"/>
      <c r="AE529" s="7"/>
      <c r="AF529" s="7"/>
      <c r="AG529" s="7"/>
      <c r="AH529" s="7"/>
      <c r="AI529" s="7"/>
      <c r="AJ529" s="7"/>
    </row>
    <row r="530">
      <c r="A530" s="7"/>
      <c r="B530" s="7"/>
      <c r="C530" s="7"/>
      <c r="D530" s="6" t="str">
        <f>IF(NOT(ISBLANK(C530)), VLOOKUP(C530,'Dataset Descriptions'!$A$2:$B$10, 2, FALSE), "")</f>
        <v/>
      </c>
      <c r="E530" s="7"/>
      <c r="F530" s="7"/>
      <c r="G530" s="7"/>
      <c r="H530" s="7"/>
      <c r="I530" s="7"/>
      <c r="J530" s="7"/>
      <c r="K530" s="7"/>
      <c r="L530" s="7"/>
      <c r="M530" s="7"/>
      <c r="N530" s="7"/>
      <c r="O530" s="7"/>
      <c r="P530" s="7"/>
      <c r="Q530" s="7"/>
      <c r="R530" s="8"/>
      <c r="S530" s="6" t="str">
        <f>IF(NOT(ISBLANK(E530)), ROUND(((IF(E530="yes",1,0)*'Grading Scale'!E$2)+(IF(F530="yes",1,0)*'Grading Scale'!E$3)+(IF(G530="yes",1,0)*'Grading Scale'!E$4)+(IF(H530="yes",1,0)*'Grading Scale'!E$5)+(IF(I530="yes",1,0)*'Grading Scale'!E$6)+(IF(J530="yes",1,0)*'Grading Scale'!E$7)+(IF(K530="yes",1,0)*'Grading Scale'!E$8)+(IF(L530="yes",1,0)*'Grading Scale'!E$9)+(IF(M530="yes",1,0)*'Grading Scale'!E$10)+(IF(N530="yes",1,0)*'Grading Scale'!E$11)+(IF(O530="yes",1,0)*'Grading Scale'!E$12)+(IF(P530="yes",1,0)*'Grading Scale'!E$13))/'Grading Scale'!E$14*100,0), "")</f>
        <v/>
      </c>
      <c r="T530" s="6" t="str">
        <f>IF(ISNUMBER(S530),VLOOKUP(S530,'Grading Scale'!$A$2:$B$14, 2), "")</f>
        <v/>
      </c>
      <c r="U530" s="7"/>
      <c r="V530" s="7"/>
      <c r="W530" s="7"/>
      <c r="X530" s="7"/>
      <c r="Y530" s="7"/>
      <c r="Z530" s="7"/>
      <c r="AA530" s="7"/>
      <c r="AB530" s="7"/>
      <c r="AC530" s="7"/>
      <c r="AD530" s="7"/>
      <c r="AE530" s="7"/>
      <c r="AF530" s="7"/>
      <c r="AG530" s="7"/>
      <c r="AH530" s="7"/>
      <c r="AI530" s="7"/>
      <c r="AJ530" s="7"/>
    </row>
    <row r="531">
      <c r="A531" s="7"/>
      <c r="B531" s="7"/>
      <c r="C531" s="7"/>
      <c r="D531" s="6" t="str">
        <f>IF(NOT(ISBLANK(C531)), VLOOKUP(C531,'Dataset Descriptions'!$A$2:$B$10, 2, FALSE), "")</f>
        <v/>
      </c>
      <c r="E531" s="7"/>
      <c r="F531" s="7"/>
      <c r="G531" s="7"/>
      <c r="H531" s="7"/>
      <c r="I531" s="7"/>
      <c r="J531" s="7"/>
      <c r="K531" s="7"/>
      <c r="L531" s="7"/>
      <c r="M531" s="7"/>
      <c r="N531" s="7"/>
      <c r="O531" s="7"/>
      <c r="P531" s="7"/>
      <c r="Q531" s="7"/>
      <c r="R531" s="8"/>
      <c r="S531" s="6" t="str">
        <f>IF(NOT(ISBLANK(E531)), ROUND(((IF(E531="yes",1,0)*'Grading Scale'!E$2)+(IF(F531="yes",1,0)*'Grading Scale'!E$3)+(IF(G531="yes",1,0)*'Grading Scale'!E$4)+(IF(H531="yes",1,0)*'Grading Scale'!E$5)+(IF(I531="yes",1,0)*'Grading Scale'!E$6)+(IF(J531="yes",1,0)*'Grading Scale'!E$7)+(IF(K531="yes",1,0)*'Grading Scale'!E$8)+(IF(L531="yes",1,0)*'Grading Scale'!E$9)+(IF(M531="yes",1,0)*'Grading Scale'!E$10)+(IF(N531="yes",1,0)*'Grading Scale'!E$11)+(IF(O531="yes",1,0)*'Grading Scale'!E$12)+(IF(P531="yes",1,0)*'Grading Scale'!E$13))/'Grading Scale'!E$14*100,0), "")</f>
        <v/>
      </c>
      <c r="T531" s="6" t="str">
        <f>IF(ISNUMBER(S531),VLOOKUP(S531,'Grading Scale'!$A$2:$B$14, 2), "")</f>
        <v/>
      </c>
      <c r="U531" s="7"/>
      <c r="V531" s="7"/>
      <c r="W531" s="7"/>
      <c r="X531" s="7"/>
      <c r="Y531" s="7"/>
      <c r="Z531" s="7"/>
      <c r="AA531" s="7"/>
      <c r="AB531" s="7"/>
      <c r="AC531" s="7"/>
      <c r="AD531" s="7"/>
      <c r="AE531" s="7"/>
      <c r="AF531" s="7"/>
      <c r="AG531" s="7"/>
      <c r="AH531" s="7"/>
      <c r="AI531" s="7"/>
      <c r="AJ531" s="7"/>
    </row>
    <row r="532">
      <c r="A532" s="7"/>
      <c r="B532" s="7"/>
      <c r="C532" s="7"/>
      <c r="D532" s="6" t="str">
        <f>IF(NOT(ISBLANK(C532)), VLOOKUP(C532,'Dataset Descriptions'!$A$2:$B$10, 2, FALSE), "")</f>
        <v/>
      </c>
      <c r="E532" s="7"/>
      <c r="F532" s="7"/>
      <c r="G532" s="7"/>
      <c r="H532" s="7"/>
      <c r="I532" s="7"/>
      <c r="J532" s="7"/>
      <c r="K532" s="7"/>
      <c r="L532" s="7"/>
      <c r="M532" s="7"/>
      <c r="N532" s="7"/>
      <c r="O532" s="7"/>
      <c r="P532" s="7"/>
      <c r="Q532" s="7"/>
      <c r="R532" s="8"/>
      <c r="S532" s="6" t="str">
        <f>IF(NOT(ISBLANK(E532)), ROUND(((IF(E532="yes",1,0)*'Grading Scale'!E$2)+(IF(F532="yes",1,0)*'Grading Scale'!E$3)+(IF(G532="yes",1,0)*'Grading Scale'!E$4)+(IF(H532="yes",1,0)*'Grading Scale'!E$5)+(IF(I532="yes",1,0)*'Grading Scale'!E$6)+(IF(J532="yes",1,0)*'Grading Scale'!E$7)+(IF(K532="yes",1,0)*'Grading Scale'!E$8)+(IF(L532="yes",1,0)*'Grading Scale'!E$9)+(IF(M532="yes",1,0)*'Grading Scale'!E$10)+(IF(N532="yes",1,0)*'Grading Scale'!E$11)+(IF(O532="yes",1,0)*'Grading Scale'!E$12)+(IF(P532="yes",1,0)*'Grading Scale'!E$13))/'Grading Scale'!E$14*100,0), "")</f>
        <v/>
      </c>
      <c r="T532" s="6" t="str">
        <f>IF(ISNUMBER(S532),VLOOKUP(S532,'Grading Scale'!$A$2:$B$14, 2), "")</f>
        <v/>
      </c>
      <c r="U532" s="7"/>
      <c r="V532" s="7"/>
      <c r="W532" s="7"/>
      <c r="X532" s="7"/>
      <c r="Y532" s="7"/>
      <c r="Z532" s="7"/>
      <c r="AA532" s="7"/>
      <c r="AB532" s="7"/>
      <c r="AC532" s="7"/>
      <c r="AD532" s="7"/>
      <c r="AE532" s="7"/>
      <c r="AF532" s="7"/>
      <c r="AG532" s="7"/>
      <c r="AH532" s="7"/>
      <c r="AI532" s="7"/>
      <c r="AJ532" s="7"/>
    </row>
    <row r="533">
      <c r="A533" s="7"/>
      <c r="B533" s="7"/>
      <c r="C533" s="7"/>
      <c r="D533" s="6" t="str">
        <f>IF(NOT(ISBLANK(C533)), VLOOKUP(C533,'Dataset Descriptions'!$A$2:$B$10, 2, FALSE), "")</f>
        <v/>
      </c>
      <c r="E533" s="7"/>
      <c r="F533" s="7"/>
      <c r="G533" s="7"/>
      <c r="H533" s="7"/>
      <c r="I533" s="7"/>
      <c r="J533" s="7"/>
      <c r="K533" s="7"/>
      <c r="L533" s="7"/>
      <c r="M533" s="7"/>
      <c r="N533" s="7"/>
      <c r="O533" s="7"/>
      <c r="P533" s="7"/>
      <c r="Q533" s="7"/>
      <c r="R533" s="8"/>
      <c r="S533" s="6" t="str">
        <f>IF(NOT(ISBLANK(E533)), ROUND(((IF(E533="yes",1,0)*'Grading Scale'!E$2)+(IF(F533="yes",1,0)*'Grading Scale'!E$3)+(IF(G533="yes",1,0)*'Grading Scale'!E$4)+(IF(H533="yes",1,0)*'Grading Scale'!E$5)+(IF(I533="yes",1,0)*'Grading Scale'!E$6)+(IF(J533="yes",1,0)*'Grading Scale'!E$7)+(IF(K533="yes",1,0)*'Grading Scale'!E$8)+(IF(L533="yes",1,0)*'Grading Scale'!E$9)+(IF(M533="yes",1,0)*'Grading Scale'!E$10)+(IF(N533="yes",1,0)*'Grading Scale'!E$11)+(IF(O533="yes",1,0)*'Grading Scale'!E$12)+(IF(P533="yes",1,0)*'Grading Scale'!E$13))/'Grading Scale'!E$14*100,0), "")</f>
        <v/>
      </c>
      <c r="T533" s="6" t="str">
        <f>IF(ISNUMBER(S533),VLOOKUP(S533,'Grading Scale'!$A$2:$B$14, 2), "")</f>
        <v/>
      </c>
      <c r="U533" s="7"/>
      <c r="V533" s="7"/>
      <c r="W533" s="7"/>
      <c r="X533" s="7"/>
      <c r="Y533" s="7"/>
      <c r="Z533" s="7"/>
      <c r="AA533" s="7"/>
      <c r="AB533" s="7"/>
      <c r="AC533" s="7"/>
      <c r="AD533" s="7"/>
      <c r="AE533" s="7"/>
      <c r="AF533" s="7"/>
      <c r="AG533" s="7"/>
      <c r="AH533" s="7"/>
      <c r="AI533" s="7"/>
      <c r="AJ533" s="7"/>
    </row>
    <row r="534">
      <c r="A534" s="7"/>
      <c r="B534" s="7"/>
      <c r="C534" s="7"/>
      <c r="D534" s="6" t="str">
        <f>IF(NOT(ISBLANK(C534)), VLOOKUP(C534,'Dataset Descriptions'!$A$2:$B$10, 2, FALSE), "")</f>
        <v/>
      </c>
      <c r="E534" s="7"/>
      <c r="F534" s="7"/>
      <c r="G534" s="7"/>
      <c r="H534" s="7"/>
      <c r="I534" s="7"/>
      <c r="J534" s="7"/>
      <c r="K534" s="7"/>
      <c r="L534" s="7"/>
      <c r="M534" s="7"/>
      <c r="N534" s="7"/>
      <c r="O534" s="7"/>
      <c r="P534" s="7"/>
      <c r="Q534" s="7"/>
      <c r="R534" s="8"/>
      <c r="S534" s="6" t="str">
        <f>IF(NOT(ISBLANK(E534)), ROUND(((IF(E534="yes",1,0)*'Grading Scale'!E$2)+(IF(F534="yes",1,0)*'Grading Scale'!E$3)+(IF(G534="yes",1,0)*'Grading Scale'!E$4)+(IF(H534="yes",1,0)*'Grading Scale'!E$5)+(IF(I534="yes",1,0)*'Grading Scale'!E$6)+(IF(J534="yes",1,0)*'Grading Scale'!E$7)+(IF(K534="yes",1,0)*'Grading Scale'!E$8)+(IF(L534="yes",1,0)*'Grading Scale'!E$9)+(IF(M534="yes",1,0)*'Grading Scale'!E$10)+(IF(N534="yes",1,0)*'Grading Scale'!E$11)+(IF(O534="yes",1,0)*'Grading Scale'!E$12)+(IF(P534="yes",1,0)*'Grading Scale'!E$13))/'Grading Scale'!E$14*100,0), "")</f>
        <v/>
      </c>
      <c r="T534" s="6" t="str">
        <f>IF(ISNUMBER(S534),VLOOKUP(S534,'Grading Scale'!$A$2:$B$14, 2), "")</f>
        <v/>
      </c>
      <c r="U534" s="7"/>
      <c r="V534" s="7"/>
      <c r="W534" s="7"/>
      <c r="X534" s="7"/>
      <c r="Y534" s="7"/>
      <c r="Z534" s="7"/>
      <c r="AA534" s="7"/>
      <c r="AB534" s="7"/>
      <c r="AC534" s="7"/>
      <c r="AD534" s="7"/>
      <c r="AE534" s="7"/>
      <c r="AF534" s="7"/>
      <c r="AG534" s="7"/>
      <c r="AH534" s="7"/>
      <c r="AI534" s="7"/>
      <c r="AJ534" s="7"/>
    </row>
    <row r="535">
      <c r="A535" s="7"/>
      <c r="B535" s="7"/>
      <c r="C535" s="7"/>
      <c r="D535" s="6" t="str">
        <f>IF(NOT(ISBLANK(C535)), VLOOKUP(C535,'Dataset Descriptions'!$A$2:$B$10, 2, FALSE), "")</f>
        <v/>
      </c>
      <c r="E535" s="7"/>
      <c r="F535" s="7"/>
      <c r="G535" s="7"/>
      <c r="H535" s="7"/>
      <c r="I535" s="7"/>
      <c r="J535" s="7"/>
      <c r="K535" s="7"/>
      <c r="L535" s="7"/>
      <c r="M535" s="7"/>
      <c r="N535" s="7"/>
      <c r="O535" s="7"/>
      <c r="P535" s="7"/>
      <c r="Q535" s="7"/>
      <c r="R535" s="8"/>
      <c r="S535" s="6" t="str">
        <f>IF(NOT(ISBLANK(E535)), ROUND(((IF(E535="yes",1,0)*'Grading Scale'!E$2)+(IF(F535="yes",1,0)*'Grading Scale'!E$3)+(IF(G535="yes",1,0)*'Grading Scale'!E$4)+(IF(H535="yes",1,0)*'Grading Scale'!E$5)+(IF(I535="yes",1,0)*'Grading Scale'!E$6)+(IF(J535="yes",1,0)*'Grading Scale'!E$7)+(IF(K535="yes",1,0)*'Grading Scale'!E$8)+(IF(L535="yes",1,0)*'Grading Scale'!E$9)+(IF(M535="yes",1,0)*'Grading Scale'!E$10)+(IF(N535="yes",1,0)*'Grading Scale'!E$11)+(IF(O535="yes",1,0)*'Grading Scale'!E$12)+(IF(P535="yes",1,0)*'Grading Scale'!E$13))/'Grading Scale'!E$14*100,0), "")</f>
        <v/>
      </c>
      <c r="T535" s="6" t="str">
        <f>IF(ISNUMBER(S535),VLOOKUP(S535,'Grading Scale'!$A$2:$B$14, 2), "")</f>
        <v/>
      </c>
      <c r="U535" s="7"/>
      <c r="V535" s="7"/>
      <c r="W535" s="7"/>
      <c r="X535" s="7"/>
      <c r="Y535" s="7"/>
      <c r="Z535" s="7"/>
      <c r="AA535" s="7"/>
      <c r="AB535" s="7"/>
      <c r="AC535" s="7"/>
      <c r="AD535" s="7"/>
      <c r="AE535" s="7"/>
      <c r="AF535" s="7"/>
      <c r="AG535" s="7"/>
      <c r="AH535" s="7"/>
      <c r="AI535" s="7"/>
      <c r="AJ535" s="7"/>
    </row>
    <row r="536">
      <c r="A536" s="7"/>
      <c r="B536" s="7"/>
      <c r="C536" s="7"/>
      <c r="D536" s="6" t="str">
        <f>IF(NOT(ISBLANK(C536)), VLOOKUP(C536,'Dataset Descriptions'!$A$2:$B$10, 2, FALSE), "")</f>
        <v/>
      </c>
      <c r="E536" s="7"/>
      <c r="F536" s="7"/>
      <c r="G536" s="7"/>
      <c r="H536" s="7"/>
      <c r="I536" s="7"/>
      <c r="J536" s="7"/>
      <c r="K536" s="7"/>
      <c r="L536" s="7"/>
      <c r="M536" s="7"/>
      <c r="N536" s="7"/>
      <c r="O536" s="7"/>
      <c r="P536" s="7"/>
      <c r="Q536" s="7"/>
      <c r="R536" s="8"/>
      <c r="S536" s="6" t="str">
        <f>IF(NOT(ISBLANK(E536)), ROUND(((IF(E536="yes",1,0)*'Grading Scale'!E$2)+(IF(F536="yes",1,0)*'Grading Scale'!E$3)+(IF(G536="yes",1,0)*'Grading Scale'!E$4)+(IF(H536="yes",1,0)*'Grading Scale'!E$5)+(IF(I536="yes",1,0)*'Grading Scale'!E$6)+(IF(J536="yes",1,0)*'Grading Scale'!E$7)+(IF(K536="yes",1,0)*'Grading Scale'!E$8)+(IF(L536="yes",1,0)*'Grading Scale'!E$9)+(IF(M536="yes",1,0)*'Grading Scale'!E$10)+(IF(N536="yes",1,0)*'Grading Scale'!E$11)+(IF(O536="yes",1,0)*'Grading Scale'!E$12)+(IF(P536="yes",1,0)*'Grading Scale'!E$13))/'Grading Scale'!E$14*100,0), "")</f>
        <v/>
      </c>
      <c r="T536" s="6" t="str">
        <f>IF(ISNUMBER(S536),VLOOKUP(S536,'Grading Scale'!$A$2:$B$14, 2), "")</f>
        <v/>
      </c>
      <c r="U536" s="7"/>
      <c r="V536" s="7"/>
      <c r="W536" s="7"/>
      <c r="X536" s="7"/>
      <c r="Y536" s="7"/>
      <c r="Z536" s="7"/>
      <c r="AA536" s="7"/>
      <c r="AB536" s="7"/>
      <c r="AC536" s="7"/>
      <c r="AD536" s="7"/>
      <c r="AE536" s="7"/>
      <c r="AF536" s="7"/>
      <c r="AG536" s="7"/>
      <c r="AH536" s="7"/>
      <c r="AI536" s="7"/>
      <c r="AJ536" s="7"/>
    </row>
    <row r="537">
      <c r="A537" s="7"/>
      <c r="B537" s="7"/>
      <c r="C537" s="7"/>
      <c r="D537" s="6" t="str">
        <f>IF(NOT(ISBLANK(C537)), VLOOKUP(C537,'Dataset Descriptions'!$A$2:$B$10, 2, FALSE), "")</f>
        <v/>
      </c>
      <c r="E537" s="7"/>
      <c r="F537" s="7"/>
      <c r="G537" s="7"/>
      <c r="H537" s="7"/>
      <c r="I537" s="7"/>
      <c r="J537" s="7"/>
      <c r="K537" s="7"/>
      <c r="L537" s="7"/>
      <c r="M537" s="7"/>
      <c r="N537" s="7"/>
      <c r="O537" s="7"/>
      <c r="P537" s="7"/>
      <c r="Q537" s="7"/>
      <c r="R537" s="8"/>
      <c r="S537" s="6" t="str">
        <f>IF(NOT(ISBLANK(E537)), ROUND(((IF(E537="yes",1,0)*'Grading Scale'!E$2)+(IF(F537="yes",1,0)*'Grading Scale'!E$3)+(IF(G537="yes",1,0)*'Grading Scale'!E$4)+(IF(H537="yes",1,0)*'Grading Scale'!E$5)+(IF(I537="yes",1,0)*'Grading Scale'!E$6)+(IF(J537="yes",1,0)*'Grading Scale'!E$7)+(IF(K537="yes",1,0)*'Grading Scale'!E$8)+(IF(L537="yes",1,0)*'Grading Scale'!E$9)+(IF(M537="yes",1,0)*'Grading Scale'!E$10)+(IF(N537="yes",1,0)*'Grading Scale'!E$11)+(IF(O537="yes",1,0)*'Grading Scale'!E$12)+(IF(P537="yes",1,0)*'Grading Scale'!E$13))/'Grading Scale'!E$14*100,0), "")</f>
        <v/>
      </c>
      <c r="T537" s="6" t="str">
        <f>IF(ISNUMBER(S537),VLOOKUP(S537,'Grading Scale'!$A$2:$B$14, 2), "")</f>
        <v/>
      </c>
      <c r="U537" s="7"/>
      <c r="V537" s="7"/>
      <c r="W537" s="7"/>
      <c r="X537" s="7"/>
      <c r="Y537" s="7"/>
      <c r="Z537" s="7"/>
      <c r="AA537" s="7"/>
      <c r="AB537" s="7"/>
      <c r="AC537" s="7"/>
      <c r="AD537" s="7"/>
      <c r="AE537" s="7"/>
      <c r="AF537" s="7"/>
      <c r="AG537" s="7"/>
      <c r="AH537" s="7"/>
      <c r="AI537" s="7"/>
      <c r="AJ537" s="7"/>
    </row>
    <row r="538">
      <c r="A538" s="7"/>
      <c r="B538" s="7"/>
      <c r="C538" s="7"/>
      <c r="D538" s="6" t="str">
        <f>IF(NOT(ISBLANK(C538)), VLOOKUP(C538,'Dataset Descriptions'!$A$2:$B$10, 2, FALSE), "")</f>
        <v/>
      </c>
      <c r="E538" s="7"/>
      <c r="F538" s="7"/>
      <c r="G538" s="7"/>
      <c r="H538" s="7"/>
      <c r="I538" s="7"/>
      <c r="J538" s="7"/>
      <c r="K538" s="7"/>
      <c r="L538" s="7"/>
      <c r="M538" s="7"/>
      <c r="N538" s="7"/>
      <c r="O538" s="7"/>
      <c r="P538" s="7"/>
      <c r="Q538" s="7"/>
      <c r="R538" s="8"/>
      <c r="S538" s="6" t="str">
        <f>IF(NOT(ISBLANK(E538)), ROUND(((IF(E538="yes",1,0)*'Grading Scale'!E$2)+(IF(F538="yes",1,0)*'Grading Scale'!E$3)+(IF(G538="yes",1,0)*'Grading Scale'!E$4)+(IF(H538="yes",1,0)*'Grading Scale'!E$5)+(IF(I538="yes",1,0)*'Grading Scale'!E$6)+(IF(J538="yes",1,0)*'Grading Scale'!E$7)+(IF(K538="yes",1,0)*'Grading Scale'!E$8)+(IF(L538="yes",1,0)*'Grading Scale'!E$9)+(IF(M538="yes",1,0)*'Grading Scale'!E$10)+(IF(N538="yes",1,0)*'Grading Scale'!E$11)+(IF(O538="yes",1,0)*'Grading Scale'!E$12)+(IF(P538="yes",1,0)*'Grading Scale'!E$13))/'Grading Scale'!E$14*100,0), "")</f>
        <v/>
      </c>
      <c r="T538" s="6" t="str">
        <f>IF(ISNUMBER(S538),VLOOKUP(S538,'Grading Scale'!$A$2:$B$14, 2), "")</f>
        <v/>
      </c>
      <c r="U538" s="7"/>
      <c r="V538" s="7"/>
      <c r="W538" s="7"/>
      <c r="X538" s="7"/>
      <c r="Y538" s="7"/>
      <c r="Z538" s="7"/>
      <c r="AA538" s="7"/>
      <c r="AB538" s="7"/>
      <c r="AC538" s="7"/>
      <c r="AD538" s="7"/>
      <c r="AE538" s="7"/>
      <c r="AF538" s="7"/>
      <c r="AG538" s="7"/>
      <c r="AH538" s="7"/>
      <c r="AI538" s="7"/>
      <c r="AJ538" s="7"/>
    </row>
    <row r="539">
      <c r="A539" s="7"/>
      <c r="B539" s="7"/>
      <c r="C539" s="7"/>
      <c r="D539" s="6" t="str">
        <f>IF(NOT(ISBLANK(C539)), VLOOKUP(C539,'Dataset Descriptions'!$A$2:$B$10, 2, FALSE), "")</f>
        <v/>
      </c>
      <c r="E539" s="7"/>
      <c r="F539" s="7"/>
      <c r="G539" s="7"/>
      <c r="H539" s="7"/>
      <c r="I539" s="7"/>
      <c r="J539" s="7"/>
      <c r="K539" s="7"/>
      <c r="L539" s="7"/>
      <c r="M539" s="7"/>
      <c r="N539" s="7"/>
      <c r="O539" s="7"/>
      <c r="P539" s="7"/>
      <c r="Q539" s="7"/>
      <c r="R539" s="8"/>
      <c r="S539" s="6" t="str">
        <f>IF(NOT(ISBLANK(E539)), ROUND(((IF(E539="yes",1,0)*'Grading Scale'!E$2)+(IF(F539="yes",1,0)*'Grading Scale'!E$3)+(IF(G539="yes",1,0)*'Grading Scale'!E$4)+(IF(H539="yes",1,0)*'Grading Scale'!E$5)+(IF(I539="yes",1,0)*'Grading Scale'!E$6)+(IF(J539="yes",1,0)*'Grading Scale'!E$7)+(IF(K539="yes",1,0)*'Grading Scale'!E$8)+(IF(L539="yes",1,0)*'Grading Scale'!E$9)+(IF(M539="yes",1,0)*'Grading Scale'!E$10)+(IF(N539="yes",1,0)*'Grading Scale'!E$11)+(IF(O539="yes",1,0)*'Grading Scale'!E$12)+(IF(P539="yes",1,0)*'Grading Scale'!E$13))/'Grading Scale'!E$14*100,0), "")</f>
        <v/>
      </c>
      <c r="T539" s="6" t="str">
        <f>IF(ISNUMBER(S539),VLOOKUP(S539,'Grading Scale'!$A$2:$B$14, 2), "")</f>
        <v/>
      </c>
      <c r="U539" s="7"/>
      <c r="V539" s="7"/>
      <c r="W539" s="7"/>
      <c r="X539" s="7"/>
      <c r="Y539" s="7"/>
      <c r="Z539" s="7"/>
      <c r="AA539" s="7"/>
      <c r="AB539" s="7"/>
      <c r="AC539" s="7"/>
      <c r="AD539" s="7"/>
      <c r="AE539" s="7"/>
      <c r="AF539" s="7"/>
      <c r="AG539" s="7"/>
      <c r="AH539" s="7"/>
      <c r="AI539" s="7"/>
      <c r="AJ539" s="7"/>
    </row>
    <row r="540">
      <c r="A540" s="7"/>
      <c r="B540" s="7"/>
      <c r="C540" s="7"/>
      <c r="D540" s="6" t="str">
        <f>IF(NOT(ISBLANK(C540)), VLOOKUP(C540,'Dataset Descriptions'!$A$2:$B$10, 2, FALSE), "")</f>
        <v/>
      </c>
      <c r="E540" s="7"/>
      <c r="F540" s="7"/>
      <c r="G540" s="7"/>
      <c r="H540" s="7"/>
      <c r="I540" s="7"/>
      <c r="J540" s="7"/>
      <c r="K540" s="7"/>
      <c r="L540" s="7"/>
      <c r="M540" s="7"/>
      <c r="N540" s="7"/>
      <c r="O540" s="7"/>
      <c r="P540" s="7"/>
      <c r="Q540" s="7"/>
      <c r="R540" s="8"/>
      <c r="S540" s="6" t="str">
        <f>IF(NOT(ISBLANK(E540)), ROUND(((IF(E540="yes",1,0)*'Grading Scale'!E$2)+(IF(F540="yes",1,0)*'Grading Scale'!E$3)+(IF(G540="yes",1,0)*'Grading Scale'!E$4)+(IF(H540="yes",1,0)*'Grading Scale'!E$5)+(IF(I540="yes",1,0)*'Grading Scale'!E$6)+(IF(J540="yes",1,0)*'Grading Scale'!E$7)+(IF(K540="yes",1,0)*'Grading Scale'!E$8)+(IF(L540="yes",1,0)*'Grading Scale'!E$9)+(IF(M540="yes",1,0)*'Grading Scale'!E$10)+(IF(N540="yes",1,0)*'Grading Scale'!E$11)+(IF(O540="yes",1,0)*'Grading Scale'!E$12)+(IF(P540="yes",1,0)*'Grading Scale'!E$13))/'Grading Scale'!E$14*100,0), "")</f>
        <v/>
      </c>
      <c r="T540" s="6" t="str">
        <f>IF(ISNUMBER(S540),VLOOKUP(S540,'Grading Scale'!$A$2:$B$14, 2), "")</f>
        <v/>
      </c>
      <c r="U540" s="7"/>
      <c r="V540" s="7"/>
      <c r="W540" s="7"/>
      <c r="X540" s="7"/>
      <c r="Y540" s="7"/>
      <c r="Z540" s="7"/>
      <c r="AA540" s="7"/>
      <c r="AB540" s="7"/>
      <c r="AC540" s="7"/>
      <c r="AD540" s="7"/>
      <c r="AE540" s="7"/>
      <c r="AF540" s="7"/>
      <c r="AG540" s="7"/>
      <c r="AH540" s="7"/>
      <c r="AI540" s="7"/>
      <c r="AJ540" s="7"/>
    </row>
    <row r="541">
      <c r="A541" s="7"/>
      <c r="B541" s="7"/>
      <c r="C541" s="7"/>
      <c r="D541" s="6" t="str">
        <f>IF(NOT(ISBLANK(C541)), VLOOKUP(C541,'Dataset Descriptions'!$A$2:$B$10, 2, FALSE), "")</f>
        <v/>
      </c>
      <c r="E541" s="7"/>
      <c r="F541" s="7"/>
      <c r="G541" s="7"/>
      <c r="H541" s="7"/>
      <c r="I541" s="7"/>
      <c r="J541" s="7"/>
      <c r="K541" s="7"/>
      <c r="L541" s="7"/>
      <c r="M541" s="7"/>
      <c r="N541" s="7"/>
      <c r="O541" s="7"/>
      <c r="P541" s="7"/>
      <c r="Q541" s="7"/>
      <c r="R541" s="8"/>
      <c r="S541" s="6" t="str">
        <f>IF(NOT(ISBLANK(E541)), ROUND(((IF(E541="yes",1,0)*'Grading Scale'!E$2)+(IF(F541="yes",1,0)*'Grading Scale'!E$3)+(IF(G541="yes",1,0)*'Grading Scale'!E$4)+(IF(H541="yes",1,0)*'Grading Scale'!E$5)+(IF(I541="yes",1,0)*'Grading Scale'!E$6)+(IF(J541="yes",1,0)*'Grading Scale'!E$7)+(IF(K541="yes",1,0)*'Grading Scale'!E$8)+(IF(L541="yes",1,0)*'Grading Scale'!E$9)+(IF(M541="yes",1,0)*'Grading Scale'!E$10)+(IF(N541="yes",1,0)*'Grading Scale'!E$11)+(IF(O541="yes",1,0)*'Grading Scale'!E$12)+(IF(P541="yes",1,0)*'Grading Scale'!E$13))/'Grading Scale'!E$14*100,0), "")</f>
        <v/>
      </c>
      <c r="T541" s="6" t="str">
        <f>IF(ISNUMBER(S541),VLOOKUP(S541,'Grading Scale'!$A$2:$B$14, 2), "")</f>
        <v/>
      </c>
      <c r="U541" s="7"/>
      <c r="V541" s="7"/>
      <c r="W541" s="7"/>
      <c r="X541" s="7"/>
      <c r="Y541" s="7"/>
      <c r="Z541" s="7"/>
      <c r="AA541" s="7"/>
      <c r="AB541" s="7"/>
      <c r="AC541" s="7"/>
      <c r="AD541" s="7"/>
      <c r="AE541" s="7"/>
      <c r="AF541" s="7"/>
      <c r="AG541" s="7"/>
      <c r="AH541" s="7"/>
      <c r="AI541" s="7"/>
      <c r="AJ541" s="7"/>
    </row>
    <row r="542">
      <c r="A542" s="7"/>
      <c r="B542" s="7"/>
      <c r="C542" s="7"/>
      <c r="D542" s="6" t="str">
        <f>IF(NOT(ISBLANK(C542)), VLOOKUP(C542,'Dataset Descriptions'!$A$2:$B$10, 2, FALSE), "")</f>
        <v/>
      </c>
      <c r="E542" s="7"/>
      <c r="F542" s="7"/>
      <c r="G542" s="7"/>
      <c r="H542" s="7"/>
      <c r="I542" s="7"/>
      <c r="J542" s="7"/>
      <c r="K542" s="7"/>
      <c r="L542" s="7"/>
      <c r="M542" s="7"/>
      <c r="N542" s="7"/>
      <c r="O542" s="7"/>
      <c r="P542" s="7"/>
      <c r="Q542" s="7"/>
      <c r="R542" s="8"/>
      <c r="S542" s="6" t="str">
        <f>IF(NOT(ISBLANK(E542)), ROUND(((IF(E542="yes",1,0)*'Grading Scale'!E$2)+(IF(F542="yes",1,0)*'Grading Scale'!E$3)+(IF(G542="yes",1,0)*'Grading Scale'!E$4)+(IF(H542="yes",1,0)*'Grading Scale'!E$5)+(IF(I542="yes",1,0)*'Grading Scale'!E$6)+(IF(J542="yes",1,0)*'Grading Scale'!E$7)+(IF(K542="yes",1,0)*'Grading Scale'!E$8)+(IF(L542="yes",1,0)*'Grading Scale'!E$9)+(IF(M542="yes",1,0)*'Grading Scale'!E$10)+(IF(N542="yes",1,0)*'Grading Scale'!E$11)+(IF(O542="yes",1,0)*'Grading Scale'!E$12)+(IF(P542="yes",1,0)*'Grading Scale'!E$13))/'Grading Scale'!E$14*100,0), "")</f>
        <v/>
      </c>
      <c r="T542" s="6" t="str">
        <f>IF(ISNUMBER(S542),VLOOKUP(S542,'Grading Scale'!$A$2:$B$14, 2), "")</f>
        <v/>
      </c>
      <c r="U542" s="7"/>
      <c r="V542" s="7"/>
      <c r="W542" s="7"/>
      <c r="X542" s="7"/>
      <c r="Y542" s="7"/>
      <c r="Z542" s="7"/>
      <c r="AA542" s="7"/>
      <c r="AB542" s="7"/>
      <c r="AC542" s="7"/>
      <c r="AD542" s="7"/>
      <c r="AE542" s="7"/>
      <c r="AF542" s="7"/>
      <c r="AG542" s="7"/>
      <c r="AH542" s="7"/>
      <c r="AI542" s="7"/>
      <c r="AJ542" s="7"/>
    </row>
    <row r="543">
      <c r="A543" s="7"/>
      <c r="B543" s="7"/>
      <c r="C543" s="7"/>
      <c r="D543" s="6" t="str">
        <f>IF(NOT(ISBLANK(C543)), VLOOKUP(C543,'Dataset Descriptions'!$A$2:$B$10, 2, FALSE), "")</f>
        <v/>
      </c>
      <c r="E543" s="7"/>
      <c r="F543" s="7"/>
      <c r="G543" s="7"/>
      <c r="H543" s="7"/>
      <c r="I543" s="7"/>
      <c r="J543" s="7"/>
      <c r="K543" s="7"/>
      <c r="L543" s="7"/>
      <c r="M543" s="7"/>
      <c r="N543" s="7"/>
      <c r="O543" s="7"/>
      <c r="P543" s="7"/>
      <c r="Q543" s="7"/>
      <c r="R543" s="8"/>
      <c r="S543" s="6" t="str">
        <f>IF(NOT(ISBLANK(E543)), ROUND(((IF(E543="yes",1,0)*'Grading Scale'!E$2)+(IF(F543="yes",1,0)*'Grading Scale'!E$3)+(IF(G543="yes",1,0)*'Grading Scale'!E$4)+(IF(H543="yes",1,0)*'Grading Scale'!E$5)+(IF(I543="yes",1,0)*'Grading Scale'!E$6)+(IF(J543="yes",1,0)*'Grading Scale'!E$7)+(IF(K543="yes",1,0)*'Grading Scale'!E$8)+(IF(L543="yes",1,0)*'Grading Scale'!E$9)+(IF(M543="yes",1,0)*'Grading Scale'!E$10)+(IF(N543="yes",1,0)*'Grading Scale'!E$11)+(IF(O543="yes",1,0)*'Grading Scale'!E$12)+(IF(P543="yes",1,0)*'Grading Scale'!E$13))/'Grading Scale'!E$14*100,0), "")</f>
        <v/>
      </c>
      <c r="T543" s="6" t="str">
        <f>IF(ISNUMBER(S543),VLOOKUP(S543,'Grading Scale'!$A$2:$B$14, 2), "")</f>
        <v/>
      </c>
      <c r="U543" s="7"/>
      <c r="V543" s="7"/>
      <c r="W543" s="7"/>
      <c r="X543" s="7"/>
      <c r="Y543" s="7"/>
      <c r="Z543" s="7"/>
      <c r="AA543" s="7"/>
      <c r="AB543" s="7"/>
      <c r="AC543" s="7"/>
      <c r="AD543" s="7"/>
      <c r="AE543" s="7"/>
      <c r="AF543" s="7"/>
      <c r="AG543" s="7"/>
      <c r="AH543" s="7"/>
      <c r="AI543" s="7"/>
      <c r="AJ543" s="7"/>
    </row>
    <row r="544">
      <c r="A544" s="7"/>
      <c r="B544" s="7"/>
      <c r="C544" s="7"/>
      <c r="D544" s="6" t="str">
        <f>IF(NOT(ISBLANK(C544)), VLOOKUP(C544,'Dataset Descriptions'!$A$2:$B$10, 2, FALSE), "")</f>
        <v/>
      </c>
      <c r="E544" s="7"/>
      <c r="F544" s="7"/>
      <c r="G544" s="7"/>
      <c r="H544" s="7"/>
      <c r="I544" s="7"/>
      <c r="J544" s="7"/>
      <c r="K544" s="7"/>
      <c r="L544" s="7"/>
      <c r="M544" s="7"/>
      <c r="N544" s="7"/>
      <c r="O544" s="7"/>
      <c r="P544" s="7"/>
      <c r="Q544" s="7"/>
      <c r="R544" s="8"/>
      <c r="S544" s="6" t="str">
        <f>IF(NOT(ISBLANK(E544)), ROUND(((IF(E544="yes",1,0)*'Grading Scale'!E$2)+(IF(F544="yes",1,0)*'Grading Scale'!E$3)+(IF(G544="yes",1,0)*'Grading Scale'!E$4)+(IF(H544="yes",1,0)*'Grading Scale'!E$5)+(IF(I544="yes",1,0)*'Grading Scale'!E$6)+(IF(J544="yes",1,0)*'Grading Scale'!E$7)+(IF(K544="yes",1,0)*'Grading Scale'!E$8)+(IF(L544="yes",1,0)*'Grading Scale'!E$9)+(IF(M544="yes",1,0)*'Grading Scale'!E$10)+(IF(N544="yes",1,0)*'Grading Scale'!E$11)+(IF(O544="yes",1,0)*'Grading Scale'!E$12)+(IF(P544="yes",1,0)*'Grading Scale'!E$13))/'Grading Scale'!E$14*100,0), "")</f>
        <v/>
      </c>
      <c r="T544" s="6" t="str">
        <f>IF(ISNUMBER(S544),VLOOKUP(S544,'Grading Scale'!$A$2:$B$14, 2), "")</f>
        <v/>
      </c>
      <c r="U544" s="7"/>
      <c r="V544" s="7"/>
      <c r="W544" s="7"/>
      <c r="X544" s="7"/>
      <c r="Y544" s="7"/>
      <c r="Z544" s="7"/>
      <c r="AA544" s="7"/>
      <c r="AB544" s="7"/>
      <c r="AC544" s="7"/>
      <c r="AD544" s="7"/>
      <c r="AE544" s="7"/>
      <c r="AF544" s="7"/>
      <c r="AG544" s="7"/>
      <c r="AH544" s="7"/>
      <c r="AI544" s="7"/>
      <c r="AJ544" s="7"/>
    </row>
    <row r="545">
      <c r="A545" s="7"/>
      <c r="B545" s="7"/>
      <c r="C545" s="7"/>
      <c r="D545" s="6" t="str">
        <f>IF(NOT(ISBLANK(C545)), VLOOKUP(C545,'Dataset Descriptions'!$A$2:$B$10, 2, FALSE), "")</f>
        <v/>
      </c>
      <c r="E545" s="7"/>
      <c r="F545" s="7"/>
      <c r="G545" s="7"/>
      <c r="H545" s="7"/>
      <c r="I545" s="7"/>
      <c r="J545" s="7"/>
      <c r="K545" s="7"/>
      <c r="L545" s="7"/>
      <c r="M545" s="7"/>
      <c r="N545" s="7"/>
      <c r="O545" s="7"/>
      <c r="P545" s="7"/>
      <c r="Q545" s="7"/>
      <c r="R545" s="8"/>
      <c r="S545" s="6" t="str">
        <f>IF(NOT(ISBLANK(E545)), ROUND(((IF(E545="yes",1,0)*'Grading Scale'!E$2)+(IF(F545="yes",1,0)*'Grading Scale'!E$3)+(IF(G545="yes",1,0)*'Grading Scale'!E$4)+(IF(H545="yes",1,0)*'Grading Scale'!E$5)+(IF(I545="yes",1,0)*'Grading Scale'!E$6)+(IF(J545="yes",1,0)*'Grading Scale'!E$7)+(IF(K545="yes",1,0)*'Grading Scale'!E$8)+(IF(L545="yes",1,0)*'Grading Scale'!E$9)+(IF(M545="yes",1,0)*'Grading Scale'!E$10)+(IF(N545="yes",1,0)*'Grading Scale'!E$11)+(IF(O545="yes",1,0)*'Grading Scale'!E$12)+(IF(P545="yes",1,0)*'Grading Scale'!E$13))/'Grading Scale'!E$14*100,0), "")</f>
        <v/>
      </c>
      <c r="T545" s="6" t="str">
        <f>IF(ISNUMBER(S545),VLOOKUP(S545,'Grading Scale'!$A$2:$B$14, 2), "")</f>
        <v/>
      </c>
      <c r="U545" s="7"/>
      <c r="V545" s="7"/>
      <c r="W545" s="7"/>
      <c r="X545" s="7"/>
      <c r="Y545" s="7"/>
      <c r="Z545" s="7"/>
      <c r="AA545" s="7"/>
      <c r="AB545" s="7"/>
      <c r="AC545" s="7"/>
      <c r="AD545" s="7"/>
      <c r="AE545" s="7"/>
      <c r="AF545" s="7"/>
      <c r="AG545" s="7"/>
      <c r="AH545" s="7"/>
      <c r="AI545" s="7"/>
      <c r="AJ545" s="7"/>
    </row>
    <row r="546">
      <c r="A546" s="7"/>
      <c r="B546" s="7"/>
      <c r="C546" s="7"/>
      <c r="D546" s="6" t="str">
        <f>IF(NOT(ISBLANK(C546)), VLOOKUP(C546,'Dataset Descriptions'!$A$2:$B$10, 2, FALSE), "")</f>
        <v/>
      </c>
      <c r="E546" s="7"/>
      <c r="F546" s="7"/>
      <c r="G546" s="7"/>
      <c r="H546" s="7"/>
      <c r="I546" s="7"/>
      <c r="J546" s="7"/>
      <c r="K546" s="7"/>
      <c r="L546" s="7"/>
      <c r="M546" s="7"/>
      <c r="N546" s="7"/>
      <c r="O546" s="7"/>
      <c r="P546" s="7"/>
      <c r="Q546" s="7"/>
      <c r="R546" s="8"/>
      <c r="S546" s="6" t="str">
        <f>IF(NOT(ISBLANK(E546)), ROUND(((IF(E546="yes",1,0)*'Grading Scale'!E$2)+(IF(F546="yes",1,0)*'Grading Scale'!E$3)+(IF(G546="yes",1,0)*'Grading Scale'!E$4)+(IF(H546="yes",1,0)*'Grading Scale'!E$5)+(IF(I546="yes",1,0)*'Grading Scale'!E$6)+(IF(J546="yes",1,0)*'Grading Scale'!E$7)+(IF(K546="yes",1,0)*'Grading Scale'!E$8)+(IF(L546="yes",1,0)*'Grading Scale'!E$9)+(IF(M546="yes",1,0)*'Grading Scale'!E$10)+(IF(N546="yes",1,0)*'Grading Scale'!E$11)+(IF(O546="yes",1,0)*'Grading Scale'!E$12)+(IF(P546="yes",1,0)*'Grading Scale'!E$13))/'Grading Scale'!E$14*100,0), "")</f>
        <v/>
      </c>
      <c r="T546" s="6" t="str">
        <f>IF(ISNUMBER(S546),VLOOKUP(S546,'Grading Scale'!$A$2:$B$14, 2), "")</f>
        <v/>
      </c>
      <c r="U546" s="7"/>
      <c r="V546" s="7"/>
      <c r="W546" s="7"/>
      <c r="X546" s="7"/>
      <c r="Y546" s="7"/>
      <c r="Z546" s="7"/>
      <c r="AA546" s="7"/>
      <c r="AB546" s="7"/>
      <c r="AC546" s="7"/>
      <c r="AD546" s="7"/>
      <c r="AE546" s="7"/>
      <c r="AF546" s="7"/>
      <c r="AG546" s="7"/>
      <c r="AH546" s="7"/>
      <c r="AI546" s="7"/>
      <c r="AJ546" s="7"/>
    </row>
    <row r="547">
      <c r="A547" s="7"/>
      <c r="B547" s="7"/>
      <c r="C547" s="7"/>
      <c r="D547" s="6" t="str">
        <f>IF(NOT(ISBLANK(C547)), VLOOKUP(C547,'Dataset Descriptions'!$A$2:$B$10, 2, FALSE), "")</f>
        <v/>
      </c>
      <c r="E547" s="7"/>
      <c r="F547" s="7"/>
      <c r="G547" s="7"/>
      <c r="H547" s="7"/>
      <c r="I547" s="7"/>
      <c r="J547" s="7"/>
      <c r="K547" s="7"/>
      <c r="L547" s="7"/>
      <c r="M547" s="7"/>
      <c r="N547" s="7"/>
      <c r="O547" s="7"/>
      <c r="P547" s="7"/>
      <c r="Q547" s="7"/>
      <c r="R547" s="8"/>
      <c r="S547" s="6" t="str">
        <f>IF(NOT(ISBLANK(E547)), ROUND(((IF(E547="yes",1,0)*'Grading Scale'!E$2)+(IF(F547="yes",1,0)*'Grading Scale'!E$3)+(IF(G547="yes",1,0)*'Grading Scale'!E$4)+(IF(H547="yes",1,0)*'Grading Scale'!E$5)+(IF(I547="yes",1,0)*'Grading Scale'!E$6)+(IF(J547="yes",1,0)*'Grading Scale'!E$7)+(IF(K547="yes",1,0)*'Grading Scale'!E$8)+(IF(L547="yes",1,0)*'Grading Scale'!E$9)+(IF(M547="yes",1,0)*'Grading Scale'!E$10)+(IF(N547="yes",1,0)*'Grading Scale'!E$11)+(IF(O547="yes",1,0)*'Grading Scale'!E$12)+(IF(P547="yes",1,0)*'Grading Scale'!E$13))/'Grading Scale'!E$14*100,0), "")</f>
        <v/>
      </c>
      <c r="T547" s="6" t="str">
        <f>IF(ISNUMBER(S547),VLOOKUP(S547,'Grading Scale'!$A$2:$B$14, 2), "")</f>
        <v/>
      </c>
      <c r="U547" s="7"/>
      <c r="V547" s="7"/>
      <c r="W547" s="7"/>
      <c r="X547" s="7"/>
      <c r="Y547" s="7"/>
      <c r="Z547" s="7"/>
      <c r="AA547" s="7"/>
      <c r="AB547" s="7"/>
      <c r="AC547" s="7"/>
      <c r="AD547" s="7"/>
      <c r="AE547" s="7"/>
      <c r="AF547" s="7"/>
      <c r="AG547" s="7"/>
      <c r="AH547" s="7"/>
      <c r="AI547" s="7"/>
      <c r="AJ547" s="7"/>
    </row>
    <row r="548">
      <c r="A548" s="7"/>
      <c r="B548" s="7"/>
      <c r="C548" s="7"/>
      <c r="D548" s="6" t="str">
        <f>IF(NOT(ISBLANK(C548)), VLOOKUP(C548,'Dataset Descriptions'!$A$2:$B$10, 2, FALSE), "")</f>
        <v/>
      </c>
      <c r="E548" s="7"/>
      <c r="F548" s="7"/>
      <c r="G548" s="7"/>
      <c r="H548" s="7"/>
      <c r="I548" s="7"/>
      <c r="J548" s="7"/>
      <c r="K548" s="7"/>
      <c r="L548" s="7"/>
      <c r="M548" s="7"/>
      <c r="N548" s="7"/>
      <c r="O548" s="7"/>
      <c r="P548" s="7"/>
      <c r="Q548" s="7"/>
      <c r="R548" s="8"/>
      <c r="S548" s="6" t="str">
        <f>IF(NOT(ISBLANK(E548)), ROUND(((IF(E548="yes",1,0)*'Grading Scale'!E$2)+(IF(F548="yes",1,0)*'Grading Scale'!E$3)+(IF(G548="yes",1,0)*'Grading Scale'!E$4)+(IF(H548="yes",1,0)*'Grading Scale'!E$5)+(IF(I548="yes",1,0)*'Grading Scale'!E$6)+(IF(J548="yes",1,0)*'Grading Scale'!E$7)+(IF(K548="yes",1,0)*'Grading Scale'!E$8)+(IF(L548="yes",1,0)*'Grading Scale'!E$9)+(IF(M548="yes",1,0)*'Grading Scale'!E$10)+(IF(N548="yes",1,0)*'Grading Scale'!E$11)+(IF(O548="yes",1,0)*'Grading Scale'!E$12)+(IF(P548="yes",1,0)*'Grading Scale'!E$13))/'Grading Scale'!E$14*100,0), "")</f>
        <v/>
      </c>
      <c r="T548" s="6" t="str">
        <f>IF(ISNUMBER(S548),VLOOKUP(S548,'Grading Scale'!$A$2:$B$14, 2), "")</f>
        <v/>
      </c>
      <c r="U548" s="7"/>
      <c r="V548" s="7"/>
      <c r="W548" s="7"/>
      <c r="X548" s="7"/>
      <c r="Y548" s="7"/>
      <c r="Z548" s="7"/>
      <c r="AA548" s="7"/>
      <c r="AB548" s="7"/>
      <c r="AC548" s="7"/>
      <c r="AD548" s="7"/>
      <c r="AE548" s="7"/>
      <c r="AF548" s="7"/>
      <c r="AG548" s="7"/>
      <c r="AH548" s="7"/>
      <c r="AI548" s="7"/>
      <c r="AJ548" s="7"/>
    </row>
    <row r="549">
      <c r="A549" s="7"/>
      <c r="B549" s="7"/>
      <c r="C549" s="7"/>
      <c r="D549" s="6" t="str">
        <f>IF(NOT(ISBLANK(C549)), VLOOKUP(C549,'Dataset Descriptions'!$A$2:$B$10, 2, FALSE), "")</f>
        <v/>
      </c>
      <c r="E549" s="7"/>
      <c r="F549" s="7"/>
      <c r="G549" s="7"/>
      <c r="H549" s="7"/>
      <c r="I549" s="7"/>
      <c r="J549" s="7"/>
      <c r="K549" s="7"/>
      <c r="L549" s="7"/>
      <c r="M549" s="7"/>
      <c r="N549" s="7"/>
      <c r="O549" s="7"/>
      <c r="P549" s="7"/>
      <c r="Q549" s="7"/>
      <c r="R549" s="8"/>
      <c r="S549" s="6" t="str">
        <f>IF(NOT(ISBLANK(E549)), ROUND(((IF(E549="yes",1,0)*'Grading Scale'!E$2)+(IF(F549="yes",1,0)*'Grading Scale'!E$3)+(IF(G549="yes",1,0)*'Grading Scale'!E$4)+(IF(H549="yes",1,0)*'Grading Scale'!E$5)+(IF(I549="yes",1,0)*'Grading Scale'!E$6)+(IF(J549="yes",1,0)*'Grading Scale'!E$7)+(IF(K549="yes",1,0)*'Grading Scale'!E$8)+(IF(L549="yes",1,0)*'Grading Scale'!E$9)+(IF(M549="yes",1,0)*'Grading Scale'!E$10)+(IF(N549="yes",1,0)*'Grading Scale'!E$11)+(IF(O549="yes",1,0)*'Grading Scale'!E$12)+(IF(P549="yes",1,0)*'Grading Scale'!E$13))/'Grading Scale'!E$14*100,0), "")</f>
        <v/>
      </c>
      <c r="T549" s="6" t="str">
        <f>IF(ISNUMBER(S549),VLOOKUP(S549,'Grading Scale'!$A$2:$B$14, 2), "")</f>
        <v/>
      </c>
      <c r="U549" s="7"/>
      <c r="V549" s="7"/>
      <c r="W549" s="7"/>
      <c r="X549" s="7"/>
      <c r="Y549" s="7"/>
      <c r="Z549" s="7"/>
      <c r="AA549" s="7"/>
      <c r="AB549" s="7"/>
      <c r="AC549" s="7"/>
      <c r="AD549" s="7"/>
      <c r="AE549" s="7"/>
      <c r="AF549" s="7"/>
      <c r="AG549" s="7"/>
      <c r="AH549" s="7"/>
      <c r="AI549" s="7"/>
      <c r="AJ549" s="7"/>
    </row>
    <row r="550">
      <c r="A550" s="7"/>
      <c r="B550" s="7"/>
      <c r="C550" s="7"/>
      <c r="D550" s="6" t="str">
        <f>IF(NOT(ISBLANK(C550)), VLOOKUP(C550,'Dataset Descriptions'!$A$2:$B$10, 2, FALSE), "")</f>
        <v/>
      </c>
      <c r="E550" s="7"/>
      <c r="F550" s="7"/>
      <c r="G550" s="7"/>
      <c r="H550" s="7"/>
      <c r="I550" s="7"/>
      <c r="J550" s="7"/>
      <c r="K550" s="7"/>
      <c r="L550" s="7"/>
      <c r="M550" s="7"/>
      <c r="N550" s="7"/>
      <c r="O550" s="7"/>
      <c r="P550" s="7"/>
      <c r="Q550" s="7"/>
      <c r="R550" s="8"/>
      <c r="S550" s="6" t="str">
        <f>IF(NOT(ISBLANK(E550)), ROUND(((IF(E550="yes",1,0)*'Grading Scale'!E$2)+(IF(F550="yes",1,0)*'Grading Scale'!E$3)+(IF(G550="yes",1,0)*'Grading Scale'!E$4)+(IF(H550="yes",1,0)*'Grading Scale'!E$5)+(IF(I550="yes",1,0)*'Grading Scale'!E$6)+(IF(J550="yes",1,0)*'Grading Scale'!E$7)+(IF(K550="yes",1,0)*'Grading Scale'!E$8)+(IF(L550="yes",1,0)*'Grading Scale'!E$9)+(IF(M550="yes",1,0)*'Grading Scale'!E$10)+(IF(N550="yes",1,0)*'Grading Scale'!E$11)+(IF(O550="yes",1,0)*'Grading Scale'!E$12)+(IF(P550="yes",1,0)*'Grading Scale'!E$13))/'Grading Scale'!E$14*100,0), "")</f>
        <v/>
      </c>
      <c r="T550" s="6" t="str">
        <f>IF(ISNUMBER(S550),VLOOKUP(S550,'Grading Scale'!$A$2:$B$14, 2), "")</f>
        <v/>
      </c>
      <c r="U550" s="7"/>
      <c r="V550" s="7"/>
      <c r="W550" s="7"/>
      <c r="X550" s="7"/>
      <c r="Y550" s="7"/>
      <c r="Z550" s="7"/>
      <c r="AA550" s="7"/>
      <c r="AB550" s="7"/>
      <c r="AC550" s="7"/>
      <c r="AD550" s="7"/>
      <c r="AE550" s="7"/>
      <c r="AF550" s="7"/>
      <c r="AG550" s="7"/>
      <c r="AH550" s="7"/>
      <c r="AI550" s="7"/>
      <c r="AJ550" s="7"/>
    </row>
    <row r="551">
      <c r="A551" s="7"/>
      <c r="B551" s="7"/>
      <c r="C551" s="7"/>
      <c r="D551" s="6" t="str">
        <f>IF(NOT(ISBLANK(C551)), VLOOKUP(C551,'Dataset Descriptions'!$A$2:$B$10, 2, FALSE), "")</f>
        <v/>
      </c>
      <c r="E551" s="7"/>
      <c r="F551" s="7"/>
      <c r="G551" s="7"/>
      <c r="H551" s="7"/>
      <c r="I551" s="7"/>
      <c r="J551" s="7"/>
      <c r="K551" s="7"/>
      <c r="L551" s="7"/>
      <c r="M551" s="7"/>
      <c r="N551" s="7"/>
      <c r="O551" s="7"/>
      <c r="P551" s="7"/>
      <c r="Q551" s="7"/>
      <c r="R551" s="8"/>
      <c r="S551" s="6" t="str">
        <f>IF(NOT(ISBLANK(E551)), ROUND(((IF(E551="yes",1,0)*'Grading Scale'!E$2)+(IF(F551="yes",1,0)*'Grading Scale'!E$3)+(IF(G551="yes",1,0)*'Grading Scale'!E$4)+(IF(H551="yes",1,0)*'Grading Scale'!E$5)+(IF(I551="yes",1,0)*'Grading Scale'!E$6)+(IF(J551="yes",1,0)*'Grading Scale'!E$7)+(IF(K551="yes",1,0)*'Grading Scale'!E$8)+(IF(L551="yes",1,0)*'Grading Scale'!E$9)+(IF(M551="yes",1,0)*'Grading Scale'!E$10)+(IF(N551="yes",1,0)*'Grading Scale'!E$11)+(IF(O551="yes",1,0)*'Grading Scale'!E$12)+(IF(P551="yes",1,0)*'Grading Scale'!E$13))/'Grading Scale'!E$14*100,0), "")</f>
        <v/>
      </c>
      <c r="T551" s="6" t="str">
        <f>IF(ISNUMBER(S551),VLOOKUP(S551,'Grading Scale'!$A$2:$B$14, 2), "")</f>
        <v/>
      </c>
      <c r="U551" s="7"/>
      <c r="V551" s="7"/>
      <c r="W551" s="7"/>
      <c r="X551" s="7"/>
      <c r="Y551" s="7"/>
      <c r="Z551" s="7"/>
      <c r="AA551" s="7"/>
      <c r="AB551" s="7"/>
      <c r="AC551" s="7"/>
      <c r="AD551" s="7"/>
      <c r="AE551" s="7"/>
      <c r="AF551" s="7"/>
      <c r="AG551" s="7"/>
      <c r="AH551" s="7"/>
      <c r="AI551" s="7"/>
      <c r="AJ551" s="7"/>
    </row>
    <row r="552">
      <c r="A552" s="7"/>
      <c r="B552" s="7"/>
      <c r="C552" s="7"/>
      <c r="D552" s="6" t="str">
        <f>IF(NOT(ISBLANK(C552)), VLOOKUP(C552,'Dataset Descriptions'!$A$2:$B$10, 2, FALSE), "")</f>
        <v/>
      </c>
      <c r="E552" s="7"/>
      <c r="F552" s="7"/>
      <c r="G552" s="7"/>
      <c r="H552" s="7"/>
      <c r="I552" s="7"/>
      <c r="J552" s="7"/>
      <c r="K552" s="7"/>
      <c r="L552" s="7"/>
      <c r="M552" s="7"/>
      <c r="N552" s="7"/>
      <c r="O552" s="7"/>
      <c r="P552" s="7"/>
      <c r="Q552" s="7"/>
      <c r="R552" s="8"/>
      <c r="S552" s="6" t="str">
        <f>IF(NOT(ISBLANK(E552)), ROUND(((IF(E552="yes",1,0)*'Grading Scale'!E$2)+(IF(F552="yes",1,0)*'Grading Scale'!E$3)+(IF(G552="yes",1,0)*'Grading Scale'!E$4)+(IF(H552="yes",1,0)*'Grading Scale'!E$5)+(IF(I552="yes",1,0)*'Grading Scale'!E$6)+(IF(J552="yes",1,0)*'Grading Scale'!E$7)+(IF(K552="yes",1,0)*'Grading Scale'!E$8)+(IF(L552="yes",1,0)*'Grading Scale'!E$9)+(IF(M552="yes",1,0)*'Grading Scale'!E$10)+(IF(N552="yes",1,0)*'Grading Scale'!E$11)+(IF(O552="yes",1,0)*'Grading Scale'!E$12)+(IF(P552="yes",1,0)*'Grading Scale'!E$13))/'Grading Scale'!E$14*100,0), "")</f>
        <v/>
      </c>
      <c r="T552" s="6" t="str">
        <f>IF(ISNUMBER(S552),VLOOKUP(S552,'Grading Scale'!$A$2:$B$14, 2), "")</f>
        <v/>
      </c>
      <c r="U552" s="7"/>
      <c r="V552" s="7"/>
      <c r="W552" s="7"/>
      <c r="X552" s="7"/>
      <c r="Y552" s="7"/>
      <c r="Z552" s="7"/>
      <c r="AA552" s="7"/>
      <c r="AB552" s="7"/>
      <c r="AC552" s="7"/>
      <c r="AD552" s="7"/>
      <c r="AE552" s="7"/>
      <c r="AF552" s="7"/>
      <c r="AG552" s="7"/>
      <c r="AH552" s="7"/>
      <c r="AI552" s="7"/>
      <c r="AJ552" s="7"/>
    </row>
    <row r="553">
      <c r="A553" s="7"/>
      <c r="B553" s="7"/>
      <c r="C553" s="7"/>
      <c r="D553" s="6" t="str">
        <f>IF(NOT(ISBLANK(C553)), VLOOKUP(C553,'Dataset Descriptions'!$A$2:$B$10, 2, FALSE), "")</f>
        <v/>
      </c>
      <c r="E553" s="7"/>
      <c r="F553" s="7"/>
      <c r="G553" s="7"/>
      <c r="H553" s="7"/>
      <c r="I553" s="7"/>
      <c r="J553" s="7"/>
      <c r="K553" s="7"/>
      <c r="L553" s="7"/>
      <c r="M553" s="7"/>
      <c r="N553" s="7"/>
      <c r="O553" s="7"/>
      <c r="P553" s="7"/>
      <c r="Q553" s="7"/>
      <c r="R553" s="8"/>
      <c r="S553" s="6" t="str">
        <f>IF(NOT(ISBLANK(E553)), ROUND(((IF(E553="yes",1,0)*'Grading Scale'!E$2)+(IF(F553="yes",1,0)*'Grading Scale'!E$3)+(IF(G553="yes",1,0)*'Grading Scale'!E$4)+(IF(H553="yes",1,0)*'Grading Scale'!E$5)+(IF(I553="yes",1,0)*'Grading Scale'!E$6)+(IF(J553="yes",1,0)*'Grading Scale'!E$7)+(IF(K553="yes",1,0)*'Grading Scale'!E$8)+(IF(L553="yes",1,0)*'Grading Scale'!E$9)+(IF(M553="yes",1,0)*'Grading Scale'!E$10)+(IF(N553="yes",1,0)*'Grading Scale'!E$11)+(IF(O553="yes",1,0)*'Grading Scale'!E$12)+(IF(P553="yes",1,0)*'Grading Scale'!E$13))/'Grading Scale'!E$14*100,0), "")</f>
        <v/>
      </c>
      <c r="T553" s="6" t="str">
        <f>IF(ISNUMBER(S553),VLOOKUP(S553,'Grading Scale'!$A$2:$B$14, 2), "")</f>
        <v/>
      </c>
      <c r="U553" s="7"/>
      <c r="V553" s="7"/>
      <c r="W553" s="7"/>
      <c r="X553" s="7"/>
      <c r="Y553" s="7"/>
      <c r="Z553" s="7"/>
      <c r="AA553" s="7"/>
      <c r="AB553" s="7"/>
      <c r="AC553" s="7"/>
      <c r="AD553" s="7"/>
      <c r="AE553" s="7"/>
      <c r="AF553" s="7"/>
      <c r="AG553" s="7"/>
      <c r="AH553" s="7"/>
      <c r="AI553" s="7"/>
      <c r="AJ553" s="7"/>
    </row>
    <row r="554">
      <c r="A554" s="7"/>
      <c r="B554" s="7"/>
      <c r="C554" s="7"/>
      <c r="D554" s="6" t="str">
        <f>IF(NOT(ISBLANK(C554)), VLOOKUP(C554,'Dataset Descriptions'!$A$2:$B$10, 2, FALSE), "")</f>
        <v/>
      </c>
      <c r="E554" s="7"/>
      <c r="F554" s="7"/>
      <c r="G554" s="7"/>
      <c r="H554" s="7"/>
      <c r="I554" s="7"/>
      <c r="J554" s="7"/>
      <c r="K554" s="7"/>
      <c r="L554" s="7"/>
      <c r="M554" s="7"/>
      <c r="N554" s="7"/>
      <c r="O554" s="7"/>
      <c r="P554" s="7"/>
      <c r="Q554" s="7"/>
      <c r="R554" s="8"/>
      <c r="S554" s="6" t="str">
        <f>IF(NOT(ISBLANK(E554)), ROUND(((IF(E554="yes",1,0)*'Grading Scale'!E$2)+(IF(F554="yes",1,0)*'Grading Scale'!E$3)+(IF(G554="yes",1,0)*'Grading Scale'!E$4)+(IF(H554="yes",1,0)*'Grading Scale'!E$5)+(IF(I554="yes",1,0)*'Grading Scale'!E$6)+(IF(J554="yes",1,0)*'Grading Scale'!E$7)+(IF(K554="yes",1,0)*'Grading Scale'!E$8)+(IF(L554="yes",1,0)*'Grading Scale'!E$9)+(IF(M554="yes",1,0)*'Grading Scale'!E$10)+(IF(N554="yes",1,0)*'Grading Scale'!E$11)+(IF(O554="yes",1,0)*'Grading Scale'!E$12)+(IF(P554="yes",1,0)*'Grading Scale'!E$13))/'Grading Scale'!E$14*100,0), "")</f>
        <v/>
      </c>
      <c r="T554" s="6" t="str">
        <f>IF(ISNUMBER(S554),VLOOKUP(S554,'Grading Scale'!$A$2:$B$14, 2), "")</f>
        <v/>
      </c>
      <c r="U554" s="7"/>
      <c r="V554" s="7"/>
      <c r="W554" s="7"/>
      <c r="X554" s="7"/>
      <c r="Y554" s="7"/>
      <c r="Z554" s="7"/>
      <c r="AA554" s="7"/>
      <c r="AB554" s="7"/>
      <c r="AC554" s="7"/>
      <c r="AD554" s="7"/>
      <c r="AE554" s="7"/>
      <c r="AF554" s="7"/>
      <c r="AG554" s="7"/>
      <c r="AH554" s="7"/>
      <c r="AI554" s="7"/>
      <c r="AJ554" s="7"/>
    </row>
    <row r="555">
      <c r="A555" s="7"/>
      <c r="B555" s="7"/>
      <c r="C555" s="7"/>
      <c r="D555" s="6" t="str">
        <f>IF(NOT(ISBLANK(C555)), VLOOKUP(C555,'Dataset Descriptions'!$A$2:$B$10, 2, FALSE), "")</f>
        <v/>
      </c>
      <c r="E555" s="7"/>
      <c r="F555" s="7"/>
      <c r="G555" s="7"/>
      <c r="H555" s="7"/>
      <c r="I555" s="7"/>
      <c r="J555" s="7"/>
      <c r="K555" s="7"/>
      <c r="L555" s="7"/>
      <c r="M555" s="7"/>
      <c r="N555" s="7"/>
      <c r="O555" s="7"/>
      <c r="P555" s="7"/>
      <c r="Q555" s="7"/>
      <c r="R555" s="8"/>
      <c r="S555" s="6" t="str">
        <f>IF(NOT(ISBLANK(E555)), ROUND(((IF(E555="yes",1,0)*'Grading Scale'!E$2)+(IF(F555="yes",1,0)*'Grading Scale'!E$3)+(IF(G555="yes",1,0)*'Grading Scale'!E$4)+(IF(H555="yes",1,0)*'Grading Scale'!E$5)+(IF(I555="yes",1,0)*'Grading Scale'!E$6)+(IF(J555="yes",1,0)*'Grading Scale'!E$7)+(IF(K555="yes",1,0)*'Grading Scale'!E$8)+(IF(L555="yes",1,0)*'Grading Scale'!E$9)+(IF(M555="yes",1,0)*'Grading Scale'!E$10)+(IF(N555="yes",1,0)*'Grading Scale'!E$11)+(IF(O555="yes",1,0)*'Grading Scale'!E$12)+(IF(P555="yes",1,0)*'Grading Scale'!E$13))/'Grading Scale'!E$14*100,0), "")</f>
        <v/>
      </c>
      <c r="T555" s="6" t="str">
        <f>IF(ISNUMBER(S555),VLOOKUP(S555,'Grading Scale'!$A$2:$B$14, 2), "")</f>
        <v/>
      </c>
      <c r="U555" s="7"/>
      <c r="V555" s="7"/>
      <c r="W555" s="7"/>
      <c r="X555" s="7"/>
      <c r="Y555" s="7"/>
      <c r="Z555" s="7"/>
      <c r="AA555" s="7"/>
      <c r="AB555" s="7"/>
      <c r="AC555" s="7"/>
      <c r="AD555" s="7"/>
      <c r="AE555" s="7"/>
      <c r="AF555" s="7"/>
      <c r="AG555" s="7"/>
      <c r="AH555" s="7"/>
      <c r="AI555" s="7"/>
      <c r="AJ555" s="7"/>
    </row>
    <row r="556">
      <c r="A556" s="7"/>
      <c r="B556" s="7"/>
      <c r="C556" s="7"/>
      <c r="D556" s="6" t="str">
        <f>IF(NOT(ISBLANK(C556)), VLOOKUP(C556,'Dataset Descriptions'!$A$2:$B$10, 2, FALSE), "")</f>
        <v/>
      </c>
      <c r="E556" s="7"/>
      <c r="F556" s="7"/>
      <c r="G556" s="7"/>
      <c r="H556" s="7"/>
      <c r="I556" s="7"/>
      <c r="J556" s="7"/>
      <c r="K556" s="7"/>
      <c r="L556" s="7"/>
      <c r="M556" s="7"/>
      <c r="N556" s="7"/>
      <c r="O556" s="7"/>
      <c r="P556" s="7"/>
      <c r="Q556" s="7"/>
      <c r="R556" s="8"/>
      <c r="S556" s="6" t="str">
        <f>IF(NOT(ISBLANK(E556)), ROUND(((IF(E556="yes",1,0)*'Grading Scale'!E$2)+(IF(F556="yes",1,0)*'Grading Scale'!E$3)+(IF(G556="yes",1,0)*'Grading Scale'!E$4)+(IF(H556="yes",1,0)*'Grading Scale'!E$5)+(IF(I556="yes",1,0)*'Grading Scale'!E$6)+(IF(J556="yes",1,0)*'Grading Scale'!E$7)+(IF(K556="yes",1,0)*'Grading Scale'!E$8)+(IF(L556="yes",1,0)*'Grading Scale'!E$9)+(IF(M556="yes",1,0)*'Grading Scale'!E$10)+(IF(N556="yes",1,0)*'Grading Scale'!E$11)+(IF(O556="yes",1,0)*'Grading Scale'!E$12)+(IF(P556="yes",1,0)*'Grading Scale'!E$13))/'Grading Scale'!E$14*100,0), "")</f>
        <v/>
      </c>
      <c r="T556" s="6" t="str">
        <f>IF(ISNUMBER(S556),VLOOKUP(S556,'Grading Scale'!$A$2:$B$14, 2), "")</f>
        <v/>
      </c>
      <c r="U556" s="7"/>
      <c r="V556" s="7"/>
      <c r="W556" s="7"/>
      <c r="X556" s="7"/>
      <c r="Y556" s="7"/>
      <c r="Z556" s="7"/>
      <c r="AA556" s="7"/>
      <c r="AB556" s="7"/>
      <c r="AC556" s="7"/>
      <c r="AD556" s="7"/>
      <c r="AE556" s="7"/>
      <c r="AF556" s="7"/>
      <c r="AG556" s="7"/>
      <c r="AH556" s="7"/>
      <c r="AI556" s="7"/>
      <c r="AJ556" s="7"/>
    </row>
    <row r="557">
      <c r="A557" s="7"/>
      <c r="B557" s="7"/>
      <c r="C557" s="7"/>
      <c r="D557" s="6" t="str">
        <f>IF(NOT(ISBLANK(C557)), VLOOKUP(C557,'Dataset Descriptions'!$A$2:$B$10, 2, FALSE), "")</f>
        <v/>
      </c>
      <c r="E557" s="7"/>
      <c r="F557" s="7"/>
      <c r="G557" s="7"/>
      <c r="H557" s="7"/>
      <c r="I557" s="7"/>
      <c r="J557" s="7"/>
      <c r="K557" s="7"/>
      <c r="L557" s="7"/>
      <c r="M557" s="7"/>
      <c r="N557" s="7"/>
      <c r="O557" s="7"/>
      <c r="P557" s="7"/>
      <c r="Q557" s="7"/>
      <c r="R557" s="8"/>
      <c r="S557" s="6" t="str">
        <f>IF(NOT(ISBLANK(E557)), ROUND(((IF(E557="yes",1,0)*'Grading Scale'!E$2)+(IF(F557="yes",1,0)*'Grading Scale'!E$3)+(IF(G557="yes",1,0)*'Grading Scale'!E$4)+(IF(H557="yes",1,0)*'Grading Scale'!E$5)+(IF(I557="yes",1,0)*'Grading Scale'!E$6)+(IF(J557="yes",1,0)*'Grading Scale'!E$7)+(IF(K557="yes",1,0)*'Grading Scale'!E$8)+(IF(L557="yes",1,0)*'Grading Scale'!E$9)+(IF(M557="yes",1,0)*'Grading Scale'!E$10)+(IF(N557="yes",1,0)*'Grading Scale'!E$11)+(IF(O557="yes",1,0)*'Grading Scale'!E$12)+(IF(P557="yes",1,0)*'Grading Scale'!E$13))/'Grading Scale'!E$14*100,0), "")</f>
        <v/>
      </c>
      <c r="T557" s="6" t="str">
        <f>IF(ISNUMBER(S557),VLOOKUP(S557,'Grading Scale'!$A$2:$B$14, 2), "")</f>
        <v/>
      </c>
      <c r="U557" s="7"/>
      <c r="V557" s="7"/>
      <c r="W557" s="7"/>
      <c r="X557" s="7"/>
      <c r="Y557" s="7"/>
      <c r="Z557" s="7"/>
      <c r="AA557" s="7"/>
      <c r="AB557" s="7"/>
      <c r="AC557" s="7"/>
      <c r="AD557" s="7"/>
      <c r="AE557" s="7"/>
      <c r="AF557" s="7"/>
      <c r="AG557" s="7"/>
      <c r="AH557" s="7"/>
      <c r="AI557" s="7"/>
      <c r="AJ557" s="7"/>
    </row>
    <row r="558">
      <c r="A558" s="7"/>
      <c r="B558" s="7"/>
      <c r="C558" s="7"/>
      <c r="D558" s="6" t="str">
        <f>IF(NOT(ISBLANK(C558)), VLOOKUP(C558,'Dataset Descriptions'!$A$2:$B$10, 2, FALSE), "")</f>
        <v/>
      </c>
      <c r="E558" s="7"/>
      <c r="F558" s="7"/>
      <c r="G558" s="7"/>
      <c r="H558" s="7"/>
      <c r="I558" s="7"/>
      <c r="J558" s="7"/>
      <c r="K558" s="7"/>
      <c r="L558" s="7"/>
      <c r="M558" s="7"/>
      <c r="N558" s="7"/>
      <c r="O558" s="7"/>
      <c r="P558" s="7"/>
      <c r="Q558" s="7"/>
      <c r="R558" s="8"/>
      <c r="S558" s="6" t="str">
        <f>IF(NOT(ISBLANK(E558)), ROUND(((IF(E558="yes",1,0)*'Grading Scale'!E$2)+(IF(F558="yes",1,0)*'Grading Scale'!E$3)+(IF(G558="yes",1,0)*'Grading Scale'!E$4)+(IF(H558="yes",1,0)*'Grading Scale'!E$5)+(IF(I558="yes",1,0)*'Grading Scale'!E$6)+(IF(J558="yes",1,0)*'Grading Scale'!E$7)+(IF(K558="yes",1,0)*'Grading Scale'!E$8)+(IF(L558="yes",1,0)*'Grading Scale'!E$9)+(IF(M558="yes",1,0)*'Grading Scale'!E$10)+(IF(N558="yes",1,0)*'Grading Scale'!E$11)+(IF(O558="yes",1,0)*'Grading Scale'!E$12)+(IF(P558="yes",1,0)*'Grading Scale'!E$13))/'Grading Scale'!E$14*100,0), "")</f>
        <v/>
      </c>
      <c r="T558" s="6" t="str">
        <f>IF(ISNUMBER(S558),VLOOKUP(S558,'Grading Scale'!$A$2:$B$14, 2), "")</f>
        <v/>
      </c>
      <c r="U558" s="7"/>
      <c r="V558" s="7"/>
      <c r="W558" s="7"/>
      <c r="X558" s="7"/>
      <c r="Y558" s="7"/>
      <c r="Z558" s="7"/>
      <c r="AA558" s="7"/>
      <c r="AB558" s="7"/>
      <c r="AC558" s="7"/>
      <c r="AD558" s="7"/>
      <c r="AE558" s="7"/>
      <c r="AF558" s="7"/>
      <c r="AG558" s="7"/>
      <c r="AH558" s="7"/>
      <c r="AI558" s="7"/>
      <c r="AJ558" s="7"/>
    </row>
    <row r="559">
      <c r="A559" s="7"/>
      <c r="B559" s="7"/>
      <c r="C559" s="7"/>
      <c r="D559" s="6" t="str">
        <f>IF(NOT(ISBLANK(C559)), VLOOKUP(C559,'Dataset Descriptions'!$A$2:$B$10, 2, FALSE), "")</f>
        <v/>
      </c>
      <c r="E559" s="7"/>
      <c r="F559" s="7"/>
      <c r="G559" s="7"/>
      <c r="H559" s="7"/>
      <c r="I559" s="7"/>
      <c r="J559" s="7"/>
      <c r="K559" s="7"/>
      <c r="L559" s="7"/>
      <c r="M559" s="7"/>
      <c r="N559" s="7"/>
      <c r="O559" s="7"/>
      <c r="P559" s="7"/>
      <c r="Q559" s="7"/>
      <c r="R559" s="8"/>
      <c r="S559" s="6" t="str">
        <f>IF(NOT(ISBLANK(E559)), ROUND(((IF(E559="yes",1,0)*'Grading Scale'!E$2)+(IF(F559="yes",1,0)*'Grading Scale'!E$3)+(IF(G559="yes",1,0)*'Grading Scale'!E$4)+(IF(H559="yes",1,0)*'Grading Scale'!E$5)+(IF(I559="yes",1,0)*'Grading Scale'!E$6)+(IF(J559="yes",1,0)*'Grading Scale'!E$7)+(IF(K559="yes",1,0)*'Grading Scale'!E$8)+(IF(L559="yes",1,0)*'Grading Scale'!E$9)+(IF(M559="yes",1,0)*'Grading Scale'!E$10)+(IF(N559="yes",1,0)*'Grading Scale'!E$11)+(IF(O559="yes",1,0)*'Grading Scale'!E$12)+(IF(P559="yes",1,0)*'Grading Scale'!E$13))/'Grading Scale'!E$14*100,0), "")</f>
        <v/>
      </c>
      <c r="T559" s="6" t="str">
        <f>IF(ISNUMBER(S559),VLOOKUP(S559,'Grading Scale'!$A$2:$B$14, 2), "")</f>
        <v/>
      </c>
      <c r="U559" s="7"/>
      <c r="V559" s="7"/>
      <c r="W559" s="7"/>
      <c r="X559" s="7"/>
      <c r="Y559" s="7"/>
      <c r="Z559" s="7"/>
      <c r="AA559" s="7"/>
      <c r="AB559" s="7"/>
      <c r="AC559" s="7"/>
      <c r="AD559" s="7"/>
      <c r="AE559" s="7"/>
      <c r="AF559" s="7"/>
      <c r="AG559" s="7"/>
      <c r="AH559" s="7"/>
      <c r="AI559" s="7"/>
      <c r="AJ559" s="7"/>
    </row>
    <row r="560">
      <c r="A560" s="7"/>
      <c r="B560" s="7"/>
      <c r="C560" s="7"/>
      <c r="D560" s="6" t="str">
        <f>IF(NOT(ISBLANK(C560)), VLOOKUP(C560,'Dataset Descriptions'!$A$2:$B$10, 2, FALSE), "")</f>
        <v/>
      </c>
      <c r="E560" s="7"/>
      <c r="F560" s="7"/>
      <c r="G560" s="7"/>
      <c r="H560" s="7"/>
      <c r="I560" s="7"/>
      <c r="J560" s="7"/>
      <c r="K560" s="7"/>
      <c r="L560" s="7"/>
      <c r="M560" s="7"/>
      <c r="N560" s="7"/>
      <c r="O560" s="7"/>
      <c r="P560" s="7"/>
      <c r="Q560" s="7"/>
      <c r="R560" s="8"/>
      <c r="S560" s="6" t="str">
        <f>IF(NOT(ISBLANK(E560)), ROUND(((IF(E560="yes",1,0)*'Grading Scale'!E$2)+(IF(F560="yes",1,0)*'Grading Scale'!E$3)+(IF(G560="yes",1,0)*'Grading Scale'!E$4)+(IF(H560="yes",1,0)*'Grading Scale'!E$5)+(IF(I560="yes",1,0)*'Grading Scale'!E$6)+(IF(J560="yes",1,0)*'Grading Scale'!E$7)+(IF(K560="yes",1,0)*'Grading Scale'!E$8)+(IF(L560="yes",1,0)*'Grading Scale'!E$9)+(IF(M560="yes",1,0)*'Grading Scale'!E$10)+(IF(N560="yes",1,0)*'Grading Scale'!E$11)+(IF(O560="yes",1,0)*'Grading Scale'!E$12)+(IF(P560="yes",1,0)*'Grading Scale'!E$13))/'Grading Scale'!E$14*100,0), "")</f>
        <v/>
      </c>
      <c r="T560" s="6" t="str">
        <f>IF(ISNUMBER(S560),VLOOKUP(S560,'Grading Scale'!$A$2:$B$14, 2), "")</f>
        <v/>
      </c>
      <c r="U560" s="7"/>
      <c r="V560" s="7"/>
      <c r="W560" s="7"/>
      <c r="X560" s="7"/>
      <c r="Y560" s="7"/>
      <c r="Z560" s="7"/>
      <c r="AA560" s="7"/>
      <c r="AB560" s="7"/>
      <c r="AC560" s="7"/>
      <c r="AD560" s="7"/>
      <c r="AE560" s="7"/>
      <c r="AF560" s="7"/>
      <c r="AG560" s="7"/>
      <c r="AH560" s="7"/>
      <c r="AI560" s="7"/>
      <c r="AJ560" s="7"/>
    </row>
    <row r="561">
      <c r="A561" s="7"/>
      <c r="B561" s="7"/>
      <c r="C561" s="7"/>
      <c r="D561" s="6" t="str">
        <f>IF(NOT(ISBLANK(C561)), VLOOKUP(C561,'Dataset Descriptions'!$A$2:$B$10, 2, FALSE), "")</f>
        <v/>
      </c>
      <c r="E561" s="7"/>
      <c r="F561" s="7"/>
      <c r="G561" s="7"/>
      <c r="H561" s="7"/>
      <c r="I561" s="7"/>
      <c r="J561" s="7"/>
      <c r="K561" s="7"/>
      <c r="L561" s="7"/>
      <c r="M561" s="7"/>
      <c r="N561" s="7"/>
      <c r="O561" s="7"/>
      <c r="P561" s="7"/>
      <c r="Q561" s="7"/>
      <c r="R561" s="8"/>
      <c r="S561" s="6" t="str">
        <f>IF(NOT(ISBLANK(E561)), ROUND(((IF(E561="yes",1,0)*'Grading Scale'!E$2)+(IF(F561="yes",1,0)*'Grading Scale'!E$3)+(IF(G561="yes",1,0)*'Grading Scale'!E$4)+(IF(H561="yes",1,0)*'Grading Scale'!E$5)+(IF(I561="yes",1,0)*'Grading Scale'!E$6)+(IF(J561="yes",1,0)*'Grading Scale'!E$7)+(IF(K561="yes",1,0)*'Grading Scale'!E$8)+(IF(L561="yes",1,0)*'Grading Scale'!E$9)+(IF(M561="yes",1,0)*'Grading Scale'!E$10)+(IF(N561="yes",1,0)*'Grading Scale'!E$11)+(IF(O561="yes",1,0)*'Grading Scale'!E$12)+(IF(P561="yes",1,0)*'Grading Scale'!E$13))/'Grading Scale'!E$14*100,0), "")</f>
        <v/>
      </c>
      <c r="T561" s="6" t="str">
        <f>IF(ISNUMBER(S561),VLOOKUP(S561,'Grading Scale'!$A$2:$B$14, 2), "")</f>
        <v/>
      </c>
      <c r="U561" s="7"/>
      <c r="V561" s="7"/>
      <c r="W561" s="7"/>
      <c r="X561" s="7"/>
      <c r="Y561" s="7"/>
      <c r="Z561" s="7"/>
      <c r="AA561" s="7"/>
      <c r="AB561" s="7"/>
      <c r="AC561" s="7"/>
      <c r="AD561" s="7"/>
      <c r="AE561" s="7"/>
      <c r="AF561" s="7"/>
      <c r="AG561" s="7"/>
      <c r="AH561" s="7"/>
      <c r="AI561" s="7"/>
      <c r="AJ561" s="7"/>
    </row>
    <row r="562">
      <c r="A562" s="7"/>
      <c r="B562" s="7"/>
      <c r="C562" s="7"/>
      <c r="D562" s="6" t="str">
        <f>IF(NOT(ISBLANK(C562)), VLOOKUP(C562,'Dataset Descriptions'!$A$2:$B$10, 2, FALSE), "")</f>
        <v/>
      </c>
      <c r="E562" s="7"/>
      <c r="F562" s="7"/>
      <c r="G562" s="7"/>
      <c r="H562" s="7"/>
      <c r="I562" s="7"/>
      <c r="J562" s="7"/>
      <c r="K562" s="7"/>
      <c r="L562" s="7"/>
      <c r="M562" s="7"/>
      <c r="N562" s="7"/>
      <c r="O562" s="7"/>
      <c r="P562" s="7"/>
      <c r="Q562" s="7"/>
      <c r="R562" s="8"/>
      <c r="S562" s="6" t="str">
        <f>IF(NOT(ISBLANK(E562)), ROUND(((IF(E562="yes",1,0)*'Grading Scale'!E$2)+(IF(F562="yes",1,0)*'Grading Scale'!E$3)+(IF(G562="yes",1,0)*'Grading Scale'!E$4)+(IF(H562="yes",1,0)*'Grading Scale'!E$5)+(IF(I562="yes",1,0)*'Grading Scale'!E$6)+(IF(J562="yes",1,0)*'Grading Scale'!E$7)+(IF(K562="yes",1,0)*'Grading Scale'!E$8)+(IF(L562="yes",1,0)*'Grading Scale'!E$9)+(IF(M562="yes",1,0)*'Grading Scale'!E$10)+(IF(N562="yes",1,0)*'Grading Scale'!E$11)+(IF(O562="yes",1,0)*'Grading Scale'!E$12)+(IF(P562="yes",1,0)*'Grading Scale'!E$13))/'Grading Scale'!E$14*100,0), "")</f>
        <v/>
      </c>
      <c r="T562" s="6" t="str">
        <f>IF(ISNUMBER(S562),VLOOKUP(S562,'Grading Scale'!$A$2:$B$14, 2), "")</f>
        <v/>
      </c>
      <c r="U562" s="7"/>
      <c r="V562" s="7"/>
      <c r="W562" s="7"/>
      <c r="X562" s="7"/>
      <c r="Y562" s="7"/>
      <c r="Z562" s="7"/>
      <c r="AA562" s="7"/>
      <c r="AB562" s="7"/>
      <c r="AC562" s="7"/>
      <c r="AD562" s="7"/>
      <c r="AE562" s="7"/>
      <c r="AF562" s="7"/>
      <c r="AG562" s="7"/>
      <c r="AH562" s="7"/>
      <c r="AI562" s="7"/>
      <c r="AJ562" s="7"/>
    </row>
    <row r="563">
      <c r="A563" s="7"/>
      <c r="B563" s="7"/>
      <c r="C563" s="7"/>
      <c r="D563" s="6" t="str">
        <f>IF(NOT(ISBLANK(C563)), VLOOKUP(C563,'Dataset Descriptions'!$A$2:$B$10, 2, FALSE), "")</f>
        <v/>
      </c>
      <c r="E563" s="7"/>
      <c r="F563" s="7"/>
      <c r="G563" s="7"/>
      <c r="H563" s="7"/>
      <c r="I563" s="7"/>
      <c r="J563" s="7"/>
      <c r="K563" s="7"/>
      <c r="L563" s="7"/>
      <c r="M563" s="7"/>
      <c r="N563" s="7"/>
      <c r="O563" s="7"/>
      <c r="P563" s="7"/>
      <c r="Q563" s="7"/>
      <c r="R563" s="8"/>
      <c r="S563" s="6" t="str">
        <f>IF(NOT(ISBLANK(E563)), ROUND(((IF(E563="yes",1,0)*'Grading Scale'!E$2)+(IF(F563="yes",1,0)*'Grading Scale'!E$3)+(IF(G563="yes",1,0)*'Grading Scale'!E$4)+(IF(H563="yes",1,0)*'Grading Scale'!E$5)+(IF(I563="yes",1,0)*'Grading Scale'!E$6)+(IF(J563="yes",1,0)*'Grading Scale'!E$7)+(IF(K563="yes",1,0)*'Grading Scale'!E$8)+(IF(L563="yes",1,0)*'Grading Scale'!E$9)+(IF(M563="yes",1,0)*'Grading Scale'!E$10)+(IF(N563="yes",1,0)*'Grading Scale'!E$11)+(IF(O563="yes",1,0)*'Grading Scale'!E$12)+(IF(P563="yes",1,0)*'Grading Scale'!E$13))/'Grading Scale'!E$14*100,0), "")</f>
        <v/>
      </c>
      <c r="T563" s="6" t="str">
        <f>IF(ISNUMBER(S563),VLOOKUP(S563,'Grading Scale'!$A$2:$B$14, 2), "")</f>
        <v/>
      </c>
      <c r="U563" s="7"/>
      <c r="V563" s="7"/>
      <c r="W563" s="7"/>
      <c r="X563" s="7"/>
      <c r="Y563" s="7"/>
      <c r="Z563" s="7"/>
      <c r="AA563" s="7"/>
      <c r="AB563" s="7"/>
      <c r="AC563" s="7"/>
      <c r="AD563" s="7"/>
      <c r="AE563" s="7"/>
      <c r="AF563" s="7"/>
      <c r="AG563" s="7"/>
      <c r="AH563" s="7"/>
      <c r="AI563" s="7"/>
      <c r="AJ563" s="7"/>
    </row>
    <row r="564">
      <c r="A564" s="7"/>
      <c r="B564" s="7"/>
      <c r="C564" s="7"/>
      <c r="D564" s="6" t="str">
        <f>IF(NOT(ISBLANK(C564)), VLOOKUP(C564,'Dataset Descriptions'!$A$2:$B$10, 2, FALSE), "")</f>
        <v/>
      </c>
      <c r="E564" s="7"/>
      <c r="F564" s="7"/>
      <c r="G564" s="7"/>
      <c r="H564" s="7"/>
      <c r="I564" s="7"/>
      <c r="J564" s="7"/>
      <c r="K564" s="7"/>
      <c r="L564" s="7"/>
      <c r="M564" s="7"/>
      <c r="N564" s="7"/>
      <c r="O564" s="7"/>
      <c r="P564" s="7"/>
      <c r="Q564" s="7"/>
      <c r="R564" s="8"/>
      <c r="S564" s="6" t="str">
        <f>IF(NOT(ISBLANK(E564)), ROUND(((IF(E564="yes",1,0)*'Grading Scale'!E$2)+(IF(F564="yes",1,0)*'Grading Scale'!E$3)+(IF(G564="yes",1,0)*'Grading Scale'!E$4)+(IF(H564="yes",1,0)*'Grading Scale'!E$5)+(IF(I564="yes",1,0)*'Grading Scale'!E$6)+(IF(J564="yes",1,0)*'Grading Scale'!E$7)+(IF(K564="yes",1,0)*'Grading Scale'!E$8)+(IF(L564="yes",1,0)*'Grading Scale'!E$9)+(IF(M564="yes",1,0)*'Grading Scale'!E$10)+(IF(N564="yes",1,0)*'Grading Scale'!E$11)+(IF(O564="yes",1,0)*'Grading Scale'!E$12)+(IF(P564="yes",1,0)*'Grading Scale'!E$13))/'Grading Scale'!E$14*100,0), "")</f>
        <v/>
      </c>
      <c r="T564" s="6" t="str">
        <f>IF(ISNUMBER(S564),VLOOKUP(S564,'Grading Scale'!$A$2:$B$14, 2), "")</f>
        <v/>
      </c>
      <c r="U564" s="7"/>
      <c r="V564" s="7"/>
      <c r="W564" s="7"/>
      <c r="X564" s="7"/>
      <c r="Y564" s="7"/>
      <c r="Z564" s="7"/>
      <c r="AA564" s="7"/>
      <c r="AB564" s="7"/>
      <c r="AC564" s="7"/>
      <c r="AD564" s="7"/>
      <c r="AE564" s="7"/>
      <c r="AF564" s="7"/>
      <c r="AG564" s="7"/>
      <c r="AH564" s="7"/>
      <c r="AI564" s="7"/>
      <c r="AJ564" s="7"/>
    </row>
    <row r="565">
      <c r="A565" s="7"/>
      <c r="B565" s="7"/>
      <c r="C565" s="7"/>
      <c r="D565" s="6" t="str">
        <f>IF(NOT(ISBLANK(C565)), VLOOKUP(C565,'Dataset Descriptions'!$A$2:$B$10, 2, FALSE), "")</f>
        <v/>
      </c>
      <c r="E565" s="7"/>
      <c r="F565" s="7"/>
      <c r="G565" s="7"/>
      <c r="H565" s="7"/>
      <c r="I565" s="7"/>
      <c r="J565" s="7"/>
      <c r="K565" s="7"/>
      <c r="L565" s="7"/>
      <c r="M565" s="7"/>
      <c r="N565" s="7"/>
      <c r="O565" s="7"/>
      <c r="P565" s="7"/>
      <c r="Q565" s="7"/>
      <c r="R565" s="8"/>
      <c r="S565" s="6" t="str">
        <f>IF(NOT(ISBLANK(E565)), ROUND(((IF(E565="yes",1,0)*'Grading Scale'!E$2)+(IF(F565="yes",1,0)*'Grading Scale'!E$3)+(IF(G565="yes",1,0)*'Grading Scale'!E$4)+(IF(H565="yes",1,0)*'Grading Scale'!E$5)+(IF(I565="yes",1,0)*'Grading Scale'!E$6)+(IF(J565="yes",1,0)*'Grading Scale'!E$7)+(IF(K565="yes",1,0)*'Grading Scale'!E$8)+(IF(L565="yes",1,0)*'Grading Scale'!E$9)+(IF(M565="yes",1,0)*'Grading Scale'!E$10)+(IF(N565="yes",1,0)*'Grading Scale'!E$11)+(IF(O565="yes",1,0)*'Grading Scale'!E$12)+(IF(P565="yes",1,0)*'Grading Scale'!E$13))/'Grading Scale'!E$14*100,0), "")</f>
        <v/>
      </c>
      <c r="T565" s="6" t="str">
        <f>IF(ISNUMBER(S565),VLOOKUP(S565,'Grading Scale'!$A$2:$B$14, 2), "")</f>
        <v/>
      </c>
      <c r="U565" s="7"/>
      <c r="V565" s="7"/>
      <c r="W565" s="7"/>
      <c r="X565" s="7"/>
      <c r="Y565" s="7"/>
      <c r="Z565" s="7"/>
      <c r="AA565" s="7"/>
      <c r="AB565" s="7"/>
      <c r="AC565" s="7"/>
      <c r="AD565" s="7"/>
      <c r="AE565" s="7"/>
      <c r="AF565" s="7"/>
      <c r="AG565" s="7"/>
      <c r="AH565" s="7"/>
      <c r="AI565" s="7"/>
      <c r="AJ565" s="7"/>
    </row>
    <row r="566">
      <c r="A566" s="7"/>
      <c r="B566" s="7"/>
      <c r="C566" s="7"/>
      <c r="D566" s="6" t="str">
        <f>IF(NOT(ISBLANK(C566)), VLOOKUP(C566,'Dataset Descriptions'!$A$2:$B$10, 2, FALSE), "")</f>
        <v/>
      </c>
      <c r="E566" s="7"/>
      <c r="F566" s="7"/>
      <c r="G566" s="7"/>
      <c r="H566" s="7"/>
      <c r="I566" s="7"/>
      <c r="J566" s="7"/>
      <c r="K566" s="7"/>
      <c r="L566" s="7"/>
      <c r="M566" s="7"/>
      <c r="N566" s="7"/>
      <c r="O566" s="7"/>
      <c r="P566" s="7"/>
      <c r="Q566" s="7"/>
      <c r="R566" s="8"/>
      <c r="S566" s="6" t="str">
        <f>IF(NOT(ISBLANK(E566)), ROUND(((IF(E566="yes",1,0)*'Grading Scale'!E$2)+(IF(F566="yes",1,0)*'Grading Scale'!E$3)+(IF(G566="yes",1,0)*'Grading Scale'!E$4)+(IF(H566="yes",1,0)*'Grading Scale'!E$5)+(IF(I566="yes",1,0)*'Grading Scale'!E$6)+(IF(J566="yes",1,0)*'Grading Scale'!E$7)+(IF(K566="yes",1,0)*'Grading Scale'!E$8)+(IF(L566="yes",1,0)*'Grading Scale'!E$9)+(IF(M566="yes",1,0)*'Grading Scale'!E$10)+(IF(N566="yes",1,0)*'Grading Scale'!E$11)+(IF(O566="yes",1,0)*'Grading Scale'!E$12)+(IF(P566="yes",1,0)*'Grading Scale'!E$13))/'Grading Scale'!E$14*100,0), "")</f>
        <v/>
      </c>
      <c r="T566" s="6" t="str">
        <f>IF(ISNUMBER(S566),VLOOKUP(S566,'Grading Scale'!$A$2:$B$14, 2), "")</f>
        <v/>
      </c>
      <c r="U566" s="7"/>
      <c r="V566" s="7"/>
      <c r="W566" s="7"/>
      <c r="X566" s="7"/>
      <c r="Y566" s="7"/>
      <c r="Z566" s="7"/>
      <c r="AA566" s="7"/>
      <c r="AB566" s="7"/>
      <c r="AC566" s="7"/>
      <c r="AD566" s="7"/>
      <c r="AE566" s="7"/>
      <c r="AF566" s="7"/>
      <c r="AG566" s="7"/>
      <c r="AH566" s="7"/>
      <c r="AI566" s="7"/>
      <c r="AJ566" s="7"/>
    </row>
    <row r="567">
      <c r="A567" s="7"/>
      <c r="B567" s="7"/>
      <c r="C567" s="7"/>
      <c r="D567" s="6" t="str">
        <f>IF(NOT(ISBLANK(C567)), VLOOKUP(C567,'Dataset Descriptions'!$A$2:$B$10, 2, FALSE), "")</f>
        <v/>
      </c>
      <c r="E567" s="7"/>
      <c r="F567" s="7"/>
      <c r="G567" s="7"/>
      <c r="H567" s="7"/>
      <c r="I567" s="7"/>
      <c r="J567" s="7"/>
      <c r="K567" s="7"/>
      <c r="L567" s="7"/>
      <c r="M567" s="7"/>
      <c r="N567" s="7"/>
      <c r="O567" s="7"/>
      <c r="P567" s="7"/>
      <c r="Q567" s="7"/>
      <c r="R567" s="8"/>
      <c r="S567" s="6" t="str">
        <f>IF(NOT(ISBLANK(E567)), ROUND(((IF(E567="yes",1,0)*'Grading Scale'!E$2)+(IF(F567="yes",1,0)*'Grading Scale'!E$3)+(IF(G567="yes",1,0)*'Grading Scale'!E$4)+(IF(H567="yes",1,0)*'Grading Scale'!E$5)+(IF(I567="yes",1,0)*'Grading Scale'!E$6)+(IF(J567="yes",1,0)*'Grading Scale'!E$7)+(IF(K567="yes",1,0)*'Grading Scale'!E$8)+(IF(L567="yes",1,0)*'Grading Scale'!E$9)+(IF(M567="yes",1,0)*'Grading Scale'!E$10)+(IF(N567="yes",1,0)*'Grading Scale'!E$11)+(IF(O567="yes",1,0)*'Grading Scale'!E$12)+(IF(P567="yes",1,0)*'Grading Scale'!E$13))/'Grading Scale'!E$14*100,0), "")</f>
        <v/>
      </c>
      <c r="T567" s="6" t="str">
        <f>IF(ISNUMBER(S567),VLOOKUP(S567,'Grading Scale'!$A$2:$B$14, 2), "")</f>
        <v/>
      </c>
      <c r="U567" s="7"/>
      <c r="V567" s="7"/>
      <c r="W567" s="7"/>
      <c r="X567" s="7"/>
      <c r="Y567" s="7"/>
      <c r="Z567" s="7"/>
      <c r="AA567" s="7"/>
      <c r="AB567" s="7"/>
      <c r="AC567" s="7"/>
      <c r="AD567" s="7"/>
      <c r="AE567" s="7"/>
      <c r="AF567" s="7"/>
      <c r="AG567" s="7"/>
      <c r="AH567" s="7"/>
      <c r="AI567" s="7"/>
      <c r="AJ567" s="7"/>
    </row>
    <row r="568">
      <c r="A568" s="7"/>
      <c r="B568" s="7"/>
      <c r="C568" s="7"/>
      <c r="D568" s="6" t="str">
        <f>IF(NOT(ISBLANK(C568)), VLOOKUP(C568,'Dataset Descriptions'!$A$2:$B$10, 2, FALSE), "")</f>
        <v/>
      </c>
      <c r="E568" s="7"/>
      <c r="F568" s="7"/>
      <c r="G568" s="7"/>
      <c r="H568" s="7"/>
      <c r="I568" s="7"/>
      <c r="J568" s="7"/>
      <c r="K568" s="7"/>
      <c r="L568" s="7"/>
      <c r="M568" s="7"/>
      <c r="N568" s="7"/>
      <c r="O568" s="7"/>
      <c r="P568" s="7"/>
      <c r="Q568" s="7"/>
      <c r="R568" s="8"/>
      <c r="S568" s="6" t="str">
        <f>IF(NOT(ISBLANK(E568)), ROUND(((IF(E568="yes",1,0)*'Grading Scale'!E$2)+(IF(F568="yes",1,0)*'Grading Scale'!E$3)+(IF(G568="yes",1,0)*'Grading Scale'!E$4)+(IF(H568="yes",1,0)*'Grading Scale'!E$5)+(IF(I568="yes",1,0)*'Grading Scale'!E$6)+(IF(J568="yes",1,0)*'Grading Scale'!E$7)+(IF(K568="yes",1,0)*'Grading Scale'!E$8)+(IF(L568="yes",1,0)*'Grading Scale'!E$9)+(IF(M568="yes",1,0)*'Grading Scale'!E$10)+(IF(N568="yes",1,0)*'Grading Scale'!E$11)+(IF(O568="yes",1,0)*'Grading Scale'!E$12)+(IF(P568="yes",1,0)*'Grading Scale'!E$13))/'Grading Scale'!E$14*100,0), "")</f>
        <v/>
      </c>
      <c r="T568" s="6" t="str">
        <f>IF(ISNUMBER(S568),VLOOKUP(S568,'Grading Scale'!$A$2:$B$14, 2), "")</f>
        <v/>
      </c>
      <c r="U568" s="7"/>
      <c r="V568" s="7"/>
      <c r="W568" s="7"/>
      <c r="X568" s="7"/>
      <c r="Y568" s="7"/>
      <c r="Z568" s="7"/>
      <c r="AA568" s="7"/>
      <c r="AB568" s="7"/>
      <c r="AC568" s="7"/>
      <c r="AD568" s="7"/>
      <c r="AE568" s="7"/>
      <c r="AF568" s="7"/>
      <c r="AG568" s="7"/>
      <c r="AH568" s="7"/>
      <c r="AI568" s="7"/>
      <c r="AJ568" s="7"/>
    </row>
    <row r="569">
      <c r="A569" s="7"/>
      <c r="B569" s="7"/>
      <c r="C569" s="7"/>
      <c r="D569" s="6" t="str">
        <f>IF(NOT(ISBLANK(C569)), VLOOKUP(C569,'Dataset Descriptions'!$A$2:$B$10, 2, FALSE), "")</f>
        <v/>
      </c>
      <c r="E569" s="7"/>
      <c r="F569" s="7"/>
      <c r="G569" s="7"/>
      <c r="H569" s="7"/>
      <c r="I569" s="7"/>
      <c r="J569" s="7"/>
      <c r="K569" s="7"/>
      <c r="L569" s="7"/>
      <c r="M569" s="7"/>
      <c r="N569" s="7"/>
      <c r="O569" s="7"/>
      <c r="P569" s="7"/>
      <c r="Q569" s="7"/>
      <c r="R569" s="8"/>
      <c r="S569" s="6" t="str">
        <f>IF(NOT(ISBLANK(E569)), ROUND(((IF(E569="yes",1,0)*'Grading Scale'!E$2)+(IF(F569="yes",1,0)*'Grading Scale'!E$3)+(IF(G569="yes",1,0)*'Grading Scale'!E$4)+(IF(H569="yes",1,0)*'Grading Scale'!E$5)+(IF(I569="yes",1,0)*'Grading Scale'!E$6)+(IF(J569="yes",1,0)*'Grading Scale'!E$7)+(IF(K569="yes",1,0)*'Grading Scale'!E$8)+(IF(L569="yes",1,0)*'Grading Scale'!E$9)+(IF(M569="yes",1,0)*'Grading Scale'!E$10)+(IF(N569="yes",1,0)*'Grading Scale'!E$11)+(IF(O569="yes",1,0)*'Grading Scale'!E$12)+(IF(P569="yes",1,0)*'Grading Scale'!E$13))/'Grading Scale'!E$14*100,0), "")</f>
        <v/>
      </c>
      <c r="T569" s="6" t="str">
        <f>IF(ISNUMBER(S569),VLOOKUP(S569,'Grading Scale'!$A$2:$B$14, 2), "")</f>
        <v/>
      </c>
      <c r="U569" s="7"/>
      <c r="V569" s="7"/>
      <c r="W569" s="7"/>
      <c r="X569" s="7"/>
      <c r="Y569" s="7"/>
      <c r="Z569" s="7"/>
      <c r="AA569" s="7"/>
      <c r="AB569" s="7"/>
      <c r="AC569" s="7"/>
      <c r="AD569" s="7"/>
      <c r="AE569" s="7"/>
      <c r="AF569" s="7"/>
      <c r="AG569" s="7"/>
      <c r="AH569" s="7"/>
      <c r="AI569" s="7"/>
      <c r="AJ569" s="7"/>
    </row>
    <row r="570">
      <c r="A570" s="7"/>
      <c r="B570" s="7"/>
      <c r="C570" s="7"/>
      <c r="D570" s="6" t="str">
        <f>IF(NOT(ISBLANK(C570)), VLOOKUP(C570,'Dataset Descriptions'!$A$2:$B$10, 2, FALSE), "")</f>
        <v/>
      </c>
      <c r="E570" s="7"/>
      <c r="F570" s="7"/>
      <c r="G570" s="7"/>
      <c r="H570" s="7"/>
      <c r="I570" s="7"/>
      <c r="J570" s="7"/>
      <c r="K570" s="7"/>
      <c r="L570" s="7"/>
      <c r="M570" s="7"/>
      <c r="N570" s="7"/>
      <c r="O570" s="7"/>
      <c r="P570" s="7"/>
      <c r="Q570" s="7"/>
      <c r="R570" s="8"/>
      <c r="S570" s="6" t="str">
        <f>IF(NOT(ISBLANK(E570)), ROUND(((IF(E570="yes",1,0)*'Grading Scale'!E$2)+(IF(F570="yes",1,0)*'Grading Scale'!E$3)+(IF(G570="yes",1,0)*'Grading Scale'!E$4)+(IF(H570="yes",1,0)*'Grading Scale'!E$5)+(IF(I570="yes",1,0)*'Grading Scale'!E$6)+(IF(J570="yes",1,0)*'Grading Scale'!E$7)+(IF(K570="yes",1,0)*'Grading Scale'!E$8)+(IF(L570="yes",1,0)*'Grading Scale'!E$9)+(IF(M570="yes",1,0)*'Grading Scale'!E$10)+(IF(N570="yes",1,0)*'Grading Scale'!E$11)+(IF(O570="yes",1,0)*'Grading Scale'!E$12)+(IF(P570="yes",1,0)*'Grading Scale'!E$13))/'Grading Scale'!E$14*100,0), "")</f>
        <v/>
      </c>
      <c r="T570" s="6" t="str">
        <f>IF(ISNUMBER(S570),VLOOKUP(S570,'Grading Scale'!$A$2:$B$14, 2), "")</f>
        <v/>
      </c>
      <c r="U570" s="7"/>
      <c r="V570" s="7"/>
      <c r="W570" s="7"/>
      <c r="X570" s="7"/>
      <c r="Y570" s="7"/>
      <c r="Z570" s="7"/>
      <c r="AA570" s="7"/>
      <c r="AB570" s="7"/>
      <c r="AC570" s="7"/>
      <c r="AD570" s="7"/>
      <c r="AE570" s="7"/>
      <c r="AF570" s="7"/>
      <c r="AG570" s="7"/>
      <c r="AH570" s="7"/>
      <c r="AI570" s="7"/>
      <c r="AJ570" s="7"/>
    </row>
    <row r="571">
      <c r="A571" s="7"/>
      <c r="B571" s="7"/>
      <c r="C571" s="7"/>
      <c r="D571" s="6" t="str">
        <f>IF(NOT(ISBLANK(C571)), VLOOKUP(C571,'Dataset Descriptions'!$A$2:$B$10, 2, FALSE), "")</f>
        <v/>
      </c>
      <c r="E571" s="7"/>
      <c r="F571" s="7"/>
      <c r="G571" s="7"/>
      <c r="H571" s="7"/>
      <c r="I571" s="7"/>
      <c r="J571" s="7"/>
      <c r="K571" s="7"/>
      <c r="L571" s="7"/>
      <c r="M571" s="7"/>
      <c r="N571" s="7"/>
      <c r="O571" s="7"/>
      <c r="P571" s="7"/>
      <c r="Q571" s="7"/>
      <c r="R571" s="8"/>
      <c r="S571" s="6" t="str">
        <f>IF(NOT(ISBLANK(E571)), ROUND(((IF(E571="yes",1,0)*'Grading Scale'!E$2)+(IF(F571="yes",1,0)*'Grading Scale'!E$3)+(IF(G571="yes",1,0)*'Grading Scale'!E$4)+(IF(H571="yes",1,0)*'Grading Scale'!E$5)+(IF(I571="yes",1,0)*'Grading Scale'!E$6)+(IF(J571="yes",1,0)*'Grading Scale'!E$7)+(IF(K571="yes",1,0)*'Grading Scale'!E$8)+(IF(L571="yes",1,0)*'Grading Scale'!E$9)+(IF(M571="yes",1,0)*'Grading Scale'!E$10)+(IF(N571="yes",1,0)*'Grading Scale'!E$11)+(IF(O571="yes",1,0)*'Grading Scale'!E$12)+(IF(P571="yes",1,0)*'Grading Scale'!E$13))/'Grading Scale'!E$14*100,0), "")</f>
        <v/>
      </c>
      <c r="T571" s="6" t="str">
        <f>IF(ISNUMBER(S571),VLOOKUP(S571,'Grading Scale'!$A$2:$B$14, 2), "")</f>
        <v/>
      </c>
      <c r="U571" s="7"/>
      <c r="V571" s="7"/>
      <c r="W571" s="7"/>
      <c r="X571" s="7"/>
      <c r="Y571" s="7"/>
      <c r="Z571" s="7"/>
      <c r="AA571" s="7"/>
      <c r="AB571" s="7"/>
      <c r="AC571" s="7"/>
      <c r="AD571" s="7"/>
      <c r="AE571" s="7"/>
      <c r="AF571" s="7"/>
      <c r="AG571" s="7"/>
      <c r="AH571" s="7"/>
      <c r="AI571" s="7"/>
      <c r="AJ571" s="7"/>
    </row>
    <row r="572">
      <c r="A572" s="7"/>
      <c r="B572" s="7"/>
      <c r="C572" s="7"/>
      <c r="D572" s="6" t="str">
        <f>IF(NOT(ISBLANK(C572)), VLOOKUP(C572,'Dataset Descriptions'!$A$2:$B$10, 2, FALSE), "")</f>
        <v/>
      </c>
      <c r="E572" s="7"/>
      <c r="F572" s="7"/>
      <c r="G572" s="7"/>
      <c r="H572" s="7"/>
      <c r="I572" s="7"/>
      <c r="J572" s="7"/>
      <c r="K572" s="7"/>
      <c r="L572" s="7"/>
      <c r="M572" s="7"/>
      <c r="N572" s="7"/>
      <c r="O572" s="7"/>
      <c r="P572" s="7"/>
      <c r="Q572" s="7"/>
      <c r="R572" s="8"/>
      <c r="S572" s="6" t="str">
        <f>IF(NOT(ISBLANK(E572)), ROUND(((IF(E572="yes",1,0)*'Grading Scale'!E$2)+(IF(F572="yes",1,0)*'Grading Scale'!E$3)+(IF(G572="yes",1,0)*'Grading Scale'!E$4)+(IF(H572="yes",1,0)*'Grading Scale'!E$5)+(IF(I572="yes",1,0)*'Grading Scale'!E$6)+(IF(J572="yes",1,0)*'Grading Scale'!E$7)+(IF(K572="yes",1,0)*'Grading Scale'!E$8)+(IF(L572="yes",1,0)*'Grading Scale'!E$9)+(IF(M572="yes",1,0)*'Grading Scale'!E$10)+(IF(N572="yes",1,0)*'Grading Scale'!E$11)+(IF(O572="yes",1,0)*'Grading Scale'!E$12)+(IF(P572="yes",1,0)*'Grading Scale'!E$13))/'Grading Scale'!E$14*100,0), "")</f>
        <v/>
      </c>
      <c r="T572" s="6" t="str">
        <f>IF(ISNUMBER(S572),VLOOKUP(S572,'Grading Scale'!$A$2:$B$14, 2), "")</f>
        <v/>
      </c>
      <c r="U572" s="7"/>
      <c r="V572" s="7"/>
      <c r="W572" s="7"/>
      <c r="X572" s="7"/>
      <c r="Y572" s="7"/>
      <c r="Z572" s="7"/>
      <c r="AA572" s="7"/>
      <c r="AB572" s="7"/>
      <c r="AC572" s="7"/>
      <c r="AD572" s="7"/>
      <c r="AE572" s="7"/>
      <c r="AF572" s="7"/>
      <c r="AG572" s="7"/>
      <c r="AH572" s="7"/>
      <c r="AI572" s="7"/>
      <c r="AJ572" s="7"/>
    </row>
    <row r="573">
      <c r="A573" s="7"/>
      <c r="B573" s="7"/>
      <c r="C573" s="7"/>
      <c r="D573" s="6" t="str">
        <f>IF(NOT(ISBLANK(C573)), VLOOKUP(C573,'Dataset Descriptions'!$A$2:$B$10, 2, FALSE), "")</f>
        <v/>
      </c>
      <c r="E573" s="7"/>
      <c r="F573" s="7"/>
      <c r="G573" s="7"/>
      <c r="H573" s="7"/>
      <c r="I573" s="7"/>
      <c r="J573" s="7"/>
      <c r="K573" s="7"/>
      <c r="L573" s="7"/>
      <c r="M573" s="7"/>
      <c r="N573" s="7"/>
      <c r="O573" s="7"/>
      <c r="P573" s="7"/>
      <c r="Q573" s="7"/>
      <c r="R573" s="8"/>
      <c r="S573" s="6" t="str">
        <f>IF(NOT(ISBLANK(E573)), ROUND(((IF(E573="yes",1,0)*'Grading Scale'!E$2)+(IF(F573="yes",1,0)*'Grading Scale'!E$3)+(IF(G573="yes",1,0)*'Grading Scale'!E$4)+(IF(H573="yes",1,0)*'Grading Scale'!E$5)+(IF(I573="yes",1,0)*'Grading Scale'!E$6)+(IF(J573="yes",1,0)*'Grading Scale'!E$7)+(IF(K573="yes",1,0)*'Grading Scale'!E$8)+(IF(L573="yes",1,0)*'Grading Scale'!E$9)+(IF(M573="yes",1,0)*'Grading Scale'!E$10)+(IF(N573="yes",1,0)*'Grading Scale'!E$11)+(IF(O573="yes",1,0)*'Grading Scale'!E$12)+(IF(P573="yes",1,0)*'Grading Scale'!E$13))/'Grading Scale'!E$14*100,0), "")</f>
        <v/>
      </c>
      <c r="T573" s="6" t="str">
        <f>IF(ISNUMBER(S573),VLOOKUP(S573,'Grading Scale'!$A$2:$B$14, 2), "")</f>
        <v/>
      </c>
      <c r="U573" s="7"/>
      <c r="V573" s="7"/>
      <c r="W573" s="7"/>
      <c r="X573" s="7"/>
      <c r="Y573" s="7"/>
      <c r="Z573" s="7"/>
      <c r="AA573" s="7"/>
      <c r="AB573" s="7"/>
      <c r="AC573" s="7"/>
      <c r="AD573" s="7"/>
      <c r="AE573" s="7"/>
      <c r="AF573" s="7"/>
      <c r="AG573" s="7"/>
      <c r="AH573" s="7"/>
      <c r="AI573" s="7"/>
      <c r="AJ573" s="7"/>
    </row>
    <row r="574">
      <c r="A574" s="7"/>
      <c r="B574" s="7"/>
      <c r="C574" s="7"/>
      <c r="D574" s="6" t="str">
        <f>IF(NOT(ISBLANK(C574)), VLOOKUP(C574,'Dataset Descriptions'!$A$2:$B$10, 2, FALSE), "")</f>
        <v/>
      </c>
      <c r="E574" s="7"/>
      <c r="F574" s="7"/>
      <c r="G574" s="7"/>
      <c r="H574" s="7"/>
      <c r="I574" s="7"/>
      <c r="J574" s="7"/>
      <c r="K574" s="7"/>
      <c r="L574" s="7"/>
      <c r="M574" s="7"/>
      <c r="N574" s="7"/>
      <c r="O574" s="7"/>
      <c r="P574" s="7"/>
      <c r="Q574" s="7"/>
      <c r="R574" s="8"/>
      <c r="S574" s="6" t="str">
        <f>IF(NOT(ISBLANK(E574)), ROUND(((IF(E574="yes",1,0)*'Grading Scale'!E$2)+(IF(F574="yes",1,0)*'Grading Scale'!E$3)+(IF(G574="yes",1,0)*'Grading Scale'!E$4)+(IF(H574="yes",1,0)*'Grading Scale'!E$5)+(IF(I574="yes",1,0)*'Grading Scale'!E$6)+(IF(J574="yes",1,0)*'Grading Scale'!E$7)+(IF(K574="yes",1,0)*'Grading Scale'!E$8)+(IF(L574="yes",1,0)*'Grading Scale'!E$9)+(IF(M574="yes",1,0)*'Grading Scale'!E$10)+(IF(N574="yes",1,0)*'Grading Scale'!E$11)+(IF(O574="yes",1,0)*'Grading Scale'!E$12)+(IF(P574="yes",1,0)*'Grading Scale'!E$13))/'Grading Scale'!E$14*100,0), "")</f>
        <v/>
      </c>
      <c r="T574" s="6" t="str">
        <f>IF(ISNUMBER(S574),VLOOKUP(S574,'Grading Scale'!$A$2:$B$14, 2), "")</f>
        <v/>
      </c>
      <c r="U574" s="7"/>
      <c r="V574" s="7"/>
      <c r="W574" s="7"/>
      <c r="X574" s="7"/>
      <c r="Y574" s="7"/>
      <c r="Z574" s="7"/>
      <c r="AA574" s="7"/>
      <c r="AB574" s="7"/>
      <c r="AC574" s="7"/>
      <c r="AD574" s="7"/>
      <c r="AE574" s="7"/>
      <c r="AF574" s="7"/>
      <c r="AG574" s="7"/>
      <c r="AH574" s="7"/>
      <c r="AI574" s="7"/>
      <c r="AJ574" s="7"/>
    </row>
    <row r="575">
      <c r="A575" s="7"/>
      <c r="B575" s="7"/>
      <c r="C575" s="7"/>
      <c r="D575" s="6" t="str">
        <f>IF(NOT(ISBLANK(C575)), VLOOKUP(C575,'Dataset Descriptions'!$A$2:$B$10, 2, FALSE), "")</f>
        <v/>
      </c>
      <c r="E575" s="7"/>
      <c r="F575" s="7"/>
      <c r="G575" s="7"/>
      <c r="H575" s="7"/>
      <c r="I575" s="7"/>
      <c r="J575" s="7"/>
      <c r="K575" s="7"/>
      <c r="L575" s="7"/>
      <c r="M575" s="7"/>
      <c r="N575" s="7"/>
      <c r="O575" s="7"/>
      <c r="P575" s="7"/>
      <c r="Q575" s="7"/>
      <c r="R575" s="8"/>
      <c r="S575" s="6" t="str">
        <f>IF(NOT(ISBLANK(E575)), ROUND(((IF(E575="yes",1,0)*'Grading Scale'!E$2)+(IF(F575="yes",1,0)*'Grading Scale'!E$3)+(IF(G575="yes",1,0)*'Grading Scale'!E$4)+(IF(H575="yes",1,0)*'Grading Scale'!E$5)+(IF(I575="yes",1,0)*'Grading Scale'!E$6)+(IF(J575="yes",1,0)*'Grading Scale'!E$7)+(IF(K575="yes",1,0)*'Grading Scale'!E$8)+(IF(L575="yes",1,0)*'Grading Scale'!E$9)+(IF(M575="yes",1,0)*'Grading Scale'!E$10)+(IF(N575="yes",1,0)*'Grading Scale'!E$11)+(IF(O575="yes",1,0)*'Grading Scale'!E$12)+(IF(P575="yes",1,0)*'Grading Scale'!E$13))/'Grading Scale'!E$14*100,0), "")</f>
        <v/>
      </c>
      <c r="T575" s="6" t="str">
        <f>IF(ISNUMBER(S575),VLOOKUP(S575,'Grading Scale'!$A$2:$B$14, 2), "")</f>
        <v/>
      </c>
      <c r="U575" s="7"/>
      <c r="V575" s="7"/>
      <c r="W575" s="7"/>
      <c r="X575" s="7"/>
      <c r="Y575" s="7"/>
      <c r="Z575" s="7"/>
      <c r="AA575" s="7"/>
      <c r="AB575" s="7"/>
      <c r="AC575" s="7"/>
      <c r="AD575" s="7"/>
      <c r="AE575" s="7"/>
      <c r="AF575" s="7"/>
      <c r="AG575" s="7"/>
      <c r="AH575" s="7"/>
      <c r="AI575" s="7"/>
      <c r="AJ575" s="7"/>
    </row>
    <row r="576">
      <c r="A576" s="7"/>
      <c r="B576" s="7"/>
      <c r="C576" s="7"/>
      <c r="D576" s="6" t="str">
        <f>IF(NOT(ISBLANK(C576)), VLOOKUP(C576,'Dataset Descriptions'!$A$2:$B$10, 2, FALSE), "")</f>
        <v/>
      </c>
      <c r="E576" s="7"/>
      <c r="F576" s="7"/>
      <c r="G576" s="7"/>
      <c r="H576" s="7"/>
      <c r="I576" s="7"/>
      <c r="J576" s="7"/>
      <c r="K576" s="7"/>
      <c r="L576" s="7"/>
      <c r="M576" s="7"/>
      <c r="N576" s="7"/>
      <c r="O576" s="7"/>
      <c r="P576" s="7"/>
      <c r="Q576" s="7"/>
      <c r="R576" s="8"/>
      <c r="S576" s="6" t="str">
        <f>IF(NOT(ISBLANK(E576)), ROUND(((IF(E576="yes",1,0)*'Grading Scale'!E$2)+(IF(F576="yes",1,0)*'Grading Scale'!E$3)+(IF(G576="yes",1,0)*'Grading Scale'!E$4)+(IF(H576="yes",1,0)*'Grading Scale'!E$5)+(IF(I576="yes",1,0)*'Grading Scale'!E$6)+(IF(J576="yes",1,0)*'Grading Scale'!E$7)+(IF(K576="yes",1,0)*'Grading Scale'!E$8)+(IF(L576="yes",1,0)*'Grading Scale'!E$9)+(IF(M576="yes",1,0)*'Grading Scale'!E$10)+(IF(N576="yes",1,0)*'Grading Scale'!E$11)+(IF(O576="yes",1,0)*'Grading Scale'!E$12)+(IF(P576="yes",1,0)*'Grading Scale'!E$13))/'Grading Scale'!E$14*100,0), "")</f>
        <v/>
      </c>
      <c r="T576" s="6" t="str">
        <f>IF(ISNUMBER(S576),VLOOKUP(S576,'Grading Scale'!$A$2:$B$14, 2), "")</f>
        <v/>
      </c>
      <c r="U576" s="7"/>
      <c r="V576" s="7"/>
      <c r="W576" s="7"/>
      <c r="X576" s="7"/>
      <c r="Y576" s="7"/>
      <c r="Z576" s="7"/>
      <c r="AA576" s="7"/>
      <c r="AB576" s="7"/>
      <c r="AC576" s="7"/>
      <c r="AD576" s="7"/>
      <c r="AE576" s="7"/>
      <c r="AF576" s="7"/>
      <c r="AG576" s="7"/>
      <c r="AH576" s="7"/>
      <c r="AI576" s="7"/>
      <c r="AJ576" s="7"/>
    </row>
    <row r="577">
      <c r="A577" s="7"/>
      <c r="B577" s="7"/>
      <c r="C577" s="7"/>
      <c r="D577" s="6" t="str">
        <f>IF(NOT(ISBLANK(C577)), VLOOKUP(C577,'Dataset Descriptions'!$A$2:$B$10, 2, FALSE), "")</f>
        <v/>
      </c>
      <c r="E577" s="7"/>
      <c r="F577" s="7"/>
      <c r="G577" s="7"/>
      <c r="H577" s="7"/>
      <c r="I577" s="7"/>
      <c r="J577" s="7"/>
      <c r="K577" s="7"/>
      <c r="L577" s="7"/>
      <c r="M577" s="7"/>
      <c r="N577" s="7"/>
      <c r="O577" s="7"/>
      <c r="P577" s="7"/>
      <c r="Q577" s="7"/>
      <c r="R577" s="8"/>
      <c r="S577" s="6" t="str">
        <f>IF(NOT(ISBLANK(E577)), ROUND(((IF(E577="yes",1,0)*'Grading Scale'!E$2)+(IF(F577="yes",1,0)*'Grading Scale'!E$3)+(IF(G577="yes",1,0)*'Grading Scale'!E$4)+(IF(H577="yes",1,0)*'Grading Scale'!E$5)+(IF(I577="yes",1,0)*'Grading Scale'!E$6)+(IF(J577="yes",1,0)*'Grading Scale'!E$7)+(IF(K577="yes",1,0)*'Grading Scale'!E$8)+(IF(L577="yes",1,0)*'Grading Scale'!E$9)+(IF(M577="yes",1,0)*'Grading Scale'!E$10)+(IF(N577="yes",1,0)*'Grading Scale'!E$11)+(IF(O577="yes",1,0)*'Grading Scale'!E$12)+(IF(P577="yes",1,0)*'Grading Scale'!E$13))/'Grading Scale'!E$14*100,0), "")</f>
        <v/>
      </c>
      <c r="T577" s="6" t="str">
        <f>IF(ISNUMBER(S577),VLOOKUP(S577,'Grading Scale'!$A$2:$B$14, 2), "")</f>
        <v/>
      </c>
      <c r="U577" s="7"/>
      <c r="V577" s="7"/>
      <c r="W577" s="7"/>
      <c r="X577" s="7"/>
      <c r="Y577" s="7"/>
      <c r="Z577" s="7"/>
      <c r="AA577" s="7"/>
      <c r="AB577" s="7"/>
      <c r="AC577" s="7"/>
      <c r="AD577" s="7"/>
      <c r="AE577" s="7"/>
      <c r="AF577" s="7"/>
      <c r="AG577" s="7"/>
      <c r="AH577" s="7"/>
      <c r="AI577" s="7"/>
      <c r="AJ577" s="7"/>
    </row>
    <row r="578">
      <c r="A578" s="7"/>
      <c r="B578" s="7"/>
      <c r="C578" s="7"/>
      <c r="D578" s="6" t="str">
        <f>IF(NOT(ISBLANK(C578)), VLOOKUP(C578,'Dataset Descriptions'!$A$2:$B$10, 2, FALSE), "")</f>
        <v/>
      </c>
      <c r="E578" s="7"/>
      <c r="F578" s="7"/>
      <c r="G578" s="7"/>
      <c r="H578" s="7"/>
      <c r="I578" s="7"/>
      <c r="J578" s="7"/>
      <c r="K578" s="7"/>
      <c r="L578" s="7"/>
      <c r="M578" s="7"/>
      <c r="N578" s="7"/>
      <c r="O578" s="7"/>
      <c r="P578" s="7"/>
      <c r="Q578" s="7"/>
      <c r="R578" s="8"/>
      <c r="S578" s="6" t="str">
        <f>IF(NOT(ISBLANK(E578)), ROUND(((IF(E578="yes",1,0)*'Grading Scale'!E$2)+(IF(F578="yes",1,0)*'Grading Scale'!E$3)+(IF(G578="yes",1,0)*'Grading Scale'!E$4)+(IF(H578="yes",1,0)*'Grading Scale'!E$5)+(IF(I578="yes",1,0)*'Grading Scale'!E$6)+(IF(J578="yes",1,0)*'Grading Scale'!E$7)+(IF(K578="yes",1,0)*'Grading Scale'!E$8)+(IF(L578="yes",1,0)*'Grading Scale'!E$9)+(IF(M578="yes",1,0)*'Grading Scale'!E$10)+(IF(N578="yes",1,0)*'Grading Scale'!E$11)+(IF(O578="yes",1,0)*'Grading Scale'!E$12)+(IF(P578="yes",1,0)*'Grading Scale'!E$13))/'Grading Scale'!E$14*100,0), "")</f>
        <v/>
      </c>
      <c r="T578" s="6" t="str">
        <f>IF(ISNUMBER(S578),VLOOKUP(S578,'Grading Scale'!$A$2:$B$14, 2), "")</f>
        <v/>
      </c>
      <c r="U578" s="7"/>
      <c r="V578" s="7"/>
      <c r="W578" s="7"/>
      <c r="X578" s="7"/>
      <c r="Y578" s="7"/>
      <c r="Z578" s="7"/>
      <c r="AA578" s="7"/>
      <c r="AB578" s="7"/>
      <c r="AC578" s="7"/>
      <c r="AD578" s="7"/>
      <c r="AE578" s="7"/>
      <c r="AF578" s="7"/>
      <c r="AG578" s="7"/>
      <c r="AH578" s="7"/>
      <c r="AI578" s="7"/>
      <c r="AJ578" s="7"/>
    </row>
    <row r="579">
      <c r="A579" s="7"/>
      <c r="B579" s="7"/>
      <c r="C579" s="7"/>
      <c r="D579" s="6" t="str">
        <f>IF(NOT(ISBLANK(C579)), VLOOKUP(C579,'Dataset Descriptions'!$A$2:$B$10, 2, FALSE), "")</f>
        <v/>
      </c>
      <c r="E579" s="7"/>
      <c r="F579" s="7"/>
      <c r="G579" s="7"/>
      <c r="H579" s="7"/>
      <c r="I579" s="7"/>
      <c r="J579" s="7"/>
      <c r="K579" s="7"/>
      <c r="L579" s="7"/>
      <c r="M579" s="7"/>
      <c r="N579" s="7"/>
      <c r="O579" s="7"/>
      <c r="P579" s="7"/>
      <c r="Q579" s="7"/>
      <c r="R579" s="8"/>
      <c r="S579" s="6" t="str">
        <f>IF(NOT(ISBLANK(E579)), ROUND(((IF(E579="yes",1,0)*'Grading Scale'!E$2)+(IF(F579="yes",1,0)*'Grading Scale'!E$3)+(IF(G579="yes",1,0)*'Grading Scale'!E$4)+(IF(H579="yes",1,0)*'Grading Scale'!E$5)+(IF(I579="yes",1,0)*'Grading Scale'!E$6)+(IF(J579="yes",1,0)*'Grading Scale'!E$7)+(IF(K579="yes",1,0)*'Grading Scale'!E$8)+(IF(L579="yes",1,0)*'Grading Scale'!E$9)+(IF(M579="yes",1,0)*'Grading Scale'!E$10)+(IF(N579="yes",1,0)*'Grading Scale'!E$11)+(IF(O579="yes",1,0)*'Grading Scale'!E$12)+(IF(P579="yes",1,0)*'Grading Scale'!E$13))/'Grading Scale'!E$14*100,0), "")</f>
        <v/>
      </c>
      <c r="T579" s="6" t="str">
        <f>IF(ISNUMBER(S579),VLOOKUP(S579,'Grading Scale'!$A$2:$B$14, 2), "")</f>
        <v/>
      </c>
      <c r="U579" s="7"/>
      <c r="V579" s="7"/>
      <c r="W579" s="7"/>
      <c r="X579" s="7"/>
      <c r="Y579" s="7"/>
      <c r="Z579" s="7"/>
      <c r="AA579" s="7"/>
      <c r="AB579" s="7"/>
      <c r="AC579" s="7"/>
      <c r="AD579" s="7"/>
      <c r="AE579" s="7"/>
      <c r="AF579" s="7"/>
      <c r="AG579" s="7"/>
      <c r="AH579" s="7"/>
      <c r="AI579" s="7"/>
      <c r="AJ579" s="7"/>
    </row>
    <row r="580">
      <c r="A580" s="7"/>
      <c r="B580" s="7"/>
      <c r="C580" s="7"/>
      <c r="D580" s="6" t="str">
        <f>IF(NOT(ISBLANK(C580)), VLOOKUP(C580,'Dataset Descriptions'!$A$2:$B$10, 2, FALSE), "")</f>
        <v/>
      </c>
      <c r="E580" s="7"/>
      <c r="F580" s="7"/>
      <c r="G580" s="7"/>
      <c r="H580" s="7"/>
      <c r="I580" s="7"/>
      <c r="J580" s="7"/>
      <c r="K580" s="7"/>
      <c r="L580" s="7"/>
      <c r="M580" s="7"/>
      <c r="N580" s="7"/>
      <c r="O580" s="7"/>
      <c r="P580" s="7"/>
      <c r="Q580" s="7"/>
      <c r="R580" s="8"/>
      <c r="S580" s="6" t="str">
        <f>IF(NOT(ISBLANK(E580)), ROUND(((IF(E580="yes",1,0)*'Grading Scale'!E$2)+(IF(F580="yes",1,0)*'Grading Scale'!E$3)+(IF(G580="yes",1,0)*'Grading Scale'!E$4)+(IF(H580="yes",1,0)*'Grading Scale'!E$5)+(IF(I580="yes",1,0)*'Grading Scale'!E$6)+(IF(J580="yes",1,0)*'Grading Scale'!E$7)+(IF(K580="yes",1,0)*'Grading Scale'!E$8)+(IF(L580="yes",1,0)*'Grading Scale'!E$9)+(IF(M580="yes",1,0)*'Grading Scale'!E$10)+(IF(N580="yes",1,0)*'Grading Scale'!E$11)+(IF(O580="yes",1,0)*'Grading Scale'!E$12)+(IF(P580="yes",1,0)*'Grading Scale'!E$13))/'Grading Scale'!E$14*100,0), "")</f>
        <v/>
      </c>
      <c r="T580" s="6" t="str">
        <f>IF(ISNUMBER(S580),VLOOKUP(S580,'Grading Scale'!$A$2:$B$14, 2), "")</f>
        <v/>
      </c>
      <c r="U580" s="7"/>
      <c r="V580" s="7"/>
      <c r="W580" s="7"/>
      <c r="X580" s="7"/>
      <c r="Y580" s="7"/>
      <c r="Z580" s="7"/>
      <c r="AA580" s="7"/>
      <c r="AB580" s="7"/>
      <c r="AC580" s="7"/>
      <c r="AD580" s="7"/>
      <c r="AE580" s="7"/>
      <c r="AF580" s="7"/>
      <c r="AG580" s="7"/>
      <c r="AH580" s="7"/>
      <c r="AI580" s="7"/>
      <c r="AJ580" s="7"/>
    </row>
    <row r="581">
      <c r="A581" s="7"/>
      <c r="B581" s="7"/>
      <c r="C581" s="7"/>
      <c r="D581" s="6" t="str">
        <f>IF(NOT(ISBLANK(C581)), VLOOKUP(C581,'Dataset Descriptions'!$A$2:$B$10, 2, FALSE), "")</f>
        <v/>
      </c>
      <c r="E581" s="7"/>
      <c r="F581" s="7"/>
      <c r="G581" s="7"/>
      <c r="H581" s="7"/>
      <c r="I581" s="7"/>
      <c r="J581" s="7"/>
      <c r="K581" s="7"/>
      <c r="L581" s="7"/>
      <c r="M581" s="7"/>
      <c r="N581" s="7"/>
      <c r="O581" s="7"/>
      <c r="P581" s="7"/>
      <c r="Q581" s="7"/>
      <c r="R581" s="8"/>
      <c r="S581" s="6" t="str">
        <f>IF(NOT(ISBLANK(E581)), ROUND(((IF(E581="yes",1,0)*'Grading Scale'!E$2)+(IF(F581="yes",1,0)*'Grading Scale'!E$3)+(IF(G581="yes",1,0)*'Grading Scale'!E$4)+(IF(H581="yes",1,0)*'Grading Scale'!E$5)+(IF(I581="yes",1,0)*'Grading Scale'!E$6)+(IF(J581="yes",1,0)*'Grading Scale'!E$7)+(IF(K581="yes",1,0)*'Grading Scale'!E$8)+(IF(L581="yes",1,0)*'Grading Scale'!E$9)+(IF(M581="yes",1,0)*'Grading Scale'!E$10)+(IF(N581="yes",1,0)*'Grading Scale'!E$11)+(IF(O581="yes",1,0)*'Grading Scale'!E$12)+(IF(P581="yes",1,0)*'Grading Scale'!E$13))/'Grading Scale'!E$14*100,0), "")</f>
        <v/>
      </c>
      <c r="T581" s="6" t="str">
        <f>IF(ISNUMBER(S581),VLOOKUP(S581,'Grading Scale'!$A$2:$B$14, 2), "")</f>
        <v/>
      </c>
      <c r="U581" s="7"/>
      <c r="V581" s="7"/>
      <c r="W581" s="7"/>
      <c r="X581" s="7"/>
      <c r="Y581" s="7"/>
      <c r="Z581" s="7"/>
      <c r="AA581" s="7"/>
      <c r="AB581" s="7"/>
      <c r="AC581" s="7"/>
      <c r="AD581" s="7"/>
      <c r="AE581" s="7"/>
      <c r="AF581" s="7"/>
      <c r="AG581" s="7"/>
      <c r="AH581" s="7"/>
      <c r="AI581" s="7"/>
      <c r="AJ581" s="7"/>
    </row>
    <row r="582">
      <c r="A582" s="7"/>
      <c r="B582" s="7"/>
      <c r="C582" s="7"/>
      <c r="D582" s="6" t="str">
        <f>IF(NOT(ISBLANK(C582)), VLOOKUP(C582,'Dataset Descriptions'!$A$2:$B$10, 2, FALSE), "")</f>
        <v/>
      </c>
      <c r="E582" s="7"/>
      <c r="F582" s="7"/>
      <c r="G582" s="7"/>
      <c r="H582" s="7"/>
      <c r="I582" s="7"/>
      <c r="J582" s="7"/>
      <c r="K582" s="7"/>
      <c r="L582" s="7"/>
      <c r="M582" s="7"/>
      <c r="N582" s="7"/>
      <c r="O582" s="7"/>
      <c r="P582" s="7"/>
      <c r="Q582" s="7"/>
      <c r="R582" s="8"/>
      <c r="S582" s="6" t="str">
        <f>IF(NOT(ISBLANK(E582)), ROUND(((IF(E582="yes",1,0)*'Grading Scale'!E$2)+(IF(F582="yes",1,0)*'Grading Scale'!E$3)+(IF(G582="yes",1,0)*'Grading Scale'!E$4)+(IF(H582="yes",1,0)*'Grading Scale'!E$5)+(IF(I582="yes",1,0)*'Grading Scale'!E$6)+(IF(J582="yes",1,0)*'Grading Scale'!E$7)+(IF(K582="yes",1,0)*'Grading Scale'!E$8)+(IF(L582="yes",1,0)*'Grading Scale'!E$9)+(IF(M582="yes",1,0)*'Grading Scale'!E$10)+(IF(N582="yes",1,0)*'Grading Scale'!E$11)+(IF(O582="yes",1,0)*'Grading Scale'!E$12)+(IF(P582="yes",1,0)*'Grading Scale'!E$13))/'Grading Scale'!E$14*100,0), "")</f>
        <v/>
      </c>
      <c r="T582" s="6" t="str">
        <f>IF(ISNUMBER(S582),VLOOKUP(S582,'Grading Scale'!$A$2:$B$14, 2), "")</f>
        <v/>
      </c>
      <c r="U582" s="7"/>
      <c r="V582" s="7"/>
      <c r="W582" s="7"/>
      <c r="X582" s="7"/>
      <c r="Y582" s="7"/>
      <c r="Z582" s="7"/>
      <c r="AA582" s="7"/>
      <c r="AB582" s="7"/>
      <c r="AC582" s="7"/>
      <c r="AD582" s="7"/>
      <c r="AE582" s="7"/>
      <c r="AF582" s="7"/>
      <c r="AG582" s="7"/>
      <c r="AH582" s="7"/>
      <c r="AI582" s="7"/>
      <c r="AJ582" s="7"/>
    </row>
    <row r="583">
      <c r="A583" s="7"/>
      <c r="B583" s="7"/>
      <c r="C583" s="7"/>
      <c r="D583" s="6" t="str">
        <f>IF(NOT(ISBLANK(C583)), VLOOKUP(C583,'Dataset Descriptions'!$A$2:$B$10, 2, FALSE), "")</f>
        <v/>
      </c>
      <c r="E583" s="7"/>
      <c r="F583" s="7"/>
      <c r="G583" s="7"/>
      <c r="H583" s="7"/>
      <c r="I583" s="7"/>
      <c r="J583" s="7"/>
      <c r="K583" s="7"/>
      <c r="L583" s="7"/>
      <c r="M583" s="7"/>
      <c r="N583" s="7"/>
      <c r="O583" s="7"/>
      <c r="P583" s="7"/>
      <c r="Q583" s="7"/>
      <c r="R583" s="8"/>
      <c r="S583" s="6" t="str">
        <f>IF(NOT(ISBLANK(E583)), ROUND(((IF(E583="yes",1,0)*'Grading Scale'!E$2)+(IF(F583="yes",1,0)*'Grading Scale'!E$3)+(IF(G583="yes",1,0)*'Grading Scale'!E$4)+(IF(H583="yes",1,0)*'Grading Scale'!E$5)+(IF(I583="yes",1,0)*'Grading Scale'!E$6)+(IF(J583="yes",1,0)*'Grading Scale'!E$7)+(IF(K583="yes",1,0)*'Grading Scale'!E$8)+(IF(L583="yes",1,0)*'Grading Scale'!E$9)+(IF(M583="yes",1,0)*'Grading Scale'!E$10)+(IF(N583="yes",1,0)*'Grading Scale'!E$11)+(IF(O583="yes",1,0)*'Grading Scale'!E$12)+(IF(P583="yes",1,0)*'Grading Scale'!E$13))/'Grading Scale'!E$14*100,0), "")</f>
        <v/>
      </c>
      <c r="T583" s="6" t="str">
        <f>IF(ISNUMBER(S583),VLOOKUP(S583,'Grading Scale'!$A$2:$B$14, 2), "")</f>
        <v/>
      </c>
      <c r="U583" s="7"/>
      <c r="V583" s="7"/>
      <c r="W583" s="7"/>
      <c r="X583" s="7"/>
      <c r="Y583" s="7"/>
      <c r="Z583" s="7"/>
      <c r="AA583" s="7"/>
      <c r="AB583" s="7"/>
      <c r="AC583" s="7"/>
      <c r="AD583" s="7"/>
      <c r="AE583" s="7"/>
      <c r="AF583" s="7"/>
      <c r="AG583" s="7"/>
      <c r="AH583" s="7"/>
      <c r="AI583" s="7"/>
      <c r="AJ583" s="7"/>
    </row>
    <row r="584">
      <c r="A584" s="7"/>
      <c r="B584" s="7"/>
      <c r="C584" s="7"/>
      <c r="D584" s="6" t="str">
        <f>IF(NOT(ISBLANK(C584)), VLOOKUP(C584,'Dataset Descriptions'!$A$2:$B$10, 2, FALSE), "")</f>
        <v/>
      </c>
      <c r="E584" s="7"/>
      <c r="F584" s="7"/>
      <c r="G584" s="7"/>
      <c r="H584" s="7"/>
      <c r="I584" s="7"/>
      <c r="J584" s="7"/>
      <c r="K584" s="7"/>
      <c r="L584" s="7"/>
      <c r="M584" s="7"/>
      <c r="N584" s="7"/>
      <c r="O584" s="7"/>
      <c r="P584" s="7"/>
      <c r="Q584" s="7"/>
      <c r="R584" s="8"/>
      <c r="S584" s="6" t="str">
        <f>IF(NOT(ISBLANK(E584)), ROUND(((IF(E584="yes",1,0)*'Grading Scale'!E$2)+(IF(F584="yes",1,0)*'Grading Scale'!E$3)+(IF(G584="yes",1,0)*'Grading Scale'!E$4)+(IF(H584="yes",1,0)*'Grading Scale'!E$5)+(IF(I584="yes",1,0)*'Grading Scale'!E$6)+(IF(J584="yes",1,0)*'Grading Scale'!E$7)+(IF(K584="yes",1,0)*'Grading Scale'!E$8)+(IF(L584="yes",1,0)*'Grading Scale'!E$9)+(IF(M584="yes",1,0)*'Grading Scale'!E$10)+(IF(N584="yes",1,0)*'Grading Scale'!E$11)+(IF(O584="yes",1,0)*'Grading Scale'!E$12)+(IF(P584="yes",1,0)*'Grading Scale'!E$13))/'Grading Scale'!E$14*100,0), "")</f>
        <v/>
      </c>
      <c r="T584" s="6" t="str">
        <f>IF(ISNUMBER(S584),VLOOKUP(S584,'Grading Scale'!$A$2:$B$14, 2), "")</f>
        <v/>
      </c>
      <c r="U584" s="7"/>
      <c r="V584" s="7"/>
      <c r="W584" s="7"/>
      <c r="X584" s="7"/>
      <c r="Y584" s="7"/>
      <c r="Z584" s="7"/>
      <c r="AA584" s="7"/>
      <c r="AB584" s="7"/>
      <c r="AC584" s="7"/>
      <c r="AD584" s="7"/>
      <c r="AE584" s="7"/>
      <c r="AF584" s="7"/>
      <c r="AG584" s="7"/>
      <c r="AH584" s="7"/>
      <c r="AI584" s="7"/>
      <c r="AJ584" s="7"/>
    </row>
    <row r="585">
      <c r="A585" s="7"/>
      <c r="B585" s="7"/>
      <c r="C585" s="7"/>
      <c r="D585" s="6" t="str">
        <f>IF(NOT(ISBLANK(C585)), VLOOKUP(C585,'Dataset Descriptions'!$A$2:$B$10, 2, FALSE), "")</f>
        <v/>
      </c>
      <c r="E585" s="7"/>
      <c r="F585" s="7"/>
      <c r="G585" s="7"/>
      <c r="H585" s="7"/>
      <c r="I585" s="7"/>
      <c r="J585" s="7"/>
      <c r="K585" s="7"/>
      <c r="L585" s="7"/>
      <c r="M585" s="7"/>
      <c r="N585" s="7"/>
      <c r="O585" s="7"/>
      <c r="P585" s="7"/>
      <c r="Q585" s="7"/>
      <c r="R585" s="8"/>
      <c r="S585" s="6" t="str">
        <f>IF(NOT(ISBLANK(E585)), ROUND(((IF(E585="yes",1,0)*'Grading Scale'!E$2)+(IF(F585="yes",1,0)*'Grading Scale'!E$3)+(IF(G585="yes",1,0)*'Grading Scale'!E$4)+(IF(H585="yes",1,0)*'Grading Scale'!E$5)+(IF(I585="yes",1,0)*'Grading Scale'!E$6)+(IF(J585="yes",1,0)*'Grading Scale'!E$7)+(IF(K585="yes",1,0)*'Grading Scale'!E$8)+(IF(L585="yes",1,0)*'Grading Scale'!E$9)+(IF(M585="yes",1,0)*'Grading Scale'!E$10)+(IF(N585="yes",1,0)*'Grading Scale'!E$11)+(IF(O585="yes",1,0)*'Grading Scale'!E$12)+(IF(P585="yes",1,0)*'Grading Scale'!E$13))/'Grading Scale'!E$14*100,0), "")</f>
        <v/>
      </c>
      <c r="T585" s="6" t="str">
        <f>IF(ISNUMBER(S585),VLOOKUP(S585,'Grading Scale'!$A$2:$B$14, 2), "")</f>
        <v/>
      </c>
      <c r="U585" s="7"/>
      <c r="V585" s="7"/>
      <c r="W585" s="7"/>
      <c r="X585" s="7"/>
      <c r="Y585" s="7"/>
      <c r="Z585" s="7"/>
      <c r="AA585" s="7"/>
      <c r="AB585" s="7"/>
      <c r="AC585" s="7"/>
      <c r="AD585" s="7"/>
      <c r="AE585" s="7"/>
      <c r="AF585" s="7"/>
      <c r="AG585" s="7"/>
      <c r="AH585" s="7"/>
      <c r="AI585" s="7"/>
      <c r="AJ585" s="7"/>
    </row>
    <row r="586">
      <c r="A586" s="7"/>
      <c r="B586" s="7"/>
      <c r="C586" s="7"/>
      <c r="D586" s="6" t="str">
        <f>IF(NOT(ISBLANK(C586)), VLOOKUP(C586,'Dataset Descriptions'!$A$2:$B$10, 2, FALSE), "")</f>
        <v/>
      </c>
      <c r="E586" s="7"/>
      <c r="F586" s="7"/>
      <c r="G586" s="7"/>
      <c r="H586" s="7"/>
      <c r="I586" s="7"/>
      <c r="J586" s="7"/>
      <c r="K586" s="7"/>
      <c r="L586" s="7"/>
      <c r="M586" s="7"/>
      <c r="N586" s="7"/>
      <c r="O586" s="7"/>
      <c r="P586" s="7"/>
      <c r="Q586" s="7"/>
      <c r="R586" s="8"/>
      <c r="S586" s="6" t="str">
        <f>IF(NOT(ISBLANK(E586)), ROUND(((IF(E586="yes",1,0)*'Grading Scale'!E$2)+(IF(F586="yes",1,0)*'Grading Scale'!E$3)+(IF(G586="yes",1,0)*'Grading Scale'!E$4)+(IF(H586="yes",1,0)*'Grading Scale'!E$5)+(IF(I586="yes",1,0)*'Grading Scale'!E$6)+(IF(J586="yes",1,0)*'Grading Scale'!E$7)+(IF(K586="yes",1,0)*'Grading Scale'!E$8)+(IF(L586="yes",1,0)*'Grading Scale'!E$9)+(IF(M586="yes",1,0)*'Grading Scale'!E$10)+(IF(N586="yes",1,0)*'Grading Scale'!E$11)+(IF(O586="yes",1,0)*'Grading Scale'!E$12)+(IF(P586="yes",1,0)*'Grading Scale'!E$13))/'Grading Scale'!E$14*100,0), "")</f>
        <v/>
      </c>
      <c r="T586" s="6" t="str">
        <f>IF(ISNUMBER(S586),VLOOKUP(S586,'Grading Scale'!$A$2:$B$14, 2), "")</f>
        <v/>
      </c>
      <c r="U586" s="7"/>
      <c r="V586" s="7"/>
      <c r="W586" s="7"/>
      <c r="X586" s="7"/>
      <c r="Y586" s="7"/>
      <c r="Z586" s="7"/>
      <c r="AA586" s="7"/>
      <c r="AB586" s="7"/>
      <c r="AC586" s="7"/>
      <c r="AD586" s="7"/>
      <c r="AE586" s="7"/>
      <c r="AF586" s="7"/>
      <c r="AG586" s="7"/>
      <c r="AH586" s="7"/>
      <c r="AI586" s="7"/>
      <c r="AJ586" s="7"/>
    </row>
    <row r="587">
      <c r="A587" s="7"/>
      <c r="B587" s="7"/>
      <c r="C587" s="7"/>
      <c r="D587" s="6" t="str">
        <f>IF(NOT(ISBLANK(C587)), VLOOKUP(C587,'Dataset Descriptions'!$A$2:$B$10, 2, FALSE), "")</f>
        <v/>
      </c>
      <c r="E587" s="7"/>
      <c r="F587" s="7"/>
      <c r="G587" s="7"/>
      <c r="H587" s="7"/>
      <c r="I587" s="7"/>
      <c r="J587" s="7"/>
      <c r="K587" s="7"/>
      <c r="L587" s="7"/>
      <c r="M587" s="7"/>
      <c r="N587" s="7"/>
      <c r="O587" s="7"/>
      <c r="P587" s="7"/>
      <c r="Q587" s="7"/>
      <c r="R587" s="8"/>
      <c r="S587" s="6" t="str">
        <f>IF(NOT(ISBLANK(E587)), ROUND(((IF(E587="yes",1,0)*'Grading Scale'!E$2)+(IF(F587="yes",1,0)*'Grading Scale'!E$3)+(IF(G587="yes",1,0)*'Grading Scale'!E$4)+(IF(H587="yes",1,0)*'Grading Scale'!E$5)+(IF(I587="yes",1,0)*'Grading Scale'!E$6)+(IF(J587="yes",1,0)*'Grading Scale'!E$7)+(IF(K587="yes",1,0)*'Grading Scale'!E$8)+(IF(L587="yes",1,0)*'Grading Scale'!E$9)+(IF(M587="yes",1,0)*'Grading Scale'!E$10)+(IF(N587="yes",1,0)*'Grading Scale'!E$11)+(IF(O587="yes",1,0)*'Grading Scale'!E$12)+(IF(P587="yes",1,0)*'Grading Scale'!E$13))/'Grading Scale'!E$14*100,0), "")</f>
        <v/>
      </c>
      <c r="T587" s="6" t="str">
        <f>IF(ISNUMBER(S587),VLOOKUP(S587,'Grading Scale'!$A$2:$B$14, 2), "")</f>
        <v/>
      </c>
      <c r="U587" s="7"/>
      <c r="V587" s="7"/>
      <c r="W587" s="7"/>
      <c r="X587" s="7"/>
      <c r="Y587" s="7"/>
      <c r="Z587" s="7"/>
      <c r="AA587" s="7"/>
      <c r="AB587" s="7"/>
      <c r="AC587" s="7"/>
      <c r="AD587" s="7"/>
      <c r="AE587" s="7"/>
      <c r="AF587" s="7"/>
      <c r="AG587" s="7"/>
      <c r="AH587" s="7"/>
      <c r="AI587" s="7"/>
      <c r="AJ587" s="7"/>
    </row>
    <row r="588">
      <c r="A588" s="7"/>
      <c r="B588" s="7"/>
      <c r="C588" s="7"/>
      <c r="D588" s="6" t="str">
        <f>IF(NOT(ISBLANK(C588)), VLOOKUP(C588,'Dataset Descriptions'!$A$2:$B$10, 2, FALSE), "")</f>
        <v/>
      </c>
      <c r="E588" s="7"/>
      <c r="F588" s="7"/>
      <c r="G588" s="7"/>
      <c r="H588" s="7"/>
      <c r="I588" s="7"/>
      <c r="J588" s="7"/>
      <c r="K588" s="7"/>
      <c r="L588" s="7"/>
      <c r="M588" s="7"/>
      <c r="N588" s="7"/>
      <c r="O588" s="7"/>
      <c r="P588" s="7"/>
      <c r="Q588" s="7"/>
      <c r="R588" s="8"/>
      <c r="S588" s="6" t="str">
        <f>IF(NOT(ISBLANK(E588)), ROUND(((IF(E588="yes",1,0)*'Grading Scale'!E$2)+(IF(F588="yes",1,0)*'Grading Scale'!E$3)+(IF(G588="yes",1,0)*'Grading Scale'!E$4)+(IF(H588="yes",1,0)*'Grading Scale'!E$5)+(IF(I588="yes",1,0)*'Grading Scale'!E$6)+(IF(J588="yes",1,0)*'Grading Scale'!E$7)+(IF(K588="yes",1,0)*'Grading Scale'!E$8)+(IF(L588="yes",1,0)*'Grading Scale'!E$9)+(IF(M588="yes",1,0)*'Grading Scale'!E$10)+(IF(N588="yes",1,0)*'Grading Scale'!E$11)+(IF(O588="yes",1,0)*'Grading Scale'!E$12)+(IF(P588="yes",1,0)*'Grading Scale'!E$13))/'Grading Scale'!E$14*100,0), "")</f>
        <v/>
      </c>
      <c r="T588" s="6" t="str">
        <f>IF(ISNUMBER(S588),VLOOKUP(S588,'Grading Scale'!$A$2:$B$14, 2), "")</f>
        <v/>
      </c>
      <c r="U588" s="7"/>
      <c r="V588" s="7"/>
      <c r="W588" s="7"/>
      <c r="X588" s="7"/>
      <c r="Y588" s="7"/>
      <c r="Z588" s="7"/>
      <c r="AA588" s="7"/>
      <c r="AB588" s="7"/>
      <c r="AC588" s="7"/>
      <c r="AD588" s="7"/>
      <c r="AE588" s="7"/>
      <c r="AF588" s="7"/>
      <c r="AG588" s="7"/>
      <c r="AH588" s="7"/>
      <c r="AI588" s="7"/>
      <c r="AJ588" s="7"/>
    </row>
    <row r="589">
      <c r="A589" s="7"/>
      <c r="B589" s="7"/>
      <c r="C589" s="7"/>
      <c r="D589" s="6" t="str">
        <f>IF(NOT(ISBLANK(C589)), VLOOKUP(C589,'Dataset Descriptions'!$A$2:$B$10, 2, FALSE), "")</f>
        <v/>
      </c>
      <c r="E589" s="7"/>
      <c r="F589" s="7"/>
      <c r="G589" s="7"/>
      <c r="H589" s="7"/>
      <c r="I589" s="7"/>
      <c r="J589" s="7"/>
      <c r="K589" s="7"/>
      <c r="L589" s="7"/>
      <c r="M589" s="7"/>
      <c r="N589" s="7"/>
      <c r="O589" s="7"/>
      <c r="P589" s="7"/>
      <c r="Q589" s="7"/>
      <c r="R589" s="8"/>
      <c r="S589" s="6" t="str">
        <f>IF(NOT(ISBLANK(E589)), ROUND(((IF(E589="yes",1,0)*'Grading Scale'!E$2)+(IF(F589="yes",1,0)*'Grading Scale'!E$3)+(IF(G589="yes",1,0)*'Grading Scale'!E$4)+(IF(H589="yes",1,0)*'Grading Scale'!E$5)+(IF(I589="yes",1,0)*'Grading Scale'!E$6)+(IF(J589="yes",1,0)*'Grading Scale'!E$7)+(IF(K589="yes",1,0)*'Grading Scale'!E$8)+(IF(L589="yes",1,0)*'Grading Scale'!E$9)+(IF(M589="yes",1,0)*'Grading Scale'!E$10)+(IF(N589="yes",1,0)*'Grading Scale'!E$11)+(IF(O589="yes",1,0)*'Grading Scale'!E$12)+(IF(P589="yes",1,0)*'Grading Scale'!E$13))/'Grading Scale'!E$14*100,0), "")</f>
        <v/>
      </c>
      <c r="T589" s="6" t="str">
        <f>IF(ISNUMBER(S589),VLOOKUP(S589,'Grading Scale'!$A$2:$B$14, 2), "")</f>
        <v/>
      </c>
      <c r="U589" s="7"/>
      <c r="V589" s="7"/>
      <c r="W589" s="7"/>
      <c r="X589" s="7"/>
      <c r="Y589" s="7"/>
      <c r="Z589" s="7"/>
      <c r="AA589" s="7"/>
      <c r="AB589" s="7"/>
      <c r="AC589" s="7"/>
      <c r="AD589" s="7"/>
      <c r="AE589" s="7"/>
      <c r="AF589" s="7"/>
      <c r="AG589" s="7"/>
      <c r="AH589" s="7"/>
      <c r="AI589" s="7"/>
      <c r="AJ589" s="7"/>
    </row>
    <row r="590">
      <c r="A590" s="7"/>
      <c r="B590" s="7"/>
      <c r="C590" s="7"/>
      <c r="D590" s="6" t="str">
        <f>IF(NOT(ISBLANK(C590)), VLOOKUP(C590,'Dataset Descriptions'!$A$2:$B$10, 2, FALSE), "")</f>
        <v/>
      </c>
      <c r="E590" s="7"/>
      <c r="F590" s="7"/>
      <c r="G590" s="7"/>
      <c r="H590" s="7"/>
      <c r="I590" s="7"/>
      <c r="J590" s="7"/>
      <c r="K590" s="7"/>
      <c r="L590" s="7"/>
      <c r="M590" s="7"/>
      <c r="N590" s="7"/>
      <c r="O590" s="7"/>
      <c r="P590" s="7"/>
      <c r="Q590" s="7"/>
      <c r="R590" s="8"/>
      <c r="S590" s="6" t="str">
        <f>IF(NOT(ISBLANK(E590)), ROUND(((IF(E590="yes",1,0)*'Grading Scale'!E$2)+(IF(F590="yes",1,0)*'Grading Scale'!E$3)+(IF(G590="yes",1,0)*'Grading Scale'!E$4)+(IF(H590="yes",1,0)*'Grading Scale'!E$5)+(IF(I590="yes",1,0)*'Grading Scale'!E$6)+(IF(J590="yes",1,0)*'Grading Scale'!E$7)+(IF(K590="yes",1,0)*'Grading Scale'!E$8)+(IF(L590="yes",1,0)*'Grading Scale'!E$9)+(IF(M590="yes",1,0)*'Grading Scale'!E$10)+(IF(N590="yes",1,0)*'Grading Scale'!E$11)+(IF(O590="yes",1,0)*'Grading Scale'!E$12)+(IF(P590="yes",1,0)*'Grading Scale'!E$13))/'Grading Scale'!E$14*100,0), "")</f>
        <v/>
      </c>
      <c r="T590" s="6" t="str">
        <f>IF(ISNUMBER(S590),VLOOKUP(S590,'Grading Scale'!$A$2:$B$14, 2), "")</f>
        <v/>
      </c>
      <c r="U590" s="7"/>
      <c r="V590" s="7"/>
      <c r="W590" s="7"/>
      <c r="X590" s="7"/>
      <c r="Y590" s="7"/>
      <c r="Z590" s="7"/>
      <c r="AA590" s="7"/>
      <c r="AB590" s="7"/>
      <c r="AC590" s="7"/>
      <c r="AD590" s="7"/>
      <c r="AE590" s="7"/>
      <c r="AF590" s="7"/>
      <c r="AG590" s="7"/>
      <c r="AH590" s="7"/>
      <c r="AI590" s="7"/>
      <c r="AJ590" s="7"/>
    </row>
    <row r="591">
      <c r="A591" s="7"/>
      <c r="B591" s="7"/>
      <c r="C591" s="7"/>
      <c r="D591" s="6" t="str">
        <f>IF(NOT(ISBLANK(C591)), VLOOKUP(C591,'Dataset Descriptions'!$A$2:$B$10, 2, FALSE), "")</f>
        <v/>
      </c>
      <c r="E591" s="7"/>
      <c r="F591" s="7"/>
      <c r="G591" s="7"/>
      <c r="H591" s="7"/>
      <c r="I591" s="7"/>
      <c r="J591" s="7"/>
      <c r="K591" s="7"/>
      <c r="L591" s="7"/>
      <c r="M591" s="7"/>
      <c r="N591" s="7"/>
      <c r="O591" s="7"/>
      <c r="P591" s="7"/>
      <c r="Q591" s="7"/>
      <c r="R591" s="8"/>
      <c r="S591" s="6" t="str">
        <f>IF(NOT(ISBLANK(E591)), ROUND(((IF(E591="yes",1,0)*'Grading Scale'!E$2)+(IF(F591="yes",1,0)*'Grading Scale'!E$3)+(IF(G591="yes",1,0)*'Grading Scale'!E$4)+(IF(H591="yes",1,0)*'Grading Scale'!E$5)+(IF(I591="yes",1,0)*'Grading Scale'!E$6)+(IF(J591="yes",1,0)*'Grading Scale'!E$7)+(IF(K591="yes",1,0)*'Grading Scale'!E$8)+(IF(L591="yes",1,0)*'Grading Scale'!E$9)+(IF(M591="yes",1,0)*'Grading Scale'!E$10)+(IF(N591="yes",1,0)*'Grading Scale'!E$11)+(IF(O591="yes",1,0)*'Grading Scale'!E$12)+(IF(P591="yes",1,0)*'Grading Scale'!E$13))/'Grading Scale'!E$14*100,0), "")</f>
        <v/>
      </c>
      <c r="T591" s="6" t="str">
        <f>IF(ISNUMBER(S591),VLOOKUP(S591,'Grading Scale'!$A$2:$B$14, 2), "")</f>
        <v/>
      </c>
      <c r="U591" s="7"/>
      <c r="V591" s="7"/>
      <c r="W591" s="7"/>
      <c r="X591" s="7"/>
      <c r="Y591" s="7"/>
      <c r="Z591" s="7"/>
      <c r="AA591" s="7"/>
      <c r="AB591" s="7"/>
      <c r="AC591" s="7"/>
      <c r="AD591" s="7"/>
      <c r="AE591" s="7"/>
      <c r="AF591" s="7"/>
      <c r="AG591" s="7"/>
      <c r="AH591" s="7"/>
      <c r="AI591" s="7"/>
      <c r="AJ591" s="7"/>
    </row>
    <row r="592">
      <c r="A592" s="7"/>
      <c r="B592" s="7"/>
      <c r="C592" s="7"/>
      <c r="D592" s="6" t="str">
        <f>IF(NOT(ISBLANK(C592)), VLOOKUP(C592,'Dataset Descriptions'!$A$2:$B$10, 2, FALSE), "")</f>
        <v/>
      </c>
      <c r="E592" s="7"/>
      <c r="F592" s="7"/>
      <c r="G592" s="7"/>
      <c r="H592" s="7"/>
      <c r="I592" s="7"/>
      <c r="J592" s="7"/>
      <c r="K592" s="7"/>
      <c r="L592" s="7"/>
      <c r="M592" s="7"/>
      <c r="N592" s="7"/>
      <c r="O592" s="7"/>
      <c r="P592" s="7"/>
      <c r="Q592" s="7"/>
      <c r="R592" s="8"/>
      <c r="S592" s="6" t="str">
        <f>IF(NOT(ISBLANK(E592)), ROUND(((IF(E592="yes",1,0)*'Grading Scale'!E$2)+(IF(F592="yes",1,0)*'Grading Scale'!E$3)+(IF(G592="yes",1,0)*'Grading Scale'!E$4)+(IF(H592="yes",1,0)*'Grading Scale'!E$5)+(IF(I592="yes",1,0)*'Grading Scale'!E$6)+(IF(J592="yes",1,0)*'Grading Scale'!E$7)+(IF(K592="yes",1,0)*'Grading Scale'!E$8)+(IF(L592="yes",1,0)*'Grading Scale'!E$9)+(IF(M592="yes",1,0)*'Grading Scale'!E$10)+(IF(N592="yes",1,0)*'Grading Scale'!E$11)+(IF(O592="yes",1,0)*'Grading Scale'!E$12)+(IF(P592="yes",1,0)*'Grading Scale'!E$13))/'Grading Scale'!E$14*100,0), "")</f>
        <v/>
      </c>
      <c r="T592" s="6" t="str">
        <f>IF(ISNUMBER(S592),VLOOKUP(S592,'Grading Scale'!$A$2:$B$14, 2), "")</f>
        <v/>
      </c>
      <c r="U592" s="7"/>
      <c r="V592" s="7"/>
      <c r="W592" s="7"/>
      <c r="X592" s="7"/>
      <c r="Y592" s="7"/>
      <c r="Z592" s="7"/>
      <c r="AA592" s="7"/>
      <c r="AB592" s="7"/>
      <c r="AC592" s="7"/>
      <c r="AD592" s="7"/>
      <c r="AE592" s="7"/>
      <c r="AF592" s="7"/>
      <c r="AG592" s="7"/>
      <c r="AH592" s="7"/>
      <c r="AI592" s="7"/>
      <c r="AJ592" s="7"/>
    </row>
    <row r="593">
      <c r="A593" s="7"/>
      <c r="B593" s="7"/>
      <c r="C593" s="7"/>
      <c r="D593" s="6" t="str">
        <f>IF(NOT(ISBLANK(C593)), VLOOKUP(C593,'Dataset Descriptions'!$A$2:$B$10, 2, FALSE), "")</f>
        <v/>
      </c>
      <c r="E593" s="7"/>
      <c r="F593" s="7"/>
      <c r="G593" s="7"/>
      <c r="H593" s="7"/>
      <c r="I593" s="7"/>
      <c r="J593" s="7"/>
      <c r="K593" s="7"/>
      <c r="L593" s="7"/>
      <c r="M593" s="7"/>
      <c r="N593" s="7"/>
      <c r="O593" s="7"/>
      <c r="P593" s="7"/>
      <c r="Q593" s="7"/>
      <c r="R593" s="8"/>
      <c r="S593" s="6" t="str">
        <f>IF(NOT(ISBLANK(E593)), ROUND(((IF(E593="yes",1,0)*'Grading Scale'!E$2)+(IF(F593="yes",1,0)*'Grading Scale'!E$3)+(IF(G593="yes",1,0)*'Grading Scale'!E$4)+(IF(H593="yes",1,0)*'Grading Scale'!E$5)+(IF(I593="yes",1,0)*'Grading Scale'!E$6)+(IF(J593="yes",1,0)*'Grading Scale'!E$7)+(IF(K593="yes",1,0)*'Grading Scale'!E$8)+(IF(L593="yes",1,0)*'Grading Scale'!E$9)+(IF(M593="yes",1,0)*'Grading Scale'!E$10)+(IF(N593="yes",1,0)*'Grading Scale'!E$11)+(IF(O593="yes",1,0)*'Grading Scale'!E$12)+(IF(P593="yes",1,0)*'Grading Scale'!E$13))/'Grading Scale'!E$14*100,0), "")</f>
        <v/>
      </c>
      <c r="T593" s="6" t="str">
        <f>IF(ISNUMBER(S593),VLOOKUP(S593,'Grading Scale'!$A$2:$B$14, 2), "")</f>
        <v/>
      </c>
      <c r="U593" s="7"/>
      <c r="V593" s="7"/>
      <c r="W593" s="7"/>
      <c r="X593" s="7"/>
      <c r="Y593" s="7"/>
      <c r="Z593" s="7"/>
      <c r="AA593" s="7"/>
      <c r="AB593" s="7"/>
      <c r="AC593" s="7"/>
      <c r="AD593" s="7"/>
      <c r="AE593" s="7"/>
      <c r="AF593" s="7"/>
      <c r="AG593" s="7"/>
      <c r="AH593" s="7"/>
      <c r="AI593" s="7"/>
      <c r="AJ593" s="7"/>
    </row>
    <row r="594">
      <c r="A594" s="7"/>
      <c r="B594" s="7"/>
      <c r="C594" s="7"/>
      <c r="D594" s="6" t="str">
        <f>IF(NOT(ISBLANK(C594)), VLOOKUP(C594,'Dataset Descriptions'!$A$2:$B$10, 2, FALSE), "")</f>
        <v/>
      </c>
      <c r="E594" s="7"/>
      <c r="F594" s="7"/>
      <c r="G594" s="7"/>
      <c r="H594" s="7"/>
      <c r="I594" s="7"/>
      <c r="J594" s="7"/>
      <c r="K594" s="7"/>
      <c r="L594" s="7"/>
      <c r="M594" s="7"/>
      <c r="N594" s="7"/>
      <c r="O594" s="7"/>
      <c r="P594" s="7"/>
      <c r="Q594" s="7"/>
      <c r="R594" s="8"/>
      <c r="S594" s="6" t="str">
        <f>IF(NOT(ISBLANK(E594)), ROUND(((IF(E594="yes",1,0)*'Grading Scale'!E$2)+(IF(F594="yes",1,0)*'Grading Scale'!E$3)+(IF(G594="yes",1,0)*'Grading Scale'!E$4)+(IF(H594="yes",1,0)*'Grading Scale'!E$5)+(IF(I594="yes",1,0)*'Grading Scale'!E$6)+(IF(J594="yes",1,0)*'Grading Scale'!E$7)+(IF(K594="yes",1,0)*'Grading Scale'!E$8)+(IF(L594="yes",1,0)*'Grading Scale'!E$9)+(IF(M594="yes",1,0)*'Grading Scale'!E$10)+(IF(N594="yes",1,0)*'Grading Scale'!E$11)+(IF(O594="yes",1,0)*'Grading Scale'!E$12)+(IF(P594="yes",1,0)*'Grading Scale'!E$13))/'Grading Scale'!E$14*100,0), "")</f>
        <v/>
      </c>
      <c r="T594" s="6" t="str">
        <f>IF(ISNUMBER(S594),VLOOKUP(S594,'Grading Scale'!$A$2:$B$14, 2), "")</f>
        <v/>
      </c>
      <c r="U594" s="7"/>
      <c r="V594" s="7"/>
      <c r="W594" s="7"/>
      <c r="X594" s="7"/>
      <c r="Y594" s="7"/>
      <c r="Z594" s="7"/>
      <c r="AA594" s="7"/>
      <c r="AB594" s="7"/>
      <c r="AC594" s="7"/>
      <c r="AD594" s="7"/>
      <c r="AE594" s="7"/>
      <c r="AF594" s="7"/>
      <c r="AG594" s="7"/>
      <c r="AH594" s="7"/>
      <c r="AI594" s="7"/>
      <c r="AJ594" s="7"/>
    </row>
    <row r="595">
      <c r="A595" s="7"/>
      <c r="B595" s="7"/>
      <c r="C595" s="7"/>
      <c r="D595" s="6" t="str">
        <f>IF(NOT(ISBLANK(C595)), VLOOKUP(C595,'Dataset Descriptions'!$A$2:$B$10, 2, FALSE), "")</f>
        <v/>
      </c>
      <c r="E595" s="7"/>
      <c r="F595" s="7"/>
      <c r="G595" s="7"/>
      <c r="H595" s="7"/>
      <c r="I595" s="7"/>
      <c r="J595" s="7"/>
      <c r="K595" s="7"/>
      <c r="L595" s="7"/>
      <c r="M595" s="7"/>
      <c r="N595" s="7"/>
      <c r="O595" s="7"/>
      <c r="P595" s="7"/>
      <c r="Q595" s="7"/>
      <c r="R595" s="8"/>
      <c r="S595" s="6" t="str">
        <f>IF(NOT(ISBLANK(E595)), ROUND(((IF(E595="yes",1,0)*'Grading Scale'!E$2)+(IF(F595="yes",1,0)*'Grading Scale'!E$3)+(IF(G595="yes",1,0)*'Grading Scale'!E$4)+(IF(H595="yes",1,0)*'Grading Scale'!E$5)+(IF(I595="yes",1,0)*'Grading Scale'!E$6)+(IF(J595="yes",1,0)*'Grading Scale'!E$7)+(IF(K595="yes",1,0)*'Grading Scale'!E$8)+(IF(L595="yes",1,0)*'Grading Scale'!E$9)+(IF(M595="yes",1,0)*'Grading Scale'!E$10)+(IF(N595="yes",1,0)*'Grading Scale'!E$11)+(IF(O595="yes",1,0)*'Grading Scale'!E$12)+(IF(P595="yes",1,0)*'Grading Scale'!E$13))/'Grading Scale'!E$14*100,0), "")</f>
        <v/>
      </c>
      <c r="T595" s="6" t="str">
        <f>IF(ISNUMBER(S595),VLOOKUP(S595,'Grading Scale'!$A$2:$B$14, 2), "")</f>
        <v/>
      </c>
      <c r="U595" s="7"/>
      <c r="V595" s="7"/>
      <c r="W595" s="7"/>
      <c r="X595" s="7"/>
      <c r="Y595" s="7"/>
      <c r="Z595" s="7"/>
      <c r="AA595" s="7"/>
      <c r="AB595" s="7"/>
      <c r="AC595" s="7"/>
      <c r="AD595" s="7"/>
      <c r="AE595" s="7"/>
      <c r="AF595" s="7"/>
      <c r="AG595" s="7"/>
      <c r="AH595" s="7"/>
      <c r="AI595" s="7"/>
      <c r="AJ595" s="7"/>
    </row>
    <row r="596">
      <c r="A596" s="7"/>
      <c r="B596" s="7"/>
      <c r="C596" s="7"/>
      <c r="D596" s="6" t="str">
        <f>IF(NOT(ISBLANK(C596)), VLOOKUP(C596,'Dataset Descriptions'!$A$2:$B$10, 2, FALSE), "")</f>
        <v/>
      </c>
      <c r="E596" s="7"/>
      <c r="F596" s="7"/>
      <c r="G596" s="7"/>
      <c r="H596" s="7"/>
      <c r="I596" s="7"/>
      <c r="J596" s="7"/>
      <c r="K596" s="7"/>
      <c r="L596" s="7"/>
      <c r="M596" s="7"/>
      <c r="N596" s="7"/>
      <c r="O596" s="7"/>
      <c r="P596" s="7"/>
      <c r="Q596" s="7"/>
      <c r="R596" s="8"/>
      <c r="S596" s="6" t="str">
        <f>IF(NOT(ISBLANK(E596)), ROUND(((IF(E596="yes",1,0)*'Grading Scale'!E$2)+(IF(F596="yes",1,0)*'Grading Scale'!E$3)+(IF(G596="yes",1,0)*'Grading Scale'!E$4)+(IF(H596="yes",1,0)*'Grading Scale'!E$5)+(IF(I596="yes",1,0)*'Grading Scale'!E$6)+(IF(J596="yes",1,0)*'Grading Scale'!E$7)+(IF(K596="yes",1,0)*'Grading Scale'!E$8)+(IF(L596="yes",1,0)*'Grading Scale'!E$9)+(IF(M596="yes",1,0)*'Grading Scale'!E$10)+(IF(N596="yes",1,0)*'Grading Scale'!E$11)+(IF(O596="yes",1,0)*'Grading Scale'!E$12)+(IF(P596="yes",1,0)*'Grading Scale'!E$13))/'Grading Scale'!E$14*100,0), "")</f>
        <v/>
      </c>
      <c r="T596" s="6" t="str">
        <f>IF(ISNUMBER(S596),VLOOKUP(S596,'Grading Scale'!$A$2:$B$14, 2), "")</f>
        <v/>
      </c>
      <c r="U596" s="7"/>
      <c r="V596" s="7"/>
      <c r="W596" s="7"/>
      <c r="X596" s="7"/>
      <c r="Y596" s="7"/>
      <c r="Z596" s="7"/>
      <c r="AA596" s="7"/>
      <c r="AB596" s="7"/>
      <c r="AC596" s="7"/>
      <c r="AD596" s="7"/>
      <c r="AE596" s="7"/>
      <c r="AF596" s="7"/>
      <c r="AG596" s="7"/>
      <c r="AH596" s="7"/>
      <c r="AI596" s="7"/>
      <c r="AJ596" s="7"/>
    </row>
    <row r="597">
      <c r="A597" s="7"/>
      <c r="B597" s="7"/>
      <c r="C597" s="7"/>
      <c r="D597" s="6" t="str">
        <f>IF(NOT(ISBLANK(C597)), VLOOKUP(C597,'Dataset Descriptions'!$A$2:$B$10, 2, FALSE), "")</f>
        <v/>
      </c>
      <c r="E597" s="7"/>
      <c r="F597" s="7"/>
      <c r="G597" s="7"/>
      <c r="H597" s="7"/>
      <c r="I597" s="7"/>
      <c r="J597" s="7"/>
      <c r="K597" s="7"/>
      <c r="L597" s="7"/>
      <c r="M597" s="7"/>
      <c r="N597" s="7"/>
      <c r="O597" s="7"/>
      <c r="P597" s="7"/>
      <c r="Q597" s="7"/>
      <c r="R597" s="8"/>
      <c r="S597" s="6" t="str">
        <f>IF(NOT(ISBLANK(E597)), ROUND(((IF(E597="yes",1,0)*'Grading Scale'!E$2)+(IF(F597="yes",1,0)*'Grading Scale'!E$3)+(IF(G597="yes",1,0)*'Grading Scale'!E$4)+(IF(H597="yes",1,0)*'Grading Scale'!E$5)+(IF(I597="yes",1,0)*'Grading Scale'!E$6)+(IF(J597="yes",1,0)*'Grading Scale'!E$7)+(IF(K597="yes",1,0)*'Grading Scale'!E$8)+(IF(L597="yes",1,0)*'Grading Scale'!E$9)+(IF(M597="yes",1,0)*'Grading Scale'!E$10)+(IF(N597="yes",1,0)*'Grading Scale'!E$11)+(IF(O597="yes",1,0)*'Grading Scale'!E$12)+(IF(P597="yes",1,0)*'Grading Scale'!E$13))/'Grading Scale'!E$14*100,0), "")</f>
        <v/>
      </c>
      <c r="T597" s="6" t="str">
        <f>IF(ISNUMBER(S597),VLOOKUP(S597,'Grading Scale'!$A$2:$B$14, 2), "")</f>
        <v/>
      </c>
      <c r="U597" s="7"/>
      <c r="V597" s="7"/>
      <c r="W597" s="7"/>
      <c r="X597" s="7"/>
      <c r="Y597" s="7"/>
      <c r="Z597" s="7"/>
      <c r="AA597" s="7"/>
      <c r="AB597" s="7"/>
      <c r="AC597" s="7"/>
      <c r="AD597" s="7"/>
      <c r="AE597" s="7"/>
      <c r="AF597" s="7"/>
      <c r="AG597" s="7"/>
      <c r="AH597" s="7"/>
      <c r="AI597" s="7"/>
      <c r="AJ597" s="7"/>
    </row>
    <row r="598">
      <c r="A598" s="7"/>
      <c r="B598" s="7"/>
      <c r="C598" s="7"/>
      <c r="D598" s="6" t="str">
        <f>IF(NOT(ISBLANK(C598)), VLOOKUP(C598,'Dataset Descriptions'!$A$2:$B$10, 2, FALSE), "")</f>
        <v/>
      </c>
      <c r="E598" s="7"/>
      <c r="F598" s="7"/>
      <c r="G598" s="7"/>
      <c r="H598" s="7"/>
      <c r="I598" s="7"/>
      <c r="J598" s="7"/>
      <c r="K598" s="7"/>
      <c r="L598" s="7"/>
      <c r="M598" s="7"/>
      <c r="N598" s="7"/>
      <c r="O598" s="7"/>
      <c r="P598" s="7"/>
      <c r="Q598" s="7"/>
      <c r="R598" s="8"/>
      <c r="S598" s="6" t="str">
        <f>IF(NOT(ISBLANK(E598)), ROUND(((IF(E598="yes",1,0)*'Grading Scale'!E$2)+(IF(F598="yes",1,0)*'Grading Scale'!E$3)+(IF(G598="yes",1,0)*'Grading Scale'!E$4)+(IF(H598="yes",1,0)*'Grading Scale'!E$5)+(IF(I598="yes",1,0)*'Grading Scale'!E$6)+(IF(J598="yes",1,0)*'Grading Scale'!E$7)+(IF(K598="yes",1,0)*'Grading Scale'!E$8)+(IF(L598="yes",1,0)*'Grading Scale'!E$9)+(IF(M598="yes",1,0)*'Grading Scale'!E$10)+(IF(N598="yes",1,0)*'Grading Scale'!E$11)+(IF(O598="yes",1,0)*'Grading Scale'!E$12)+(IF(P598="yes",1,0)*'Grading Scale'!E$13))/'Grading Scale'!E$14*100,0), "")</f>
        <v/>
      </c>
      <c r="T598" s="6" t="str">
        <f>IF(ISNUMBER(S598),VLOOKUP(S598,'Grading Scale'!$A$2:$B$14, 2), "")</f>
        <v/>
      </c>
      <c r="U598" s="7"/>
      <c r="V598" s="7"/>
      <c r="W598" s="7"/>
      <c r="X598" s="7"/>
      <c r="Y598" s="7"/>
      <c r="Z598" s="7"/>
      <c r="AA598" s="7"/>
      <c r="AB598" s="7"/>
      <c r="AC598" s="7"/>
      <c r="AD598" s="7"/>
      <c r="AE598" s="7"/>
      <c r="AF598" s="7"/>
      <c r="AG598" s="7"/>
      <c r="AH598" s="7"/>
      <c r="AI598" s="7"/>
      <c r="AJ598" s="7"/>
    </row>
    <row r="599">
      <c r="A599" s="7"/>
      <c r="B599" s="7"/>
      <c r="C599" s="7"/>
      <c r="D599" s="6" t="str">
        <f>IF(NOT(ISBLANK(C599)), VLOOKUP(C599,'Dataset Descriptions'!$A$2:$B$10, 2, FALSE), "")</f>
        <v/>
      </c>
      <c r="E599" s="7"/>
      <c r="F599" s="7"/>
      <c r="G599" s="7"/>
      <c r="H599" s="7"/>
      <c r="I599" s="7"/>
      <c r="J599" s="7"/>
      <c r="K599" s="7"/>
      <c r="L599" s="7"/>
      <c r="M599" s="7"/>
      <c r="N599" s="7"/>
      <c r="O599" s="7"/>
      <c r="P599" s="7"/>
      <c r="Q599" s="7"/>
      <c r="R599" s="8"/>
      <c r="S599" s="6" t="str">
        <f>IF(NOT(ISBLANK(E599)), ROUND(((IF(E599="yes",1,0)*'Grading Scale'!E$2)+(IF(F599="yes",1,0)*'Grading Scale'!E$3)+(IF(G599="yes",1,0)*'Grading Scale'!E$4)+(IF(H599="yes",1,0)*'Grading Scale'!E$5)+(IF(I599="yes",1,0)*'Grading Scale'!E$6)+(IF(J599="yes",1,0)*'Grading Scale'!E$7)+(IF(K599="yes",1,0)*'Grading Scale'!E$8)+(IF(L599="yes",1,0)*'Grading Scale'!E$9)+(IF(M599="yes",1,0)*'Grading Scale'!E$10)+(IF(N599="yes",1,0)*'Grading Scale'!E$11)+(IF(O599="yes",1,0)*'Grading Scale'!E$12)+(IF(P599="yes",1,0)*'Grading Scale'!E$13))/'Grading Scale'!E$14*100,0), "")</f>
        <v/>
      </c>
      <c r="T599" s="6" t="str">
        <f>IF(ISNUMBER(S599),VLOOKUP(S599,'Grading Scale'!$A$2:$B$14, 2), "")</f>
        <v/>
      </c>
      <c r="U599" s="7"/>
      <c r="V599" s="7"/>
      <c r="W599" s="7"/>
      <c r="X599" s="7"/>
      <c r="Y599" s="7"/>
      <c r="Z599" s="7"/>
      <c r="AA599" s="7"/>
      <c r="AB599" s="7"/>
      <c r="AC599" s="7"/>
      <c r="AD599" s="7"/>
      <c r="AE599" s="7"/>
      <c r="AF599" s="7"/>
      <c r="AG599" s="7"/>
      <c r="AH599" s="7"/>
      <c r="AI599" s="7"/>
      <c r="AJ599" s="7"/>
    </row>
    <row r="600">
      <c r="A600" s="7"/>
      <c r="B600" s="7"/>
      <c r="C600" s="7"/>
      <c r="D600" s="6" t="str">
        <f>IF(NOT(ISBLANK(C600)), VLOOKUP(C600,'Dataset Descriptions'!$A$2:$B$10, 2, FALSE), "")</f>
        <v/>
      </c>
      <c r="E600" s="7"/>
      <c r="F600" s="7"/>
      <c r="G600" s="7"/>
      <c r="H600" s="7"/>
      <c r="I600" s="7"/>
      <c r="J600" s="7"/>
      <c r="K600" s="7"/>
      <c r="L600" s="7"/>
      <c r="M600" s="7"/>
      <c r="N600" s="7"/>
      <c r="O600" s="7"/>
      <c r="P600" s="7"/>
      <c r="Q600" s="7"/>
      <c r="R600" s="8"/>
      <c r="S600" s="6" t="str">
        <f>IF(NOT(ISBLANK(E600)), ROUND(((IF(E600="yes",1,0)*'Grading Scale'!E$2)+(IF(F600="yes",1,0)*'Grading Scale'!E$3)+(IF(G600="yes",1,0)*'Grading Scale'!E$4)+(IF(H600="yes",1,0)*'Grading Scale'!E$5)+(IF(I600="yes",1,0)*'Grading Scale'!E$6)+(IF(J600="yes",1,0)*'Grading Scale'!E$7)+(IF(K600="yes",1,0)*'Grading Scale'!E$8)+(IF(L600="yes",1,0)*'Grading Scale'!E$9)+(IF(M600="yes",1,0)*'Grading Scale'!E$10)+(IF(N600="yes",1,0)*'Grading Scale'!E$11)+(IF(O600="yes",1,0)*'Grading Scale'!E$12)+(IF(P600="yes",1,0)*'Grading Scale'!E$13))/'Grading Scale'!E$14*100,0), "")</f>
        <v/>
      </c>
      <c r="T600" s="6" t="str">
        <f>IF(ISNUMBER(S600),VLOOKUP(S600,'Grading Scale'!$A$2:$B$14, 2), "")</f>
        <v/>
      </c>
      <c r="U600" s="7"/>
      <c r="V600" s="7"/>
      <c r="W600" s="7"/>
      <c r="X600" s="7"/>
      <c r="Y600" s="7"/>
      <c r="Z600" s="7"/>
      <c r="AA600" s="7"/>
      <c r="AB600" s="7"/>
      <c r="AC600" s="7"/>
      <c r="AD600" s="7"/>
      <c r="AE600" s="7"/>
      <c r="AF600" s="7"/>
      <c r="AG600" s="7"/>
      <c r="AH600" s="7"/>
      <c r="AI600" s="7"/>
      <c r="AJ600" s="7"/>
    </row>
    <row r="601">
      <c r="A601" s="7"/>
      <c r="B601" s="7"/>
      <c r="C601" s="7"/>
      <c r="D601" s="6" t="str">
        <f>IF(NOT(ISBLANK(C601)), VLOOKUP(C601,'Dataset Descriptions'!$A$2:$B$10, 2, FALSE), "")</f>
        <v/>
      </c>
      <c r="E601" s="7"/>
      <c r="F601" s="7"/>
      <c r="G601" s="7"/>
      <c r="H601" s="7"/>
      <c r="I601" s="7"/>
      <c r="J601" s="7"/>
      <c r="K601" s="7"/>
      <c r="L601" s="7"/>
      <c r="M601" s="7"/>
      <c r="N601" s="7"/>
      <c r="O601" s="7"/>
      <c r="P601" s="7"/>
      <c r="Q601" s="7"/>
      <c r="R601" s="8"/>
      <c r="S601" s="6" t="str">
        <f>IF(NOT(ISBLANK(E601)), ROUND(((IF(E601="yes",1,0)*'Grading Scale'!E$2)+(IF(F601="yes",1,0)*'Grading Scale'!E$3)+(IF(G601="yes",1,0)*'Grading Scale'!E$4)+(IF(H601="yes",1,0)*'Grading Scale'!E$5)+(IF(I601="yes",1,0)*'Grading Scale'!E$6)+(IF(J601="yes",1,0)*'Grading Scale'!E$7)+(IF(K601="yes",1,0)*'Grading Scale'!E$8)+(IF(L601="yes",1,0)*'Grading Scale'!E$9)+(IF(M601="yes",1,0)*'Grading Scale'!E$10)+(IF(N601="yes",1,0)*'Grading Scale'!E$11)+(IF(O601="yes",1,0)*'Grading Scale'!E$12)+(IF(P601="yes",1,0)*'Grading Scale'!E$13))/'Grading Scale'!E$14*100,0), "")</f>
        <v/>
      </c>
      <c r="T601" s="6" t="str">
        <f>IF(ISNUMBER(S601),VLOOKUP(S601,'Grading Scale'!$A$2:$B$14, 2), "")</f>
        <v/>
      </c>
      <c r="U601" s="7"/>
      <c r="V601" s="7"/>
      <c r="W601" s="7"/>
      <c r="X601" s="7"/>
      <c r="Y601" s="7"/>
      <c r="Z601" s="7"/>
      <c r="AA601" s="7"/>
      <c r="AB601" s="7"/>
      <c r="AC601" s="7"/>
      <c r="AD601" s="7"/>
      <c r="AE601" s="7"/>
      <c r="AF601" s="7"/>
      <c r="AG601" s="7"/>
      <c r="AH601" s="7"/>
      <c r="AI601" s="7"/>
      <c r="AJ601" s="7"/>
    </row>
    <row r="602">
      <c r="A602" s="7"/>
      <c r="B602" s="7"/>
      <c r="C602" s="7"/>
      <c r="D602" s="6" t="str">
        <f>IF(NOT(ISBLANK(C602)), VLOOKUP(C602,'Dataset Descriptions'!$A$2:$B$10, 2, FALSE), "")</f>
        <v/>
      </c>
      <c r="E602" s="7"/>
      <c r="F602" s="7"/>
      <c r="G602" s="7"/>
      <c r="H602" s="7"/>
      <c r="I602" s="7"/>
      <c r="J602" s="7"/>
      <c r="K602" s="7"/>
      <c r="L602" s="7"/>
      <c r="M602" s="7"/>
      <c r="N602" s="7"/>
      <c r="O602" s="7"/>
      <c r="P602" s="7"/>
      <c r="Q602" s="7"/>
      <c r="R602" s="8"/>
      <c r="S602" s="6" t="str">
        <f>IF(NOT(ISBLANK(E602)), ROUND(((IF(E602="yes",1,0)*'Grading Scale'!E$2)+(IF(F602="yes",1,0)*'Grading Scale'!E$3)+(IF(G602="yes",1,0)*'Grading Scale'!E$4)+(IF(H602="yes",1,0)*'Grading Scale'!E$5)+(IF(I602="yes",1,0)*'Grading Scale'!E$6)+(IF(J602="yes",1,0)*'Grading Scale'!E$7)+(IF(K602="yes",1,0)*'Grading Scale'!E$8)+(IF(L602="yes",1,0)*'Grading Scale'!E$9)+(IF(M602="yes",1,0)*'Grading Scale'!E$10)+(IF(N602="yes",1,0)*'Grading Scale'!E$11)+(IF(O602="yes",1,0)*'Grading Scale'!E$12)+(IF(P602="yes",1,0)*'Grading Scale'!E$13))/'Grading Scale'!E$14*100,0), "")</f>
        <v/>
      </c>
      <c r="T602" s="6" t="str">
        <f>IF(ISNUMBER(S602),VLOOKUP(S602,'Grading Scale'!$A$2:$B$14, 2), "")</f>
        <v/>
      </c>
      <c r="U602" s="7"/>
      <c r="V602" s="7"/>
      <c r="W602" s="7"/>
      <c r="X602" s="7"/>
      <c r="Y602" s="7"/>
      <c r="Z602" s="7"/>
      <c r="AA602" s="7"/>
      <c r="AB602" s="7"/>
      <c r="AC602" s="7"/>
      <c r="AD602" s="7"/>
      <c r="AE602" s="7"/>
      <c r="AF602" s="7"/>
      <c r="AG602" s="7"/>
      <c r="AH602" s="7"/>
      <c r="AI602" s="7"/>
      <c r="AJ602" s="7"/>
    </row>
    <row r="603">
      <c r="A603" s="7"/>
      <c r="B603" s="7"/>
      <c r="C603" s="7"/>
      <c r="D603" s="6" t="str">
        <f>IF(NOT(ISBLANK(C603)), VLOOKUP(C603,'Dataset Descriptions'!$A$2:$B$10, 2, FALSE), "")</f>
        <v/>
      </c>
      <c r="E603" s="7"/>
      <c r="F603" s="7"/>
      <c r="G603" s="7"/>
      <c r="H603" s="7"/>
      <c r="I603" s="7"/>
      <c r="J603" s="7"/>
      <c r="K603" s="7"/>
      <c r="L603" s="7"/>
      <c r="M603" s="7"/>
      <c r="N603" s="7"/>
      <c r="O603" s="7"/>
      <c r="P603" s="7"/>
      <c r="Q603" s="7"/>
      <c r="R603" s="8"/>
      <c r="S603" s="6" t="str">
        <f>IF(NOT(ISBLANK(E603)), ROUND(((IF(E603="yes",1,0)*'Grading Scale'!E$2)+(IF(F603="yes",1,0)*'Grading Scale'!E$3)+(IF(G603="yes",1,0)*'Grading Scale'!E$4)+(IF(H603="yes",1,0)*'Grading Scale'!E$5)+(IF(I603="yes",1,0)*'Grading Scale'!E$6)+(IF(J603="yes",1,0)*'Grading Scale'!E$7)+(IF(K603="yes",1,0)*'Grading Scale'!E$8)+(IF(L603="yes",1,0)*'Grading Scale'!E$9)+(IF(M603="yes",1,0)*'Grading Scale'!E$10)+(IF(N603="yes",1,0)*'Grading Scale'!E$11)+(IF(O603="yes",1,0)*'Grading Scale'!E$12)+(IF(P603="yes",1,0)*'Grading Scale'!E$13))/'Grading Scale'!E$14*100,0), "")</f>
        <v/>
      </c>
      <c r="T603" s="6" t="str">
        <f>IF(ISNUMBER(S603),VLOOKUP(S603,'Grading Scale'!$A$2:$B$14, 2), "")</f>
        <v/>
      </c>
      <c r="U603" s="7"/>
      <c r="V603" s="7"/>
      <c r="W603" s="7"/>
      <c r="X603" s="7"/>
      <c r="Y603" s="7"/>
      <c r="Z603" s="7"/>
      <c r="AA603" s="7"/>
      <c r="AB603" s="7"/>
      <c r="AC603" s="7"/>
      <c r="AD603" s="7"/>
      <c r="AE603" s="7"/>
      <c r="AF603" s="7"/>
      <c r="AG603" s="7"/>
      <c r="AH603" s="7"/>
      <c r="AI603" s="7"/>
      <c r="AJ603" s="7"/>
    </row>
    <row r="604">
      <c r="A604" s="7"/>
      <c r="B604" s="7"/>
      <c r="C604" s="7"/>
      <c r="D604" s="6" t="str">
        <f>IF(NOT(ISBLANK(C604)), VLOOKUP(C604,'Dataset Descriptions'!$A$2:$B$10, 2, FALSE), "")</f>
        <v/>
      </c>
      <c r="E604" s="7"/>
      <c r="F604" s="7"/>
      <c r="G604" s="7"/>
      <c r="H604" s="7"/>
      <c r="I604" s="7"/>
      <c r="J604" s="7"/>
      <c r="K604" s="7"/>
      <c r="L604" s="7"/>
      <c r="M604" s="7"/>
      <c r="N604" s="7"/>
      <c r="O604" s="7"/>
      <c r="P604" s="7"/>
      <c r="Q604" s="7"/>
      <c r="R604" s="8"/>
      <c r="S604" s="6" t="str">
        <f>IF(NOT(ISBLANK(E604)), ROUND(((IF(E604="yes",1,0)*'Grading Scale'!E$2)+(IF(F604="yes",1,0)*'Grading Scale'!E$3)+(IF(G604="yes",1,0)*'Grading Scale'!E$4)+(IF(H604="yes",1,0)*'Grading Scale'!E$5)+(IF(I604="yes",1,0)*'Grading Scale'!E$6)+(IF(J604="yes",1,0)*'Grading Scale'!E$7)+(IF(K604="yes",1,0)*'Grading Scale'!E$8)+(IF(L604="yes",1,0)*'Grading Scale'!E$9)+(IF(M604="yes",1,0)*'Grading Scale'!E$10)+(IF(N604="yes",1,0)*'Grading Scale'!E$11)+(IF(O604="yes",1,0)*'Grading Scale'!E$12)+(IF(P604="yes",1,0)*'Grading Scale'!E$13))/'Grading Scale'!E$14*100,0), "")</f>
        <v/>
      </c>
      <c r="T604" s="6" t="str">
        <f>IF(ISNUMBER(S604),VLOOKUP(S604,'Grading Scale'!$A$2:$B$14, 2), "")</f>
        <v/>
      </c>
      <c r="U604" s="7"/>
      <c r="V604" s="7"/>
      <c r="W604" s="7"/>
      <c r="X604" s="7"/>
      <c r="Y604" s="7"/>
      <c r="Z604" s="7"/>
      <c r="AA604" s="7"/>
      <c r="AB604" s="7"/>
      <c r="AC604" s="7"/>
      <c r="AD604" s="7"/>
      <c r="AE604" s="7"/>
      <c r="AF604" s="7"/>
      <c r="AG604" s="7"/>
      <c r="AH604" s="7"/>
      <c r="AI604" s="7"/>
      <c r="AJ604" s="7"/>
    </row>
    <row r="605">
      <c r="A605" s="7"/>
      <c r="B605" s="7"/>
      <c r="C605" s="7"/>
      <c r="D605" s="6" t="str">
        <f>IF(NOT(ISBLANK(C605)), VLOOKUP(C605,'Dataset Descriptions'!$A$2:$B$10, 2, FALSE), "")</f>
        <v/>
      </c>
      <c r="E605" s="7"/>
      <c r="F605" s="7"/>
      <c r="G605" s="7"/>
      <c r="H605" s="7"/>
      <c r="I605" s="7"/>
      <c r="J605" s="7"/>
      <c r="K605" s="7"/>
      <c r="L605" s="7"/>
      <c r="M605" s="7"/>
      <c r="N605" s="7"/>
      <c r="O605" s="7"/>
      <c r="P605" s="7"/>
      <c r="Q605" s="7"/>
      <c r="R605" s="8"/>
      <c r="S605" s="6" t="str">
        <f>IF(NOT(ISBLANK(E605)), ROUND(((IF(E605="yes",1,0)*'Grading Scale'!E$2)+(IF(F605="yes",1,0)*'Grading Scale'!E$3)+(IF(G605="yes",1,0)*'Grading Scale'!E$4)+(IF(H605="yes",1,0)*'Grading Scale'!E$5)+(IF(I605="yes",1,0)*'Grading Scale'!E$6)+(IF(J605="yes",1,0)*'Grading Scale'!E$7)+(IF(K605="yes",1,0)*'Grading Scale'!E$8)+(IF(L605="yes",1,0)*'Grading Scale'!E$9)+(IF(M605="yes",1,0)*'Grading Scale'!E$10)+(IF(N605="yes",1,0)*'Grading Scale'!E$11)+(IF(O605="yes",1,0)*'Grading Scale'!E$12)+(IF(P605="yes",1,0)*'Grading Scale'!E$13))/'Grading Scale'!E$14*100,0), "")</f>
        <v/>
      </c>
      <c r="T605" s="6" t="str">
        <f>IF(ISNUMBER(S605),VLOOKUP(S605,'Grading Scale'!$A$2:$B$14, 2), "")</f>
        <v/>
      </c>
      <c r="U605" s="7"/>
      <c r="V605" s="7"/>
      <c r="W605" s="7"/>
      <c r="X605" s="7"/>
      <c r="Y605" s="7"/>
      <c r="Z605" s="7"/>
      <c r="AA605" s="7"/>
      <c r="AB605" s="7"/>
      <c r="AC605" s="7"/>
      <c r="AD605" s="7"/>
      <c r="AE605" s="7"/>
      <c r="AF605" s="7"/>
      <c r="AG605" s="7"/>
      <c r="AH605" s="7"/>
      <c r="AI605" s="7"/>
      <c r="AJ605" s="7"/>
    </row>
    <row r="606">
      <c r="A606" s="7"/>
      <c r="B606" s="7"/>
      <c r="C606" s="7"/>
      <c r="D606" s="6" t="str">
        <f>IF(NOT(ISBLANK(C606)), VLOOKUP(C606,'Dataset Descriptions'!$A$2:$B$10, 2, FALSE), "")</f>
        <v/>
      </c>
      <c r="E606" s="7"/>
      <c r="F606" s="7"/>
      <c r="G606" s="7"/>
      <c r="H606" s="7"/>
      <c r="I606" s="7"/>
      <c r="J606" s="7"/>
      <c r="K606" s="7"/>
      <c r="L606" s="7"/>
      <c r="M606" s="7"/>
      <c r="N606" s="7"/>
      <c r="O606" s="7"/>
      <c r="P606" s="7"/>
      <c r="Q606" s="7"/>
      <c r="R606" s="8"/>
      <c r="S606" s="6" t="str">
        <f>IF(NOT(ISBLANK(E606)), ROUND(((IF(E606="yes",1,0)*'Grading Scale'!E$2)+(IF(F606="yes",1,0)*'Grading Scale'!E$3)+(IF(G606="yes",1,0)*'Grading Scale'!E$4)+(IF(H606="yes",1,0)*'Grading Scale'!E$5)+(IF(I606="yes",1,0)*'Grading Scale'!E$6)+(IF(J606="yes",1,0)*'Grading Scale'!E$7)+(IF(K606="yes",1,0)*'Grading Scale'!E$8)+(IF(L606="yes",1,0)*'Grading Scale'!E$9)+(IF(M606="yes",1,0)*'Grading Scale'!E$10)+(IF(N606="yes",1,0)*'Grading Scale'!E$11)+(IF(O606="yes",1,0)*'Grading Scale'!E$12)+(IF(P606="yes",1,0)*'Grading Scale'!E$13))/'Grading Scale'!E$14*100,0), "")</f>
        <v/>
      </c>
      <c r="T606" s="6" t="str">
        <f>IF(ISNUMBER(S606),VLOOKUP(S606,'Grading Scale'!$A$2:$B$14, 2), "")</f>
        <v/>
      </c>
      <c r="U606" s="7"/>
      <c r="V606" s="7"/>
      <c r="W606" s="7"/>
      <c r="X606" s="7"/>
      <c r="Y606" s="7"/>
      <c r="Z606" s="7"/>
      <c r="AA606" s="7"/>
      <c r="AB606" s="7"/>
      <c r="AC606" s="7"/>
      <c r="AD606" s="7"/>
      <c r="AE606" s="7"/>
      <c r="AF606" s="7"/>
      <c r="AG606" s="7"/>
      <c r="AH606" s="7"/>
      <c r="AI606" s="7"/>
      <c r="AJ606" s="7"/>
    </row>
    <row r="607">
      <c r="A607" s="7"/>
      <c r="B607" s="7"/>
      <c r="C607" s="7"/>
      <c r="D607" s="6" t="str">
        <f>IF(NOT(ISBLANK(C607)), VLOOKUP(C607,'Dataset Descriptions'!$A$2:$B$10, 2, FALSE), "")</f>
        <v/>
      </c>
      <c r="E607" s="7"/>
      <c r="F607" s="7"/>
      <c r="G607" s="7"/>
      <c r="H607" s="7"/>
      <c r="I607" s="7"/>
      <c r="J607" s="7"/>
      <c r="K607" s="7"/>
      <c r="L607" s="7"/>
      <c r="M607" s="7"/>
      <c r="N607" s="7"/>
      <c r="O607" s="7"/>
      <c r="P607" s="7"/>
      <c r="Q607" s="7"/>
      <c r="R607" s="8"/>
      <c r="S607" s="6" t="str">
        <f>IF(NOT(ISBLANK(E607)), ROUND(((IF(E607="yes",1,0)*'Grading Scale'!E$2)+(IF(F607="yes",1,0)*'Grading Scale'!E$3)+(IF(G607="yes",1,0)*'Grading Scale'!E$4)+(IF(H607="yes",1,0)*'Grading Scale'!E$5)+(IF(I607="yes",1,0)*'Grading Scale'!E$6)+(IF(J607="yes",1,0)*'Grading Scale'!E$7)+(IF(K607="yes",1,0)*'Grading Scale'!E$8)+(IF(L607="yes",1,0)*'Grading Scale'!E$9)+(IF(M607="yes",1,0)*'Grading Scale'!E$10)+(IF(N607="yes",1,0)*'Grading Scale'!E$11)+(IF(O607="yes",1,0)*'Grading Scale'!E$12)+(IF(P607="yes",1,0)*'Grading Scale'!E$13))/'Grading Scale'!E$14*100,0), "")</f>
        <v/>
      </c>
      <c r="T607" s="6" t="str">
        <f>IF(ISNUMBER(S607),VLOOKUP(S607,'Grading Scale'!$A$2:$B$14, 2), "")</f>
        <v/>
      </c>
      <c r="U607" s="7"/>
      <c r="V607" s="7"/>
      <c r="W607" s="7"/>
      <c r="X607" s="7"/>
      <c r="Y607" s="7"/>
      <c r="Z607" s="7"/>
      <c r="AA607" s="7"/>
      <c r="AB607" s="7"/>
      <c r="AC607" s="7"/>
      <c r="AD607" s="7"/>
      <c r="AE607" s="7"/>
      <c r="AF607" s="7"/>
      <c r="AG607" s="7"/>
      <c r="AH607" s="7"/>
      <c r="AI607" s="7"/>
      <c r="AJ607" s="7"/>
    </row>
    <row r="608">
      <c r="A608" s="7"/>
      <c r="B608" s="7"/>
      <c r="C608" s="7"/>
      <c r="D608" s="6" t="str">
        <f>IF(NOT(ISBLANK(C608)), VLOOKUP(C608,'Dataset Descriptions'!$A$2:$B$10, 2, FALSE), "")</f>
        <v/>
      </c>
      <c r="E608" s="7"/>
      <c r="F608" s="7"/>
      <c r="G608" s="7"/>
      <c r="H608" s="7"/>
      <c r="I608" s="7"/>
      <c r="J608" s="7"/>
      <c r="K608" s="7"/>
      <c r="L608" s="7"/>
      <c r="M608" s="7"/>
      <c r="N608" s="7"/>
      <c r="O608" s="7"/>
      <c r="P608" s="7"/>
      <c r="Q608" s="7"/>
      <c r="R608" s="8"/>
      <c r="S608" s="6" t="str">
        <f>IF(NOT(ISBLANK(E608)), ROUND(((IF(E608="yes",1,0)*'Grading Scale'!E$2)+(IF(F608="yes",1,0)*'Grading Scale'!E$3)+(IF(G608="yes",1,0)*'Grading Scale'!E$4)+(IF(H608="yes",1,0)*'Grading Scale'!E$5)+(IF(I608="yes",1,0)*'Grading Scale'!E$6)+(IF(J608="yes",1,0)*'Grading Scale'!E$7)+(IF(K608="yes",1,0)*'Grading Scale'!E$8)+(IF(L608="yes",1,0)*'Grading Scale'!E$9)+(IF(M608="yes",1,0)*'Grading Scale'!E$10)+(IF(N608="yes",1,0)*'Grading Scale'!E$11)+(IF(O608="yes",1,0)*'Grading Scale'!E$12)+(IF(P608="yes",1,0)*'Grading Scale'!E$13))/'Grading Scale'!E$14*100,0), "")</f>
        <v/>
      </c>
      <c r="T608" s="6" t="str">
        <f>IF(ISNUMBER(S608),VLOOKUP(S608,'Grading Scale'!$A$2:$B$14, 2), "")</f>
        <v/>
      </c>
      <c r="U608" s="7"/>
      <c r="V608" s="7"/>
      <c r="W608" s="7"/>
      <c r="X608" s="7"/>
      <c r="Y608" s="7"/>
      <c r="Z608" s="7"/>
      <c r="AA608" s="7"/>
      <c r="AB608" s="7"/>
      <c r="AC608" s="7"/>
      <c r="AD608" s="7"/>
      <c r="AE608" s="7"/>
      <c r="AF608" s="7"/>
      <c r="AG608" s="7"/>
      <c r="AH608" s="7"/>
      <c r="AI608" s="7"/>
      <c r="AJ608" s="7"/>
    </row>
    <row r="609">
      <c r="A609" s="7"/>
      <c r="B609" s="7"/>
      <c r="C609" s="7"/>
      <c r="D609" s="6" t="str">
        <f>IF(NOT(ISBLANK(C609)), VLOOKUP(C609,'Dataset Descriptions'!$A$2:$B$10, 2, FALSE), "")</f>
        <v/>
      </c>
      <c r="E609" s="7"/>
      <c r="F609" s="7"/>
      <c r="G609" s="7"/>
      <c r="H609" s="7"/>
      <c r="I609" s="7"/>
      <c r="J609" s="7"/>
      <c r="K609" s="7"/>
      <c r="L609" s="7"/>
      <c r="M609" s="7"/>
      <c r="N609" s="7"/>
      <c r="O609" s="7"/>
      <c r="P609" s="7"/>
      <c r="Q609" s="7"/>
      <c r="R609" s="8"/>
      <c r="S609" s="6" t="str">
        <f>IF(NOT(ISBLANK(E609)), ROUND(((IF(E609="yes",1,0)*'Grading Scale'!E$2)+(IF(F609="yes",1,0)*'Grading Scale'!E$3)+(IF(G609="yes",1,0)*'Grading Scale'!E$4)+(IF(H609="yes",1,0)*'Grading Scale'!E$5)+(IF(I609="yes",1,0)*'Grading Scale'!E$6)+(IF(J609="yes",1,0)*'Grading Scale'!E$7)+(IF(K609="yes",1,0)*'Grading Scale'!E$8)+(IF(L609="yes",1,0)*'Grading Scale'!E$9)+(IF(M609="yes",1,0)*'Grading Scale'!E$10)+(IF(N609="yes",1,0)*'Grading Scale'!E$11)+(IF(O609="yes",1,0)*'Grading Scale'!E$12)+(IF(P609="yes",1,0)*'Grading Scale'!E$13))/'Grading Scale'!E$14*100,0), "")</f>
        <v/>
      </c>
      <c r="T609" s="6" t="str">
        <f>IF(ISNUMBER(S609),VLOOKUP(S609,'Grading Scale'!$A$2:$B$14, 2), "")</f>
        <v/>
      </c>
      <c r="U609" s="7"/>
      <c r="V609" s="7"/>
      <c r="W609" s="7"/>
      <c r="X609" s="7"/>
      <c r="Y609" s="7"/>
      <c r="Z609" s="7"/>
      <c r="AA609" s="7"/>
      <c r="AB609" s="7"/>
      <c r="AC609" s="7"/>
      <c r="AD609" s="7"/>
      <c r="AE609" s="7"/>
      <c r="AF609" s="7"/>
      <c r="AG609" s="7"/>
      <c r="AH609" s="7"/>
      <c r="AI609" s="7"/>
      <c r="AJ609" s="7"/>
    </row>
    <row r="610">
      <c r="A610" s="7"/>
      <c r="B610" s="7"/>
      <c r="C610" s="7"/>
      <c r="D610" s="6" t="str">
        <f>IF(NOT(ISBLANK(C610)), VLOOKUP(C610,'Dataset Descriptions'!$A$2:$B$10, 2, FALSE), "")</f>
        <v/>
      </c>
      <c r="E610" s="7"/>
      <c r="F610" s="7"/>
      <c r="G610" s="7"/>
      <c r="H610" s="7"/>
      <c r="I610" s="7"/>
      <c r="J610" s="7"/>
      <c r="K610" s="7"/>
      <c r="L610" s="7"/>
      <c r="M610" s="7"/>
      <c r="N610" s="7"/>
      <c r="O610" s="7"/>
      <c r="P610" s="7"/>
      <c r="Q610" s="7"/>
      <c r="R610" s="8"/>
      <c r="S610" s="6" t="str">
        <f>IF(NOT(ISBLANK(E610)), ROUND(((IF(E610="yes",1,0)*'Grading Scale'!E$2)+(IF(F610="yes",1,0)*'Grading Scale'!E$3)+(IF(G610="yes",1,0)*'Grading Scale'!E$4)+(IF(H610="yes",1,0)*'Grading Scale'!E$5)+(IF(I610="yes",1,0)*'Grading Scale'!E$6)+(IF(J610="yes",1,0)*'Grading Scale'!E$7)+(IF(K610="yes",1,0)*'Grading Scale'!E$8)+(IF(L610="yes",1,0)*'Grading Scale'!E$9)+(IF(M610="yes",1,0)*'Grading Scale'!E$10)+(IF(N610="yes",1,0)*'Grading Scale'!E$11)+(IF(O610="yes",1,0)*'Grading Scale'!E$12)+(IF(P610="yes",1,0)*'Grading Scale'!E$13))/'Grading Scale'!E$14*100,0), "")</f>
        <v/>
      </c>
      <c r="T610" s="6" t="str">
        <f>IF(ISNUMBER(S610),VLOOKUP(S610,'Grading Scale'!$A$2:$B$14, 2), "")</f>
        <v/>
      </c>
      <c r="U610" s="7"/>
      <c r="V610" s="7"/>
      <c r="W610" s="7"/>
      <c r="X610" s="7"/>
      <c r="Y610" s="7"/>
      <c r="Z610" s="7"/>
      <c r="AA610" s="7"/>
      <c r="AB610" s="7"/>
      <c r="AC610" s="7"/>
      <c r="AD610" s="7"/>
      <c r="AE610" s="7"/>
      <c r="AF610" s="7"/>
      <c r="AG610" s="7"/>
      <c r="AH610" s="7"/>
      <c r="AI610" s="7"/>
      <c r="AJ610" s="7"/>
    </row>
    <row r="611">
      <c r="A611" s="7"/>
      <c r="B611" s="7"/>
      <c r="C611" s="7"/>
      <c r="D611" s="6" t="str">
        <f>IF(NOT(ISBLANK(C611)), VLOOKUP(C611,'Dataset Descriptions'!$A$2:$B$10, 2, FALSE), "")</f>
        <v/>
      </c>
      <c r="E611" s="7"/>
      <c r="F611" s="7"/>
      <c r="G611" s="7"/>
      <c r="H611" s="7"/>
      <c r="I611" s="7"/>
      <c r="J611" s="7"/>
      <c r="K611" s="7"/>
      <c r="L611" s="7"/>
      <c r="M611" s="7"/>
      <c r="N611" s="7"/>
      <c r="O611" s="7"/>
      <c r="P611" s="7"/>
      <c r="Q611" s="7"/>
      <c r="R611" s="8"/>
      <c r="S611" s="6" t="str">
        <f>IF(NOT(ISBLANK(E611)), ROUND(((IF(E611="yes",1,0)*'Grading Scale'!E$2)+(IF(F611="yes",1,0)*'Grading Scale'!E$3)+(IF(G611="yes",1,0)*'Grading Scale'!E$4)+(IF(H611="yes",1,0)*'Grading Scale'!E$5)+(IF(I611="yes",1,0)*'Grading Scale'!E$6)+(IF(J611="yes",1,0)*'Grading Scale'!E$7)+(IF(K611="yes",1,0)*'Grading Scale'!E$8)+(IF(L611="yes",1,0)*'Grading Scale'!E$9)+(IF(M611="yes",1,0)*'Grading Scale'!E$10)+(IF(N611="yes",1,0)*'Grading Scale'!E$11)+(IF(O611="yes",1,0)*'Grading Scale'!E$12)+(IF(P611="yes",1,0)*'Grading Scale'!E$13))/'Grading Scale'!E$14*100,0), "")</f>
        <v/>
      </c>
      <c r="T611" s="6" t="str">
        <f>IF(ISNUMBER(S611),VLOOKUP(S611,'Grading Scale'!$A$2:$B$14, 2), "")</f>
        <v/>
      </c>
      <c r="U611" s="7"/>
      <c r="V611" s="7"/>
      <c r="W611" s="7"/>
      <c r="X611" s="7"/>
      <c r="Y611" s="7"/>
      <c r="Z611" s="7"/>
      <c r="AA611" s="7"/>
      <c r="AB611" s="7"/>
      <c r="AC611" s="7"/>
      <c r="AD611" s="7"/>
      <c r="AE611" s="7"/>
      <c r="AF611" s="7"/>
      <c r="AG611" s="7"/>
      <c r="AH611" s="7"/>
      <c r="AI611" s="7"/>
      <c r="AJ611" s="7"/>
    </row>
    <row r="612">
      <c r="A612" s="7"/>
      <c r="B612" s="7"/>
      <c r="C612" s="7"/>
      <c r="D612" s="6" t="str">
        <f>IF(NOT(ISBLANK(C612)), VLOOKUP(C612,'Dataset Descriptions'!$A$2:$B$10, 2, FALSE), "")</f>
        <v/>
      </c>
      <c r="E612" s="7"/>
      <c r="F612" s="7"/>
      <c r="G612" s="7"/>
      <c r="H612" s="7"/>
      <c r="I612" s="7"/>
      <c r="J612" s="7"/>
      <c r="K612" s="7"/>
      <c r="L612" s="7"/>
      <c r="M612" s="7"/>
      <c r="N612" s="7"/>
      <c r="O612" s="7"/>
      <c r="P612" s="7"/>
      <c r="Q612" s="7"/>
      <c r="R612" s="8"/>
      <c r="S612" s="6" t="str">
        <f>IF(NOT(ISBLANK(E612)), ROUND(((IF(E612="yes",1,0)*'Grading Scale'!E$2)+(IF(F612="yes",1,0)*'Grading Scale'!E$3)+(IF(G612="yes",1,0)*'Grading Scale'!E$4)+(IF(H612="yes",1,0)*'Grading Scale'!E$5)+(IF(I612="yes",1,0)*'Grading Scale'!E$6)+(IF(J612="yes",1,0)*'Grading Scale'!E$7)+(IF(K612="yes",1,0)*'Grading Scale'!E$8)+(IF(L612="yes",1,0)*'Grading Scale'!E$9)+(IF(M612="yes",1,0)*'Grading Scale'!E$10)+(IF(N612="yes",1,0)*'Grading Scale'!E$11)+(IF(O612="yes",1,0)*'Grading Scale'!E$12)+(IF(P612="yes",1,0)*'Grading Scale'!E$13))/'Grading Scale'!E$14*100,0), "")</f>
        <v/>
      </c>
      <c r="T612" s="6" t="str">
        <f>IF(ISNUMBER(S612),VLOOKUP(S612,'Grading Scale'!$A$2:$B$14, 2), "")</f>
        <v/>
      </c>
      <c r="U612" s="7"/>
      <c r="V612" s="7"/>
      <c r="W612" s="7"/>
      <c r="X612" s="7"/>
      <c r="Y612" s="7"/>
      <c r="Z612" s="7"/>
      <c r="AA612" s="7"/>
      <c r="AB612" s="7"/>
      <c r="AC612" s="7"/>
      <c r="AD612" s="7"/>
      <c r="AE612" s="7"/>
      <c r="AF612" s="7"/>
      <c r="AG612" s="7"/>
      <c r="AH612" s="7"/>
      <c r="AI612" s="7"/>
      <c r="AJ612" s="7"/>
    </row>
    <row r="613">
      <c r="A613" s="7"/>
      <c r="B613" s="7"/>
      <c r="C613" s="7"/>
      <c r="D613" s="6" t="str">
        <f>IF(NOT(ISBLANK(C613)), VLOOKUP(C613,'Dataset Descriptions'!$A$2:$B$10, 2, FALSE), "")</f>
        <v/>
      </c>
      <c r="E613" s="7"/>
      <c r="F613" s="7"/>
      <c r="G613" s="7"/>
      <c r="H613" s="7"/>
      <c r="I613" s="7"/>
      <c r="J613" s="7"/>
      <c r="K613" s="7"/>
      <c r="L613" s="7"/>
      <c r="M613" s="7"/>
      <c r="N613" s="7"/>
      <c r="O613" s="7"/>
      <c r="P613" s="7"/>
      <c r="Q613" s="7"/>
      <c r="R613" s="8"/>
      <c r="S613" s="6" t="str">
        <f>IF(NOT(ISBLANK(E613)), ROUND(((IF(E613="yes",1,0)*'Grading Scale'!E$2)+(IF(F613="yes",1,0)*'Grading Scale'!E$3)+(IF(G613="yes",1,0)*'Grading Scale'!E$4)+(IF(H613="yes",1,0)*'Grading Scale'!E$5)+(IF(I613="yes",1,0)*'Grading Scale'!E$6)+(IF(J613="yes",1,0)*'Grading Scale'!E$7)+(IF(K613="yes",1,0)*'Grading Scale'!E$8)+(IF(L613="yes",1,0)*'Grading Scale'!E$9)+(IF(M613="yes",1,0)*'Grading Scale'!E$10)+(IF(N613="yes",1,0)*'Grading Scale'!E$11)+(IF(O613="yes",1,0)*'Grading Scale'!E$12)+(IF(P613="yes",1,0)*'Grading Scale'!E$13))/'Grading Scale'!E$14*100,0), "")</f>
        <v/>
      </c>
      <c r="T613" s="6" t="str">
        <f>IF(ISNUMBER(S613),VLOOKUP(S613,'Grading Scale'!$A$2:$B$14, 2), "")</f>
        <v/>
      </c>
      <c r="U613" s="7"/>
      <c r="V613" s="7"/>
      <c r="W613" s="7"/>
      <c r="X613" s="7"/>
      <c r="Y613" s="7"/>
      <c r="Z613" s="7"/>
      <c r="AA613" s="7"/>
      <c r="AB613" s="7"/>
      <c r="AC613" s="7"/>
      <c r="AD613" s="7"/>
      <c r="AE613" s="7"/>
      <c r="AF613" s="7"/>
      <c r="AG613" s="7"/>
      <c r="AH613" s="7"/>
      <c r="AI613" s="7"/>
      <c r="AJ613" s="7"/>
    </row>
    <row r="614">
      <c r="A614" s="7"/>
      <c r="B614" s="7"/>
      <c r="C614" s="7"/>
      <c r="D614" s="6" t="str">
        <f>IF(NOT(ISBLANK(C614)), VLOOKUP(C614,'Dataset Descriptions'!$A$2:$B$10, 2, FALSE), "")</f>
        <v/>
      </c>
      <c r="E614" s="7"/>
      <c r="F614" s="7"/>
      <c r="G614" s="7"/>
      <c r="H614" s="7"/>
      <c r="I614" s="7"/>
      <c r="J614" s="7"/>
      <c r="K614" s="7"/>
      <c r="L614" s="7"/>
      <c r="M614" s="7"/>
      <c r="N614" s="7"/>
      <c r="O614" s="7"/>
      <c r="P614" s="7"/>
      <c r="Q614" s="7"/>
      <c r="R614" s="8"/>
      <c r="S614" s="6" t="str">
        <f>IF(NOT(ISBLANK(E614)), ROUND(((IF(E614="yes",1,0)*'Grading Scale'!E$2)+(IF(F614="yes",1,0)*'Grading Scale'!E$3)+(IF(G614="yes",1,0)*'Grading Scale'!E$4)+(IF(H614="yes",1,0)*'Grading Scale'!E$5)+(IF(I614="yes",1,0)*'Grading Scale'!E$6)+(IF(J614="yes",1,0)*'Grading Scale'!E$7)+(IF(K614="yes",1,0)*'Grading Scale'!E$8)+(IF(L614="yes",1,0)*'Grading Scale'!E$9)+(IF(M614="yes",1,0)*'Grading Scale'!E$10)+(IF(N614="yes",1,0)*'Grading Scale'!E$11)+(IF(O614="yes",1,0)*'Grading Scale'!E$12)+(IF(P614="yes",1,0)*'Grading Scale'!E$13))/'Grading Scale'!E$14*100,0), "")</f>
        <v/>
      </c>
      <c r="T614" s="6" t="str">
        <f>IF(ISNUMBER(S614),VLOOKUP(S614,'Grading Scale'!$A$2:$B$14, 2), "")</f>
        <v/>
      </c>
      <c r="U614" s="7"/>
      <c r="V614" s="7"/>
      <c r="W614" s="7"/>
      <c r="X614" s="7"/>
      <c r="Y614" s="7"/>
      <c r="Z614" s="7"/>
      <c r="AA614" s="7"/>
      <c r="AB614" s="7"/>
      <c r="AC614" s="7"/>
      <c r="AD614" s="7"/>
      <c r="AE614" s="7"/>
      <c r="AF614" s="7"/>
      <c r="AG614" s="7"/>
      <c r="AH614" s="7"/>
      <c r="AI614" s="7"/>
      <c r="AJ614" s="7"/>
    </row>
    <row r="615">
      <c r="A615" s="7"/>
      <c r="B615" s="7"/>
      <c r="C615" s="7"/>
      <c r="D615" s="6" t="str">
        <f>IF(NOT(ISBLANK(C615)), VLOOKUP(C615,'Dataset Descriptions'!$A$2:$B$10, 2, FALSE), "")</f>
        <v/>
      </c>
      <c r="E615" s="7"/>
      <c r="F615" s="7"/>
      <c r="G615" s="7"/>
      <c r="H615" s="7"/>
      <c r="I615" s="7"/>
      <c r="J615" s="7"/>
      <c r="K615" s="7"/>
      <c r="L615" s="7"/>
      <c r="M615" s="7"/>
      <c r="N615" s="7"/>
      <c r="O615" s="7"/>
      <c r="P615" s="7"/>
      <c r="Q615" s="7"/>
      <c r="R615" s="8"/>
      <c r="S615" s="6" t="str">
        <f>IF(NOT(ISBLANK(E615)), ROUND(((IF(E615="yes",1,0)*'Grading Scale'!E$2)+(IF(F615="yes",1,0)*'Grading Scale'!E$3)+(IF(G615="yes",1,0)*'Grading Scale'!E$4)+(IF(H615="yes",1,0)*'Grading Scale'!E$5)+(IF(I615="yes",1,0)*'Grading Scale'!E$6)+(IF(J615="yes",1,0)*'Grading Scale'!E$7)+(IF(K615="yes",1,0)*'Grading Scale'!E$8)+(IF(L615="yes",1,0)*'Grading Scale'!E$9)+(IF(M615="yes",1,0)*'Grading Scale'!E$10)+(IF(N615="yes",1,0)*'Grading Scale'!E$11)+(IF(O615="yes",1,0)*'Grading Scale'!E$12)+(IF(P615="yes",1,0)*'Grading Scale'!E$13))/'Grading Scale'!E$14*100,0), "")</f>
        <v/>
      </c>
      <c r="T615" s="6" t="str">
        <f>IF(ISNUMBER(S615),VLOOKUP(S615,'Grading Scale'!$A$2:$B$14, 2), "")</f>
        <v/>
      </c>
      <c r="U615" s="7"/>
      <c r="V615" s="7"/>
      <c r="W615" s="7"/>
      <c r="X615" s="7"/>
      <c r="Y615" s="7"/>
      <c r="Z615" s="7"/>
      <c r="AA615" s="7"/>
      <c r="AB615" s="7"/>
      <c r="AC615" s="7"/>
      <c r="AD615" s="7"/>
      <c r="AE615" s="7"/>
      <c r="AF615" s="7"/>
      <c r="AG615" s="7"/>
      <c r="AH615" s="7"/>
      <c r="AI615" s="7"/>
      <c r="AJ615" s="7"/>
    </row>
    <row r="616">
      <c r="A616" s="7"/>
      <c r="B616" s="7"/>
      <c r="C616" s="7"/>
      <c r="D616" s="6" t="str">
        <f>IF(NOT(ISBLANK(C616)), VLOOKUP(C616,'Dataset Descriptions'!$A$2:$B$10, 2, FALSE), "")</f>
        <v/>
      </c>
      <c r="E616" s="7"/>
      <c r="F616" s="7"/>
      <c r="G616" s="7"/>
      <c r="H616" s="7"/>
      <c r="I616" s="7"/>
      <c r="J616" s="7"/>
      <c r="K616" s="7"/>
      <c r="L616" s="7"/>
      <c r="M616" s="7"/>
      <c r="N616" s="7"/>
      <c r="O616" s="7"/>
      <c r="P616" s="7"/>
      <c r="Q616" s="7"/>
      <c r="R616" s="8"/>
      <c r="S616" s="6" t="str">
        <f>IF(NOT(ISBLANK(E616)), ROUND(((IF(E616="yes",1,0)*'Grading Scale'!E$2)+(IF(F616="yes",1,0)*'Grading Scale'!E$3)+(IF(G616="yes",1,0)*'Grading Scale'!E$4)+(IF(H616="yes",1,0)*'Grading Scale'!E$5)+(IF(I616="yes",1,0)*'Grading Scale'!E$6)+(IF(J616="yes",1,0)*'Grading Scale'!E$7)+(IF(K616="yes",1,0)*'Grading Scale'!E$8)+(IF(L616="yes",1,0)*'Grading Scale'!E$9)+(IF(M616="yes",1,0)*'Grading Scale'!E$10)+(IF(N616="yes",1,0)*'Grading Scale'!E$11)+(IF(O616="yes",1,0)*'Grading Scale'!E$12)+(IF(P616="yes",1,0)*'Grading Scale'!E$13))/'Grading Scale'!E$14*100,0), "")</f>
        <v/>
      </c>
      <c r="T616" s="6" t="str">
        <f>IF(ISNUMBER(S616),VLOOKUP(S616,'Grading Scale'!$A$2:$B$14, 2), "")</f>
        <v/>
      </c>
      <c r="U616" s="7"/>
      <c r="V616" s="7"/>
      <c r="W616" s="7"/>
      <c r="X616" s="7"/>
      <c r="Y616" s="7"/>
      <c r="Z616" s="7"/>
      <c r="AA616" s="7"/>
      <c r="AB616" s="7"/>
      <c r="AC616" s="7"/>
      <c r="AD616" s="7"/>
      <c r="AE616" s="7"/>
      <c r="AF616" s="7"/>
      <c r="AG616" s="7"/>
      <c r="AH616" s="7"/>
      <c r="AI616" s="7"/>
      <c r="AJ616" s="7"/>
    </row>
    <row r="617">
      <c r="A617" s="7"/>
      <c r="B617" s="7"/>
      <c r="C617" s="7"/>
      <c r="D617" s="6" t="str">
        <f>IF(NOT(ISBLANK(C617)), VLOOKUP(C617,'Dataset Descriptions'!$A$2:$B$10, 2, FALSE), "")</f>
        <v/>
      </c>
      <c r="E617" s="7"/>
      <c r="F617" s="7"/>
      <c r="G617" s="7"/>
      <c r="H617" s="7"/>
      <c r="I617" s="7"/>
      <c r="J617" s="7"/>
      <c r="K617" s="7"/>
      <c r="L617" s="7"/>
      <c r="M617" s="7"/>
      <c r="N617" s="7"/>
      <c r="O617" s="7"/>
      <c r="P617" s="7"/>
      <c r="Q617" s="7"/>
      <c r="R617" s="8"/>
      <c r="S617" s="6" t="str">
        <f>IF(NOT(ISBLANK(E617)), ROUND(((IF(E617="yes",1,0)*'Grading Scale'!E$2)+(IF(F617="yes",1,0)*'Grading Scale'!E$3)+(IF(G617="yes",1,0)*'Grading Scale'!E$4)+(IF(H617="yes",1,0)*'Grading Scale'!E$5)+(IF(I617="yes",1,0)*'Grading Scale'!E$6)+(IF(J617="yes",1,0)*'Grading Scale'!E$7)+(IF(K617="yes",1,0)*'Grading Scale'!E$8)+(IF(L617="yes",1,0)*'Grading Scale'!E$9)+(IF(M617="yes",1,0)*'Grading Scale'!E$10)+(IF(N617="yes",1,0)*'Grading Scale'!E$11)+(IF(O617="yes",1,0)*'Grading Scale'!E$12)+(IF(P617="yes",1,0)*'Grading Scale'!E$13))/'Grading Scale'!E$14*100,0), "")</f>
        <v/>
      </c>
      <c r="T617" s="6" t="str">
        <f>IF(ISNUMBER(S617),VLOOKUP(S617,'Grading Scale'!$A$2:$B$14, 2), "")</f>
        <v/>
      </c>
      <c r="U617" s="7"/>
      <c r="V617" s="7"/>
      <c r="W617" s="7"/>
      <c r="X617" s="7"/>
      <c r="Y617" s="7"/>
      <c r="Z617" s="7"/>
      <c r="AA617" s="7"/>
      <c r="AB617" s="7"/>
      <c r="AC617" s="7"/>
      <c r="AD617" s="7"/>
      <c r="AE617" s="7"/>
      <c r="AF617" s="7"/>
      <c r="AG617" s="7"/>
      <c r="AH617" s="7"/>
      <c r="AI617" s="7"/>
      <c r="AJ617" s="7"/>
    </row>
    <row r="618">
      <c r="A618" s="7"/>
      <c r="B618" s="7"/>
      <c r="C618" s="7"/>
      <c r="D618" s="6" t="str">
        <f>IF(NOT(ISBLANK(C618)), VLOOKUP(C618,'Dataset Descriptions'!$A$2:$B$10, 2, FALSE), "")</f>
        <v/>
      </c>
      <c r="E618" s="7"/>
      <c r="F618" s="7"/>
      <c r="G618" s="7"/>
      <c r="H618" s="7"/>
      <c r="I618" s="7"/>
      <c r="J618" s="7"/>
      <c r="K618" s="7"/>
      <c r="L618" s="7"/>
      <c r="M618" s="7"/>
      <c r="N618" s="7"/>
      <c r="O618" s="7"/>
      <c r="P618" s="7"/>
      <c r="Q618" s="7"/>
      <c r="R618" s="8"/>
      <c r="S618" s="6" t="str">
        <f>IF(NOT(ISBLANK(E618)), ROUND(((IF(E618="yes",1,0)*'Grading Scale'!E$2)+(IF(F618="yes",1,0)*'Grading Scale'!E$3)+(IF(G618="yes",1,0)*'Grading Scale'!E$4)+(IF(H618="yes",1,0)*'Grading Scale'!E$5)+(IF(I618="yes",1,0)*'Grading Scale'!E$6)+(IF(J618="yes",1,0)*'Grading Scale'!E$7)+(IF(K618="yes",1,0)*'Grading Scale'!E$8)+(IF(L618="yes",1,0)*'Grading Scale'!E$9)+(IF(M618="yes",1,0)*'Grading Scale'!E$10)+(IF(N618="yes",1,0)*'Grading Scale'!E$11)+(IF(O618="yes",1,0)*'Grading Scale'!E$12)+(IF(P618="yes",1,0)*'Grading Scale'!E$13))/'Grading Scale'!E$14*100,0), "")</f>
        <v/>
      </c>
      <c r="T618" s="6" t="str">
        <f>IF(ISNUMBER(S618),VLOOKUP(S618,'Grading Scale'!$A$2:$B$14, 2), "")</f>
        <v/>
      </c>
      <c r="U618" s="7"/>
      <c r="V618" s="7"/>
      <c r="W618" s="7"/>
      <c r="X618" s="7"/>
      <c r="Y618" s="7"/>
      <c r="Z618" s="7"/>
      <c r="AA618" s="7"/>
      <c r="AB618" s="7"/>
      <c r="AC618" s="7"/>
      <c r="AD618" s="7"/>
      <c r="AE618" s="7"/>
      <c r="AF618" s="7"/>
      <c r="AG618" s="7"/>
      <c r="AH618" s="7"/>
      <c r="AI618" s="7"/>
      <c r="AJ618" s="7"/>
    </row>
    <row r="619">
      <c r="A619" s="7"/>
      <c r="B619" s="7"/>
      <c r="C619" s="7"/>
      <c r="D619" s="6" t="str">
        <f>IF(NOT(ISBLANK(C619)), VLOOKUP(C619,'Dataset Descriptions'!$A$2:$B$10, 2, FALSE), "")</f>
        <v/>
      </c>
      <c r="E619" s="7"/>
      <c r="F619" s="7"/>
      <c r="G619" s="7"/>
      <c r="H619" s="7"/>
      <c r="I619" s="7"/>
      <c r="J619" s="7"/>
      <c r="K619" s="7"/>
      <c r="L619" s="7"/>
      <c r="M619" s="7"/>
      <c r="N619" s="7"/>
      <c r="O619" s="7"/>
      <c r="P619" s="7"/>
      <c r="Q619" s="7"/>
      <c r="R619" s="8"/>
      <c r="S619" s="6" t="str">
        <f>IF(NOT(ISBLANK(E619)), ROUND(((IF(E619="yes",1,0)*'Grading Scale'!E$2)+(IF(F619="yes",1,0)*'Grading Scale'!E$3)+(IF(G619="yes",1,0)*'Grading Scale'!E$4)+(IF(H619="yes",1,0)*'Grading Scale'!E$5)+(IF(I619="yes",1,0)*'Grading Scale'!E$6)+(IF(J619="yes",1,0)*'Grading Scale'!E$7)+(IF(K619="yes",1,0)*'Grading Scale'!E$8)+(IF(L619="yes",1,0)*'Grading Scale'!E$9)+(IF(M619="yes",1,0)*'Grading Scale'!E$10)+(IF(N619="yes",1,0)*'Grading Scale'!E$11)+(IF(O619="yes",1,0)*'Grading Scale'!E$12)+(IF(P619="yes",1,0)*'Grading Scale'!E$13))/'Grading Scale'!E$14*100,0), "")</f>
        <v/>
      </c>
      <c r="T619" s="6" t="str">
        <f>IF(ISNUMBER(S619),VLOOKUP(S619,'Grading Scale'!$A$2:$B$14, 2), "")</f>
        <v/>
      </c>
      <c r="U619" s="7"/>
      <c r="V619" s="7"/>
      <c r="W619" s="7"/>
      <c r="X619" s="7"/>
      <c r="Y619" s="7"/>
      <c r="Z619" s="7"/>
      <c r="AA619" s="7"/>
      <c r="AB619" s="7"/>
      <c r="AC619" s="7"/>
      <c r="AD619" s="7"/>
      <c r="AE619" s="7"/>
      <c r="AF619" s="7"/>
      <c r="AG619" s="7"/>
      <c r="AH619" s="7"/>
      <c r="AI619" s="7"/>
      <c r="AJ619" s="7"/>
    </row>
    <row r="620">
      <c r="A620" s="7"/>
      <c r="B620" s="7"/>
      <c r="C620" s="7"/>
      <c r="D620" s="6" t="str">
        <f>IF(NOT(ISBLANK(C620)), VLOOKUP(C620,'Dataset Descriptions'!$A$2:$B$10, 2, FALSE), "")</f>
        <v/>
      </c>
      <c r="E620" s="7"/>
      <c r="F620" s="7"/>
      <c r="G620" s="7"/>
      <c r="H620" s="7"/>
      <c r="I620" s="7"/>
      <c r="J620" s="7"/>
      <c r="K620" s="7"/>
      <c r="L620" s="7"/>
      <c r="M620" s="7"/>
      <c r="N620" s="7"/>
      <c r="O620" s="7"/>
      <c r="P620" s="7"/>
      <c r="Q620" s="7"/>
      <c r="R620" s="8"/>
      <c r="S620" s="6" t="str">
        <f>IF(NOT(ISBLANK(E620)), ROUND(((IF(E620="yes",1,0)*'Grading Scale'!E$2)+(IF(F620="yes",1,0)*'Grading Scale'!E$3)+(IF(G620="yes",1,0)*'Grading Scale'!E$4)+(IF(H620="yes",1,0)*'Grading Scale'!E$5)+(IF(I620="yes",1,0)*'Grading Scale'!E$6)+(IF(J620="yes",1,0)*'Grading Scale'!E$7)+(IF(K620="yes",1,0)*'Grading Scale'!E$8)+(IF(L620="yes",1,0)*'Grading Scale'!E$9)+(IF(M620="yes",1,0)*'Grading Scale'!E$10)+(IF(N620="yes",1,0)*'Grading Scale'!E$11)+(IF(O620="yes",1,0)*'Grading Scale'!E$12)+(IF(P620="yes",1,0)*'Grading Scale'!E$13))/'Grading Scale'!E$14*100,0), "")</f>
        <v/>
      </c>
      <c r="T620" s="6" t="str">
        <f>IF(ISNUMBER(S620),VLOOKUP(S620,'Grading Scale'!$A$2:$B$14, 2), "")</f>
        <v/>
      </c>
      <c r="U620" s="7"/>
      <c r="V620" s="7"/>
      <c r="W620" s="7"/>
      <c r="X620" s="7"/>
      <c r="Y620" s="7"/>
      <c r="Z620" s="7"/>
      <c r="AA620" s="7"/>
      <c r="AB620" s="7"/>
      <c r="AC620" s="7"/>
      <c r="AD620" s="7"/>
      <c r="AE620" s="7"/>
      <c r="AF620" s="7"/>
      <c r="AG620" s="7"/>
      <c r="AH620" s="7"/>
      <c r="AI620" s="7"/>
      <c r="AJ620" s="7"/>
    </row>
    <row r="621">
      <c r="A621" s="7"/>
      <c r="B621" s="7"/>
      <c r="C621" s="7"/>
      <c r="D621" s="6" t="str">
        <f>IF(NOT(ISBLANK(C621)), VLOOKUP(C621,'Dataset Descriptions'!$A$2:$B$10, 2, FALSE), "")</f>
        <v/>
      </c>
      <c r="E621" s="7"/>
      <c r="F621" s="7"/>
      <c r="G621" s="7"/>
      <c r="H621" s="7"/>
      <c r="I621" s="7"/>
      <c r="J621" s="7"/>
      <c r="K621" s="7"/>
      <c r="L621" s="7"/>
      <c r="M621" s="7"/>
      <c r="N621" s="7"/>
      <c r="O621" s="7"/>
      <c r="P621" s="7"/>
      <c r="Q621" s="7"/>
      <c r="R621" s="8"/>
      <c r="S621" s="6" t="str">
        <f>IF(NOT(ISBLANK(E621)), ROUND(((IF(E621="yes",1,0)*'Grading Scale'!E$2)+(IF(F621="yes",1,0)*'Grading Scale'!E$3)+(IF(G621="yes",1,0)*'Grading Scale'!E$4)+(IF(H621="yes",1,0)*'Grading Scale'!E$5)+(IF(I621="yes",1,0)*'Grading Scale'!E$6)+(IF(J621="yes",1,0)*'Grading Scale'!E$7)+(IF(K621="yes",1,0)*'Grading Scale'!E$8)+(IF(L621="yes",1,0)*'Grading Scale'!E$9)+(IF(M621="yes",1,0)*'Grading Scale'!E$10)+(IF(N621="yes",1,0)*'Grading Scale'!E$11)+(IF(O621="yes",1,0)*'Grading Scale'!E$12)+(IF(P621="yes",1,0)*'Grading Scale'!E$13))/'Grading Scale'!E$14*100,0), "")</f>
        <v/>
      </c>
      <c r="T621" s="6" t="str">
        <f>IF(ISNUMBER(S621),VLOOKUP(S621,'Grading Scale'!$A$2:$B$14, 2), "")</f>
        <v/>
      </c>
      <c r="U621" s="7"/>
      <c r="V621" s="7"/>
      <c r="W621" s="7"/>
      <c r="X621" s="7"/>
      <c r="Y621" s="7"/>
      <c r="Z621" s="7"/>
      <c r="AA621" s="7"/>
      <c r="AB621" s="7"/>
      <c r="AC621" s="7"/>
      <c r="AD621" s="7"/>
      <c r="AE621" s="7"/>
      <c r="AF621" s="7"/>
      <c r="AG621" s="7"/>
      <c r="AH621" s="7"/>
      <c r="AI621" s="7"/>
      <c r="AJ621" s="7"/>
    </row>
    <row r="622">
      <c r="A622" s="7"/>
      <c r="B622" s="7"/>
      <c r="C622" s="7"/>
      <c r="D622" s="6" t="str">
        <f>IF(NOT(ISBLANK(C622)), VLOOKUP(C622,'Dataset Descriptions'!$A$2:$B$10, 2, FALSE), "")</f>
        <v/>
      </c>
      <c r="E622" s="7"/>
      <c r="F622" s="7"/>
      <c r="G622" s="7"/>
      <c r="H622" s="7"/>
      <c r="I622" s="7"/>
      <c r="J622" s="7"/>
      <c r="K622" s="7"/>
      <c r="L622" s="7"/>
      <c r="M622" s="7"/>
      <c r="N622" s="7"/>
      <c r="O622" s="7"/>
      <c r="P622" s="7"/>
      <c r="Q622" s="7"/>
      <c r="R622" s="8"/>
      <c r="S622" s="6" t="str">
        <f>IF(NOT(ISBLANK(E622)), ROUND(((IF(E622="yes",1,0)*'Grading Scale'!E$2)+(IF(F622="yes",1,0)*'Grading Scale'!E$3)+(IF(G622="yes",1,0)*'Grading Scale'!E$4)+(IF(H622="yes",1,0)*'Grading Scale'!E$5)+(IF(I622="yes",1,0)*'Grading Scale'!E$6)+(IF(J622="yes",1,0)*'Grading Scale'!E$7)+(IF(K622="yes",1,0)*'Grading Scale'!E$8)+(IF(L622="yes",1,0)*'Grading Scale'!E$9)+(IF(M622="yes",1,0)*'Grading Scale'!E$10)+(IF(N622="yes",1,0)*'Grading Scale'!E$11)+(IF(O622="yes",1,0)*'Grading Scale'!E$12)+(IF(P622="yes",1,0)*'Grading Scale'!E$13))/'Grading Scale'!E$14*100,0), "")</f>
        <v/>
      </c>
      <c r="T622" s="6" t="str">
        <f>IF(ISNUMBER(S622),VLOOKUP(S622,'Grading Scale'!$A$2:$B$14, 2), "")</f>
        <v/>
      </c>
      <c r="U622" s="7"/>
      <c r="V622" s="7"/>
      <c r="W622" s="7"/>
      <c r="X622" s="7"/>
      <c r="Y622" s="7"/>
      <c r="Z622" s="7"/>
      <c r="AA622" s="7"/>
      <c r="AB622" s="7"/>
      <c r="AC622" s="7"/>
      <c r="AD622" s="7"/>
      <c r="AE622" s="7"/>
      <c r="AF622" s="7"/>
      <c r="AG622" s="7"/>
      <c r="AH622" s="7"/>
      <c r="AI622" s="7"/>
      <c r="AJ622" s="7"/>
    </row>
    <row r="623">
      <c r="A623" s="7"/>
      <c r="B623" s="7"/>
      <c r="C623" s="7"/>
      <c r="D623" s="6" t="str">
        <f>IF(NOT(ISBLANK(C623)), VLOOKUP(C623,'Dataset Descriptions'!$A$2:$B$10, 2, FALSE), "")</f>
        <v/>
      </c>
      <c r="E623" s="7"/>
      <c r="F623" s="7"/>
      <c r="G623" s="7"/>
      <c r="H623" s="7"/>
      <c r="I623" s="7"/>
      <c r="J623" s="7"/>
      <c r="K623" s="7"/>
      <c r="L623" s="7"/>
      <c r="M623" s="7"/>
      <c r="N623" s="7"/>
      <c r="O623" s="7"/>
      <c r="P623" s="7"/>
      <c r="Q623" s="7"/>
      <c r="R623" s="8"/>
      <c r="S623" s="6" t="str">
        <f>IF(NOT(ISBLANK(E623)), ROUND(((IF(E623="yes",1,0)*'Grading Scale'!E$2)+(IF(F623="yes",1,0)*'Grading Scale'!E$3)+(IF(G623="yes",1,0)*'Grading Scale'!E$4)+(IF(H623="yes",1,0)*'Grading Scale'!E$5)+(IF(I623="yes",1,0)*'Grading Scale'!E$6)+(IF(J623="yes",1,0)*'Grading Scale'!E$7)+(IF(K623="yes",1,0)*'Grading Scale'!E$8)+(IF(L623="yes",1,0)*'Grading Scale'!E$9)+(IF(M623="yes",1,0)*'Grading Scale'!E$10)+(IF(N623="yes",1,0)*'Grading Scale'!E$11)+(IF(O623="yes",1,0)*'Grading Scale'!E$12)+(IF(P623="yes",1,0)*'Grading Scale'!E$13))/'Grading Scale'!E$14*100,0), "")</f>
        <v/>
      </c>
      <c r="T623" s="6" t="str">
        <f>IF(ISNUMBER(S623),VLOOKUP(S623,'Grading Scale'!$A$2:$B$14, 2), "")</f>
        <v/>
      </c>
      <c r="U623" s="7"/>
      <c r="V623" s="7"/>
      <c r="W623" s="7"/>
      <c r="X623" s="7"/>
      <c r="Y623" s="7"/>
      <c r="Z623" s="7"/>
      <c r="AA623" s="7"/>
      <c r="AB623" s="7"/>
      <c r="AC623" s="7"/>
      <c r="AD623" s="7"/>
      <c r="AE623" s="7"/>
      <c r="AF623" s="7"/>
      <c r="AG623" s="7"/>
      <c r="AH623" s="7"/>
      <c r="AI623" s="7"/>
      <c r="AJ623" s="7"/>
    </row>
    <row r="624">
      <c r="A624" s="7"/>
      <c r="B624" s="7"/>
      <c r="C624" s="7"/>
      <c r="D624" s="6" t="str">
        <f>IF(NOT(ISBLANK(C624)), VLOOKUP(C624,'Dataset Descriptions'!$A$2:$B$10, 2, FALSE), "")</f>
        <v/>
      </c>
      <c r="E624" s="7"/>
      <c r="F624" s="7"/>
      <c r="G624" s="7"/>
      <c r="H624" s="7"/>
      <c r="I624" s="7"/>
      <c r="J624" s="7"/>
      <c r="K624" s="7"/>
      <c r="L624" s="7"/>
      <c r="M624" s="7"/>
      <c r="N624" s="7"/>
      <c r="O624" s="7"/>
      <c r="P624" s="7"/>
      <c r="Q624" s="7"/>
      <c r="R624" s="8"/>
      <c r="S624" s="6" t="str">
        <f>IF(NOT(ISBLANK(E624)), ROUND(((IF(E624="yes",1,0)*'Grading Scale'!E$2)+(IF(F624="yes",1,0)*'Grading Scale'!E$3)+(IF(G624="yes",1,0)*'Grading Scale'!E$4)+(IF(H624="yes",1,0)*'Grading Scale'!E$5)+(IF(I624="yes",1,0)*'Grading Scale'!E$6)+(IF(J624="yes",1,0)*'Grading Scale'!E$7)+(IF(K624="yes",1,0)*'Grading Scale'!E$8)+(IF(L624="yes",1,0)*'Grading Scale'!E$9)+(IF(M624="yes",1,0)*'Grading Scale'!E$10)+(IF(N624="yes",1,0)*'Grading Scale'!E$11)+(IF(O624="yes",1,0)*'Grading Scale'!E$12)+(IF(P624="yes",1,0)*'Grading Scale'!E$13))/'Grading Scale'!E$14*100,0), "")</f>
        <v/>
      </c>
      <c r="T624" s="6" t="str">
        <f>IF(ISNUMBER(S624),VLOOKUP(S624,'Grading Scale'!$A$2:$B$14, 2), "")</f>
        <v/>
      </c>
      <c r="U624" s="7"/>
      <c r="V624" s="7"/>
      <c r="W624" s="7"/>
      <c r="X624" s="7"/>
      <c r="Y624" s="7"/>
      <c r="Z624" s="7"/>
      <c r="AA624" s="7"/>
      <c r="AB624" s="7"/>
      <c r="AC624" s="7"/>
      <c r="AD624" s="7"/>
      <c r="AE624" s="7"/>
      <c r="AF624" s="7"/>
      <c r="AG624" s="7"/>
      <c r="AH624" s="7"/>
      <c r="AI624" s="7"/>
      <c r="AJ624" s="7"/>
    </row>
    <row r="625">
      <c r="A625" s="7"/>
      <c r="B625" s="7"/>
      <c r="C625" s="7"/>
      <c r="D625" s="6" t="str">
        <f>IF(NOT(ISBLANK(C625)), VLOOKUP(C625,'Dataset Descriptions'!$A$2:$B$10, 2, FALSE), "")</f>
        <v/>
      </c>
      <c r="E625" s="7"/>
      <c r="F625" s="7"/>
      <c r="G625" s="7"/>
      <c r="H625" s="7"/>
      <c r="I625" s="7"/>
      <c r="J625" s="7"/>
      <c r="K625" s="7"/>
      <c r="L625" s="7"/>
      <c r="M625" s="7"/>
      <c r="N625" s="7"/>
      <c r="O625" s="7"/>
      <c r="P625" s="7"/>
      <c r="Q625" s="7"/>
      <c r="R625" s="8"/>
      <c r="S625" s="6" t="str">
        <f>IF(NOT(ISBLANK(E625)), ROUND(((IF(E625="yes",1,0)*'Grading Scale'!E$2)+(IF(F625="yes",1,0)*'Grading Scale'!E$3)+(IF(G625="yes",1,0)*'Grading Scale'!E$4)+(IF(H625="yes",1,0)*'Grading Scale'!E$5)+(IF(I625="yes",1,0)*'Grading Scale'!E$6)+(IF(J625="yes",1,0)*'Grading Scale'!E$7)+(IF(K625="yes",1,0)*'Grading Scale'!E$8)+(IF(L625="yes",1,0)*'Grading Scale'!E$9)+(IF(M625="yes",1,0)*'Grading Scale'!E$10)+(IF(N625="yes",1,0)*'Grading Scale'!E$11)+(IF(O625="yes",1,0)*'Grading Scale'!E$12)+(IF(P625="yes",1,0)*'Grading Scale'!E$13))/'Grading Scale'!E$14*100,0), "")</f>
        <v/>
      </c>
      <c r="T625" s="6" t="str">
        <f>IF(ISNUMBER(S625),VLOOKUP(S625,'Grading Scale'!$A$2:$B$14, 2), "")</f>
        <v/>
      </c>
      <c r="U625" s="7"/>
      <c r="V625" s="7"/>
      <c r="W625" s="7"/>
      <c r="X625" s="7"/>
      <c r="Y625" s="7"/>
      <c r="Z625" s="7"/>
      <c r="AA625" s="7"/>
      <c r="AB625" s="7"/>
      <c r="AC625" s="7"/>
      <c r="AD625" s="7"/>
      <c r="AE625" s="7"/>
      <c r="AF625" s="7"/>
      <c r="AG625" s="7"/>
      <c r="AH625" s="7"/>
      <c r="AI625" s="7"/>
      <c r="AJ625" s="7"/>
    </row>
    <row r="626">
      <c r="A626" s="7"/>
      <c r="B626" s="7"/>
      <c r="C626" s="7"/>
      <c r="D626" s="6" t="str">
        <f>IF(NOT(ISBLANK(C626)), VLOOKUP(C626,'Dataset Descriptions'!$A$2:$B$10, 2, FALSE), "")</f>
        <v/>
      </c>
      <c r="E626" s="7"/>
      <c r="F626" s="7"/>
      <c r="G626" s="7"/>
      <c r="H626" s="7"/>
      <c r="I626" s="7"/>
      <c r="J626" s="7"/>
      <c r="K626" s="7"/>
      <c r="L626" s="7"/>
      <c r="M626" s="7"/>
      <c r="N626" s="7"/>
      <c r="O626" s="7"/>
      <c r="P626" s="7"/>
      <c r="Q626" s="7"/>
      <c r="R626" s="8"/>
      <c r="S626" s="6" t="str">
        <f>IF(NOT(ISBLANK(E626)), ROUND(((IF(E626="yes",1,0)*'Grading Scale'!E$2)+(IF(F626="yes",1,0)*'Grading Scale'!E$3)+(IF(G626="yes",1,0)*'Grading Scale'!E$4)+(IF(H626="yes",1,0)*'Grading Scale'!E$5)+(IF(I626="yes",1,0)*'Grading Scale'!E$6)+(IF(J626="yes",1,0)*'Grading Scale'!E$7)+(IF(K626="yes",1,0)*'Grading Scale'!E$8)+(IF(L626="yes",1,0)*'Grading Scale'!E$9)+(IF(M626="yes",1,0)*'Grading Scale'!E$10)+(IF(N626="yes",1,0)*'Grading Scale'!E$11)+(IF(O626="yes",1,0)*'Grading Scale'!E$12)+(IF(P626="yes",1,0)*'Grading Scale'!E$13))/'Grading Scale'!E$14*100,0), "")</f>
        <v/>
      </c>
      <c r="T626" s="6" t="str">
        <f>IF(ISNUMBER(S626),VLOOKUP(S626,'Grading Scale'!$A$2:$B$14, 2), "")</f>
        <v/>
      </c>
      <c r="U626" s="7"/>
      <c r="V626" s="7"/>
      <c r="W626" s="7"/>
      <c r="X626" s="7"/>
      <c r="Y626" s="7"/>
      <c r="Z626" s="7"/>
      <c r="AA626" s="7"/>
      <c r="AB626" s="7"/>
      <c r="AC626" s="7"/>
      <c r="AD626" s="7"/>
      <c r="AE626" s="7"/>
      <c r="AF626" s="7"/>
      <c r="AG626" s="7"/>
      <c r="AH626" s="7"/>
      <c r="AI626" s="7"/>
      <c r="AJ626" s="7"/>
    </row>
    <row r="627">
      <c r="A627" s="7"/>
      <c r="B627" s="7"/>
      <c r="C627" s="7"/>
      <c r="D627" s="6" t="str">
        <f>IF(NOT(ISBLANK(C627)), VLOOKUP(C627,'Dataset Descriptions'!$A$2:$B$10, 2, FALSE), "")</f>
        <v/>
      </c>
      <c r="E627" s="7"/>
      <c r="F627" s="7"/>
      <c r="G627" s="7"/>
      <c r="H627" s="7"/>
      <c r="I627" s="7"/>
      <c r="J627" s="7"/>
      <c r="K627" s="7"/>
      <c r="L627" s="7"/>
      <c r="M627" s="7"/>
      <c r="N627" s="7"/>
      <c r="O627" s="7"/>
      <c r="P627" s="7"/>
      <c r="Q627" s="7"/>
      <c r="R627" s="8"/>
      <c r="S627" s="6" t="str">
        <f>IF(NOT(ISBLANK(E627)), ROUND(((IF(E627="yes",1,0)*'Grading Scale'!E$2)+(IF(F627="yes",1,0)*'Grading Scale'!E$3)+(IF(G627="yes",1,0)*'Grading Scale'!E$4)+(IF(H627="yes",1,0)*'Grading Scale'!E$5)+(IF(I627="yes",1,0)*'Grading Scale'!E$6)+(IF(J627="yes",1,0)*'Grading Scale'!E$7)+(IF(K627="yes",1,0)*'Grading Scale'!E$8)+(IF(L627="yes",1,0)*'Grading Scale'!E$9)+(IF(M627="yes",1,0)*'Grading Scale'!E$10)+(IF(N627="yes",1,0)*'Grading Scale'!E$11)+(IF(O627="yes",1,0)*'Grading Scale'!E$12)+(IF(P627="yes",1,0)*'Grading Scale'!E$13))/'Grading Scale'!E$14*100,0), "")</f>
        <v/>
      </c>
      <c r="T627" s="6" t="str">
        <f>IF(ISNUMBER(S627),VLOOKUP(S627,'Grading Scale'!$A$2:$B$14, 2), "")</f>
        <v/>
      </c>
      <c r="U627" s="7"/>
      <c r="V627" s="7"/>
      <c r="W627" s="7"/>
      <c r="X627" s="7"/>
      <c r="Y627" s="7"/>
      <c r="Z627" s="7"/>
      <c r="AA627" s="7"/>
      <c r="AB627" s="7"/>
      <c r="AC627" s="7"/>
      <c r="AD627" s="7"/>
      <c r="AE627" s="7"/>
      <c r="AF627" s="7"/>
      <c r="AG627" s="7"/>
      <c r="AH627" s="7"/>
      <c r="AI627" s="7"/>
      <c r="AJ627" s="7"/>
    </row>
    <row r="628">
      <c r="A628" s="7"/>
      <c r="B628" s="7"/>
      <c r="C628" s="7"/>
      <c r="D628" s="6" t="str">
        <f>IF(NOT(ISBLANK(C628)), VLOOKUP(C628,'Dataset Descriptions'!$A$2:$B$10, 2, FALSE), "")</f>
        <v/>
      </c>
      <c r="E628" s="7"/>
      <c r="F628" s="7"/>
      <c r="G628" s="7"/>
      <c r="H628" s="7"/>
      <c r="I628" s="7"/>
      <c r="J628" s="7"/>
      <c r="K628" s="7"/>
      <c r="L628" s="7"/>
      <c r="M628" s="7"/>
      <c r="N628" s="7"/>
      <c r="O628" s="7"/>
      <c r="P628" s="7"/>
      <c r="Q628" s="7"/>
      <c r="R628" s="8"/>
      <c r="S628" s="6" t="str">
        <f>IF(NOT(ISBLANK(E628)), ROUND(((IF(E628="yes",1,0)*'Grading Scale'!E$2)+(IF(F628="yes",1,0)*'Grading Scale'!E$3)+(IF(G628="yes",1,0)*'Grading Scale'!E$4)+(IF(H628="yes",1,0)*'Grading Scale'!E$5)+(IF(I628="yes",1,0)*'Grading Scale'!E$6)+(IF(J628="yes",1,0)*'Grading Scale'!E$7)+(IF(K628="yes",1,0)*'Grading Scale'!E$8)+(IF(L628="yes",1,0)*'Grading Scale'!E$9)+(IF(M628="yes",1,0)*'Grading Scale'!E$10)+(IF(N628="yes",1,0)*'Grading Scale'!E$11)+(IF(O628="yes",1,0)*'Grading Scale'!E$12)+(IF(P628="yes",1,0)*'Grading Scale'!E$13))/'Grading Scale'!E$14*100,0), "")</f>
        <v/>
      </c>
      <c r="T628" s="6" t="str">
        <f>IF(ISNUMBER(S628),VLOOKUP(S628,'Grading Scale'!$A$2:$B$14, 2), "")</f>
        <v/>
      </c>
      <c r="U628" s="7"/>
      <c r="V628" s="7"/>
      <c r="W628" s="7"/>
      <c r="X628" s="7"/>
      <c r="Y628" s="7"/>
      <c r="Z628" s="7"/>
      <c r="AA628" s="7"/>
      <c r="AB628" s="7"/>
      <c r="AC628" s="7"/>
      <c r="AD628" s="7"/>
      <c r="AE628" s="7"/>
      <c r="AF628" s="7"/>
      <c r="AG628" s="7"/>
      <c r="AH628" s="7"/>
      <c r="AI628" s="7"/>
      <c r="AJ628" s="7"/>
    </row>
    <row r="629">
      <c r="A629" s="7"/>
      <c r="B629" s="7"/>
      <c r="C629" s="7"/>
      <c r="D629" s="6" t="str">
        <f>IF(NOT(ISBLANK(C629)), VLOOKUP(C629,'Dataset Descriptions'!$A$2:$B$10, 2, FALSE), "")</f>
        <v/>
      </c>
      <c r="E629" s="7"/>
      <c r="F629" s="7"/>
      <c r="G629" s="7"/>
      <c r="H629" s="7"/>
      <c r="I629" s="7"/>
      <c r="J629" s="7"/>
      <c r="K629" s="7"/>
      <c r="L629" s="7"/>
      <c r="M629" s="7"/>
      <c r="N629" s="7"/>
      <c r="O629" s="7"/>
      <c r="P629" s="7"/>
      <c r="Q629" s="7"/>
      <c r="R629" s="8"/>
      <c r="S629" s="6" t="str">
        <f>IF(NOT(ISBLANK(E629)), ROUND(((IF(E629="yes",1,0)*'Grading Scale'!E$2)+(IF(F629="yes",1,0)*'Grading Scale'!E$3)+(IF(G629="yes",1,0)*'Grading Scale'!E$4)+(IF(H629="yes",1,0)*'Grading Scale'!E$5)+(IF(I629="yes",1,0)*'Grading Scale'!E$6)+(IF(J629="yes",1,0)*'Grading Scale'!E$7)+(IF(K629="yes",1,0)*'Grading Scale'!E$8)+(IF(L629="yes",1,0)*'Grading Scale'!E$9)+(IF(M629="yes",1,0)*'Grading Scale'!E$10)+(IF(N629="yes",1,0)*'Grading Scale'!E$11)+(IF(O629="yes",1,0)*'Grading Scale'!E$12)+(IF(P629="yes",1,0)*'Grading Scale'!E$13))/'Grading Scale'!E$14*100,0), "")</f>
        <v/>
      </c>
      <c r="T629" s="6" t="str">
        <f>IF(ISNUMBER(S629),VLOOKUP(S629,'Grading Scale'!$A$2:$B$14, 2), "")</f>
        <v/>
      </c>
      <c r="U629" s="7"/>
      <c r="V629" s="7"/>
      <c r="W629" s="7"/>
      <c r="X629" s="7"/>
      <c r="Y629" s="7"/>
      <c r="Z629" s="7"/>
      <c r="AA629" s="7"/>
      <c r="AB629" s="7"/>
      <c r="AC629" s="7"/>
      <c r="AD629" s="7"/>
      <c r="AE629" s="7"/>
      <c r="AF629" s="7"/>
      <c r="AG629" s="7"/>
      <c r="AH629" s="7"/>
      <c r="AI629" s="7"/>
      <c r="AJ629" s="7"/>
    </row>
    <row r="630">
      <c r="A630" s="7"/>
      <c r="B630" s="7"/>
      <c r="C630" s="7"/>
      <c r="D630" s="6" t="str">
        <f>IF(NOT(ISBLANK(C630)), VLOOKUP(C630,'Dataset Descriptions'!$A$2:$B$10, 2, FALSE), "")</f>
        <v/>
      </c>
      <c r="E630" s="7"/>
      <c r="F630" s="7"/>
      <c r="G630" s="7"/>
      <c r="H630" s="7"/>
      <c r="I630" s="7"/>
      <c r="J630" s="7"/>
      <c r="K630" s="7"/>
      <c r="L630" s="7"/>
      <c r="M630" s="7"/>
      <c r="N630" s="7"/>
      <c r="O630" s="7"/>
      <c r="P630" s="7"/>
      <c r="Q630" s="7"/>
      <c r="R630" s="8"/>
      <c r="S630" s="6" t="str">
        <f>IF(NOT(ISBLANK(E630)), ROUND(((IF(E630="yes",1,0)*'Grading Scale'!E$2)+(IF(F630="yes",1,0)*'Grading Scale'!E$3)+(IF(G630="yes",1,0)*'Grading Scale'!E$4)+(IF(H630="yes",1,0)*'Grading Scale'!E$5)+(IF(I630="yes",1,0)*'Grading Scale'!E$6)+(IF(J630="yes",1,0)*'Grading Scale'!E$7)+(IF(K630="yes",1,0)*'Grading Scale'!E$8)+(IF(L630="yes",1,0)*'Grading Scale'!E$9)+(IF(M630="yes",1,0)*'Grading Scale'!E$10)+(IF(N630="yes",1,0)*'Grading Scale'!E$11)+(IF(O630="yes",1,0)*'Grading Scale'!E$12)+(IF(P630="yes",1,0)*'Grading Scale'!E$13))/'Grading Scale'!E$14*100,0), "")</f>
        <v/>
      </c>
      <c r="T630" s="6" t="str">
        <f>IF(ISNUMBER(S630),VLOOKUP(S630,'Grading Scale'!$A$2:$B$14, 2), "")</f>
        <v/>
      </c>
      <c r="U630" s="7"/>
      <c r="V630" s="7"/>
      <c r="W630" s="7"/>
      <c r="X630" s="7"/>
      <c r="Y630" s="7"/>
      <c r="Z630" s="7"/>
      <c r="AA630" s="7"/>
      <c r="AB630" s="7"/>
      <c r="AC630" s="7"/>
      <c r="AD630" s="7"/>
      <c r="AE630" s="7"/>
      <c r="AF630" s="7"/>
      <c r="AG630" s="7"/>
      <c r="AH630" s="7"/>
      <c r="AI630" s="7"/>
      <c r="AJ630" s="7"/>
    </row>
    <row r="631">
      <c r="A631" s="7"/>
      <c r="B631" s="7"/>
      <c r="C631" s="7"/>
      <c r="D631" s="6" t="str">
        <f>IF(NOT(ISBLANK(C631)), VLOOKUP(C631,'Dataset Descriptions'!$A$2:$B$10, 2, FALSE), "")</f>
        <v/>
      </c>
      <c r="E631" s="7"/>
      <c r="F631" s="7"/>
      <c r="G631" s="7"/>
      <c r="H631" s="7"/>
      <c r="I631" s="7"/>
      <c r="J631" s="7"/>
      <c r="K631" s="7"/>
      <c r="L631" s="7"/>
      <c r="M631" s="7"/>
      <c r="N631" s="7"/>
      <c r="O631" s="7"/>
      <c r="P631" s="7"/>
      <c r="Q631" s="7"/>
      <c r="R631" s="8"/>
      <c r="S631" s="6" t="str">
        <f>IF(NOT(ISBLANK(E631)), ROUND(((IF(E631="yes",1,0)*'Grading Scale'!E$2)+(IF(F631="yes",1,0)*'Grading Scale'!E$3)+(IF(G631="yes",1,0)*'Grading Scale'!E$4)+(IF(H631="yes",1,0)*'Grading Scale'!E$5)+(IF(I631="yes",1,0)*'Grading Scale'!E$6)+(IF(J631="yes",1,0)*'Grading Scale'!E$7)+(IF(K631="yes",1,0)*'Grading Scale'!E$8)+(IF(L631="yes",1,0)*'Grading Scale'!E$9)+(IF(M631="yes",1,0)*'Grading Scale'!E$10)+(IF(N631="yes",1,0)*'Grading Scale'!E$11)+(IF(O631="yes",1,0)*'Grading Scale'!E$12)+(IF(P631="yes",1,0)*'Grading Scale'!E$13))/'Grading Scale'!E$14*100,0), "")</f>
        <v/>
      </c>
      <c r="T631" s="6" t="str">
        <f>IF(ISNUMBER(S631),VLOOKUP(S631,'Grading Scale'!$A$2:$B$14, 2), "")</f>
        <v/>
      </c>
      <c r="U631" s="7"/>
      <c r="V631" s="7"/>
      <c r="W631" s="7"/>
      <c r="X631" s="7"/>
      <c r="Y631" s="7"/>
      <c r="Z631" s="7"/>
      <c r="AA631" s="7"/>
      <c r="AB631" s="7"/>
      <c r="AC631" s="7"/>
      <c r="AD631" s="7"/>
      <c r="AE631" s="7"/>
      <c r="AF631" s="7"/>
      <c r="AG631" s="7"/>
      <c r="AH631" s="7"/>
      <c r="AI631" s="7"/>
      <c r="AJ631" s="7"/>
    </row>
    <row r="632">
      <c r="A632" s="7"/>
      <c r="B632" s="7"/>
      <c r="C632" s="7"/>
      <c r="D632" s="6" t="str">
        <f>IF(NOT(ISBLANK(C632)), VLOOKUP(C632,'Dataset Descriptions'!$A$2:$B$10, 2, FALSE), "")</f>
        <v/>
      </c>
      <c r="E632" s="7"/>
      <c r="F632" s="7"/>
      <c r="G632" s="7"/>
      <c r="H632" s="7"/>
      <c r="I632" s="7"/>
      <c r="J632" s="7"/>
      <c r="K632" s="7"/>
      <c r="L632" s="7"/>
      <c r="M632" s="7"/>
      <c r="N632" s="7"/>
      <c r="O632" s="7"/>
      <c r="P632" s="7"/>
      <c r="Q632" s="7"/>
      <c r="R632" s="8"/>
      <c r="S632" s="6" t="str">
        <f>IF(NOT(ISBLANK(E632)), ROUND(((IF(E632="yes",1,0)*'Grading Scale'!E$2)+(IF(F632="yes",1,0)*'Grading Scale'!E$3)+(IF(G632="yes",1,0)*'Grading Scale'!E$4)+(IF(H632="yes",1,0)*'Grading Scale'!E$5)+(IF(I632="yes",1,0)*'Grading Scale'!E$6)+(IF(J632="yes",1,0)*'Grading Scale'!E$7)+(IF(K632="yes",1,0)*'Grading Scale'!E$8)+(IF(L632="yes",1,0)*'Grading Scale'!E$9)+(IF(M632="yes",1,0)*'Grading Scale'!E$10)+(IF(N632="yes",1,0)*'Grading Scale'!E$11)+(IF(O632="yes",1,0)*'Grading Scale'!E$12)+(IF(P632="yes",1,0)*'Grading Scale'!E$13))/'Grading Scale'!E$14*100,0), "")</f>
        <v/>
      </c>
      <c r="T632" s="6" t="str">
        <f>IF(ISNUMBER(S632),VLOOKUP(S632,'Grading Scale'!$A$2:$B$14, 2), "")</f>
        <v/>
      </c>
      <c r="U632" s="7"/>
      <c r="V632" s="7"/>
      <c r="W632" s="7"/>
      <c r="X632" s="7"/>
      <c r="Y632" s="7"/>
      <c r="Z632" s="7"/>
      <c r="AA632" s="7"/>
      <c r="AB632" s="7"/>
      <c r="AC632" s="7"/>
      <c r="AD632" s="7"/>
      <c r="AE632" s="7"/>
      <c r="AF632" s="7"/>
      <c r="AG632" s="7"/>
      <c r="AH632" s="7"/>
      <c r="AI632" s="7"/>
      <c r="AJ632" s="7"/>
    </row>
    <row r="633">
      <c r="A633" s="7"/>
      <c r="B633" s="7"/>
      <c r="C633" s="7"/>
      <c r="D633" s="6" t="str">
        <f>IF(NOT(ISBLANK(C633)), VLOOKUP(C633,'Dataset Descriptions'!$A$2:$B$10, 2, FALSE), "")</f>
        <v/>
      </c>
      <c r="E633" s="7"/>
      <c r="F633" s="7"/>
      <c r="G633" s="7"/>
      <c r="H633" s="7"/>
      <c r="I633" s="7"/>
      <c r="J633" s="7"/>
      <c r="K633" s="7"/>
      <c r="L633" s="7"/>
      <c r="M633" s="7"/>
      <c r="N633" s="7"/>
      <c r="O633" s="7"/>
      <c r="P633" s="7"/>
      <c r="Q633" s="7"/>
      <c r="R633" s="8"/>
      <c r="S633" s="6" t="str">
        <f>IF(NOT(ISBLANK(E633)), ROUND(((IF(E633="yes",1,0)*'Grading Scale'!E$2)+(IF(F633="yes",1,0)*'Grading Scale'!E$3)+(IF(G633="yes",1,0)*'Grading Scale'!E$4)+(IF(H633="yes",1,0)*'Grading Scale'!E$5)+(IF(I633="yes",1,0)*'Grading Scale'!E$6)+(IF(J633="yes",1,0)*'Grading Scale'!E$7)+(IF(K633="yes",1,0)*'Grading Scale'!E$8)+(IF(L633="yes",1,0)*'Grading Scale'!E$9)+(IF(M633="yes",1,0)*'Grading Scale'!E$10)+(IF(N633="yes",1,0)*'Grading Scale'!E$11)+(IF(O633="yes",1,0)*'Grading Scale'!E$12)+(IF(P633="yes",1,0)*'Grading Scale'!E$13))/'Grading Scale'!E$14*100,0), "")</f>
        <v/>
      </c>
      <c r="T633" s="6" t="str">
        <f>IF(ISNUMBER(S633),VLOOKUP(S633,'Grading Scale'!$A$2:$B$14, 2), "")</f>
        <v/>
      </c>
      <c r="U633" s="7"/>
      <c r="V633" s="7"/>
      <c r="W633" s="7"/>
      <c r="X633" s="7"/>
      <c r="Y633" s="7"/>
      <c r="Z633" s="7"/>
      <c r="AA633" s="7"/>
      <c r="AB633" s="7"/>
      <c r="AC633" s="7"/>
      <c r="AD633" s="7"/>
      <c r="AE633" s="7"/>
      <c r="AF633" s="7"/>
      <c r="AG633" s="7"/>
      <c r="AH633" s="7"/>
      <c r="AI633" s="7"/>
      <c r="AJ633" s="7"/>
    </row>
    <row r="634">
      <c r="A634" s="7"/>
      <c r="B634" s="7"/>
      <c r="C634" s="7"/>
      <c r="D634" s="6" t="str">
        <f>IF(NOT(ISBLANK(C634)), VLOOKUP(C634,'Dataset Descriptions'!$A$2:$B$10, 2, FALSE), "")</f>
        <v/>
      </c>
      <c r="E634" s="7"/>
      <c r="F634" s="7"/>
      <c r="G634" s="7"/>
      <c r="H634" s="7"/>
      <c r="I634" s="7"/>
      <c r="J634" s="7"/>
      <c r="K634" s="7"/>
      <c r="L634" s="7"/>
      <c r="M634" s="7"/>
      <c r="N634" s="7"/>
      <c r="O634" s="7"/>
      <c r="P634" s="7"/>
      <c r="Q634" s="7"/>
      <c r="R634" s="8"/>
      <c r="S634" s="6" t="str">
        <f>IF(NOT(ISBLANK(E634)), ROUND(((IF(E634="yes",1,0)*'Grading Scale'!E$2)+(IF(F634="yes",1,0)*'Grading Scale'!E$3)+(IF(G634="yes",1,0)*'Grading Scale'!E$4)+(IF(H634="yes",1,0)*'Grading Scale'!E$5)+(IF(I634="yes",1,0)*'Grading Scale'!E$6)+(IF(J634="yes",1,0)*'Grading Scale'!E$7)+(IF(K634="yes",1,0)*'Grading Scale'!E$8)+(IF(L634="yes",1,0)*'Grading Scale'!E$9)+(IF(M634="yes",1,0)*'Grading Scale'!E$10)+(IF(N634="yes",1,0)*'Grading Scale'!E$11)+(IF(O634="yes",1,0)*'Grading Scale'!E$12)+(IF(P634="yes",1,0)*'Grading Scale'!E$13))/'Grading Scale'!E$14*100,0), "")</f>
        <v/>
      </c>
      <c r="T634" s="6" t="str">
        <f>IF(ISNUMBER(S634),VLOOKUP(S634,'Grading Scale'!$A$2:$B$14, 2), "")</f>
        <v/>
      </c>
      <c r="U634" s="7"/>
      <c r="V634" s="7"/>
      <c r="W634" s="7"/>
      <c r="X634" s="7"/>
      <c r="Y634" s="7"/>
      <c r="Z634" s="7"/>
      <c r="AA634" s="7"/>
      <c r="AB634" s="7"/>
      <c r="AC634" s="7"/>
      <c r="AD634" s="7"/>
      <c r="AE634" s="7"/>
      <c r="AF634" s="7"/>
      <c r="AG634" s="7"/>
      <c r="AH634" s="7"/>
      <c r="AI634" s="7"/>
      <c r="AJ634" s="7"/>
    </row>
    <row r="635">
      <c r="A635" s="7"/>
      <c r="B635" s="7"/>
      <c r="C635" s="7"/>
      <c r="D635" s="6" t="str">
        <f>IF(NOT(ISBLANK(C635)), VLOOKUP(C635,'Dataset Descriptions'!$A$2:$B$10, 2, FALSE), "")</f>
        <v/>
      </c>
      <c r="E635" s="7"/>
      <c r="F635" s="7"/>
      <c r="G635" s="7"/>
      <c r="H635" s="7"/>
      <c r="I635" s="7"/>
      <c r="J635" s="7"/>
      <c r="K635" s="7"/>
      <c r="L635" s="7"/>
      <c r="M635" s="7"/>
      <c r="N635" s="7"/>
      <c r="O635" s="7"/>
      <c r="P635" s="7"/>
      <c r="Q635" s="7"/>
      <c r="R635" s="8"/>
      <c r="S635" s="6" t="str">
        <f>IF(NOT(ISBLANK(E635)), ROUND(((IF(E635="yes",1,0)*'Grading Scale'!E$2)+(IF(F635="yes",1,0)*'Grading Scale'!E$3)+(IF(G635="yes",1,0)*'Grading Scale'!E$4)+(IF(H635="yes",1,0)*'Grading Scale'!E$5)+(IF(I635="yes",1,0)*'Grading Scale'!E$6)+(IF(J635="yes",1,0)*'Grading Scale'!E$7)+(IF(K635="yes",1,0)*'Grading Scale'!E$8)+(IF(L635="yes",1,0)*'Grading Scale'!E$9)+(IF(M635="yes",1,0)*'Grading Scale'!E$10)+(IF(N635="yes",1,0)*'Grading Scale'!E$11)+(IF(O635="yes",1,0)*'Grading Scale'!E$12)+(IF(P635="yes",1,0)*'Grading Scale'!E$13))/'Grading Scale'!E$14*100,0), "")</f>
        <v/>
      </c>
      <c r="T635" s="6" t="str">
        <f>IF(ISNUMBER(S635),VLOOKUP(S635,'Grading Scale'!$A$2:$B$14, 2), "")</f>
        <v/>
      </c>
      <c r="U635" s="7"/>
      <c r="V635" s="7"/>
      <c r="W635" s="7"/>
      <c r="X635" s="7"/>
      <c r="Y635" s="7"/>
      <c r="Z635" s="7"/>
      <c r="AA635" s="7"/>
      <c r="AB635" s="7"/>
      <c r="AC635" s="7"/>
      <c r="AD635" s="7"/>
      <c r="AE635" s="7"/>
      <c r="AF635" s="7"/>
      <c r="AG635" s="7"/>
      <c r="AH635" s="7"/>
      <c r="AI635" s="7"/>
      <c r="AJ635" s="7"/>
    </row>
    <row r="636">
      <c r="A636" s="7"/>
      <c r="B636" s="7"/>
      <c r="C636" s="7"/>
      <c r="D636" s="6" t="str">
        <f>IF(NOT(ISBLANK(C636)), VLOOKUP(C636,'Dataset Descriptions'!$A$2:$B$10, 2, FALSE), "")</f>
        <v/>
      </c>
      <c r="E636" s="7"/>
      <c r="F636" s="7"/>
      <c r="G636" s="7"/>
      <c r="H636" s="7"/>
      <c r="I636" s="7"/>
      <c r="J636" s="7"/>
      <c r="K636" s="7"/>
      <c r="L636" s="7"/>
      <c r="M636" s="7"/>
      <c r="N636" s="7"/>
      <c r="O636" s="7"/>
      <c r="P636" s="7"/>
      <c r="Q636" s="7"/>
      <c r="R636" s="8"/>
      <c r="S636" s="6" t="str">
        <f>IF(NOT(ISBLANK(E636)), ROUND(((IF(E636="yes",1,0)*'Grading Scale'!E$2)+(IF(F636="yes",1,0)*'Grading Scale'!E$3)+(IF(G636="yes",1,0)*'Grading Scale'!E$4)+(IF(H636="yes",1,0)*'Grading Scale'!E$5)+(IF(I636="yes",1,0)*'Grading Scale'!E$6)+(IF(J636="yes",1,0)*'Grading Scale'!E$7)+(IF(K636="yes",1,0)*'Grading Scale'!E$8)+(IF(L636="yes",1,0)*'Grading Scale'!E$9)+(IF(M636="yes",1,0)*'Grading Scale'!E$10)+(IF(N636="yes",1,0)*'Grading Scale'!E$11)+(IF(O636="yes",1,0)*'Grading Scale'!E$12)+(IF(P636="yes",1,0)*'Grading Scale'!E$13))/'Grading Scale'!E$14*100,0), "")</f>
        <v/>
      </c>
      <c r="T636" s="6" t="str">
        <f>IF(ISNUMBER(S636),VLOOKUP(S636,'Grading Scale'!$A$2:$B$14, 2), "")</f>
        <v/>
      </c>
      <c r="U636" s="7"/>
      <c r="V636" s="7"/>
      <c r="W636" s="7"/>
      <c r="X636" s="7"/>
      <c r="Y636" s="7"/>
      <c r="Z636" s="7"/>
      <c r="AA636" s="7"/>
      <c r="AB636" s="7"/>
      <c r="AC636" s="7"/>
      <c r="AD636" s="7"/>
      <c r="AE636" s="7"/>
      <c r="AF636" s="7"/>
      <c r="AG636" s="7"/>
      <c r="AH636" s="7"/>
      <c r="AI636" s="7"/>
      <c r="AJ636" s="7"/>
    </row>
    <row r="637">
      <c r="A637" s="7"/>
      <c r="B637" s="7"/>
      <c r="C637" s="7"/>
      <c r="D637" s="6" t="str">
        <f>IF(NOT(ISBLANK(C637)), VLOOKUP(C637,'Dataset Descriptions'!$A$2:$B$10, 2, FALSE), "")</f>
        <v/>
      </c>
      <c r="E637" s="7"/>
      <c r="F637" s="7"/>
      <c r="G637" s="7"/>
      <c r="H637" s="7"/>
      <c r="I637" s="7"/>
      <c r="J637" s="7"/>
      <c r="K637" s="7"/>
      <c r="L637" s="7"/>
      <c r="M637" s="7"/>
      <c r="N637" s="7"/>
      <c r="O637" s="7"/>
      <c r="P637" s="7"/>
      <c r="Q637" s="7"/>
      <c r="R637" s="8"/>
      <c r="S637" s="6" t="str">
        <f>IF(NOT(ISBLANK(E637)), ROUND(((IF(E637="yes",1,0)*'Grading Scale'!E$2)+(IF(F637="yes",1,0)*'Grading Scale'!E$3)+(IF(G637="yes",1,0)*'Grading Scale'!E$4)+(IF(H637="yes",1,0)*'Grading Scale'!E$5)+(IF(I637="yes",1,0)*'Grading Scale'!E$6)+(IF(J637="yes",1,0)*'Grading Scale'!E$7)+(IF(K637="yes",1,0)*'Grading Scale'!E$8)+(IF(L637="yes",1,0)*'Grading Scale'!E$9)+(IF(M637="yes",1,0)*'Grading Scale'!E$10)+(IF(N637="yes",1,0)*'Grading Scale'!E$11)+(IF(O637="yes",1,0)*'Grading Scale'!E$12)+(IF(P637="yes",1,0)*'Grading Scale'!E$13))/'Grading Scale'!E$14*100,0), "")</f>
        <v/>
      </c>
      <c r="T637" s="6" t="str">
        <f>IF(ISNUMBER(S637),VLOOKUP(S637,'Grading Scale'!$A$2:$B$14, 2), "")</f>
        <v/>
      </c>
      <c r="U637" s="7"/>
      <c r="V637" s="7"/>
      <c r="W637" s="7"/>
      <c r="X637" s="7"/>
      <c r="Y637" s="7"/>
      <c r="Z637" s="7"/>
      <c r="AA637" s="7"/>
      <c r="AB637" s="7"/>
      <c r="AC637" s="7"/>
      <c r="AD637" s="7"/>
      <c r="AE637" s="7"/>
      <c r="AF637" s="7"/>
      <c r="AG637" s="7"/>
      <c r="AH637" s="7"/>
      <c r="AI637" s="7"/>
      <c r="AJ637" s="7"/>
    </row>
    <row r="638">
      <c r="A638" s="7"/>
      <c r="B638" s="7"/>
      <c r="C638" s="7"/>
      <c r="D638" s="6" t="str">
        <f>IF(NOT(ISBLANK(C638)), VLOOKUP(C638,'Dataset Descriptions'!$A$2:$B$10, 2, FALSE), "")</f>
        <v/>
      </c>
      <c r="E638" s="7"/>
      <c r="F638" s="7"/>
      <c r="G638" s="7"/>
      <c r="H638" s="7"/>
      <c r="I638" s="7"/>
      <c r="J638" s="7"/>
      <c r="K638" s="7"/>
      <c r="L638" s="7"/>
      <c r="M638" s="7"/>
      <c r="N638" s="7"/>
      <c r="O638" s="7"/>
      <c r="P638" s="7"/>
      <c r="Q638" s="7"/>
      <c r="R638" s="8"/>
      <c r="S638" s="6" t="str">
        <f>IF(NOT(ISBLANK(E638)), ROUND(((IF(E638="yes",1,0)*'Grading Scale'!E$2)+(IF(F638="yes",1,0)*'Grading Scale'!E$3)+(IF(G638="yes",1,0)*'Grading Scale'!E$4)+(IF(H638="yes",1,0)*'Grading Scale'!E$5)+(IF(I638="yes",1,0)*'Grading Scale'!E$6)+(IF(J638="yes",1,0)*'Grading Scale'!E$7)+(IF(K638="yes",1,0)*'Grading Scale'!E$8)+(IF(L638="yes",1,0)*'Grading Scale'!E$9)+(IF(M638="yes",1,0)*'Grading Scale'!E$10)+(IF(N638="yes",1,0)*'Grading Scale'!E$11)+(IF(O638="yes",1,0)*'Grading Scale'!E$12)+(IF(P638="yes",1,0)*'Grading Scale'!E$13))/'Grading Scale'!E$14*100,0), "")</f>
        <v/>
      </c>
      <c r="T638" s="6" t="str">
        <f>IF(ISNUMBER(S638),VLOOKUP(S638,'Grading Scale'!$A$2:$B$14, 2), "")</f>
        <v/>
      </c>
      <c r="U638" s="7"/>
      <c r="V638" s="7"/>
      <c r="W638" s="7"/>
      <c r="X638" s="7"/>
      <c r="Y638" s="7"/>
      <c r="Z638" s="7"/>
      <c r="AA638" s="7"/>
      <c r="AB638" s="7"/>
      <c r="AC638" s="7"/>
      <c r="AD638" s="7"/>
      <c r="AE638" s="7"/>
      <c r="AF638" s="7"/>
      <c r="AG638" s="7"/>
      <c r="AH638" s="7"/>
      <c r="AI638" s="7"/>
      <c r="AJ638" s="7"/>
    </row>
    <row r="639">
      <c r="A639" s="7"/>
      <c r="B639" s="7"/>
      <c r="C639" s="7"/>
      <c r="D639" s="6" t="str">
        <f>IF(NOT(ISBLANK(C639)), VLOOKUP(C639,'Dataset Descriptions'!$A$2:$B$10, 2, FALSE), "")</f>
        <v/>
      </c>
      <c r="E639" s="7"/>
      <c r="F639" s="7"/>
      <c r="G639" s="7"/>
      <c r="H639" s="7"/>
      <c r="I639" s="7"/>
      <c r="J639" s="7"/>
      <c r="K639" s="7"/>
      <c r="L639" s="7"/>
      <c r="M639" s="7"/>
      <c r="N639" s="7"/>
      <c r="O639" s="7"/>
      <c r="P639" s="7"/>
      <c r="Q639" s="7"/>
      <c r="R639" s="8"/>
      <c r="S639" s="6" t="str">
        <f>IF(NOT(ISBLANK(E639)), ROUND(((IF(E639="yes",1,0)*'Grading Scale'!E$2)+(IF(F639="yes",1,0)*'Grading Scale'!E$3)+(IF(G639="yes",1,0)*'Grading Scale'!E$4)+(IF(H639="yes",1,0)*'Grading Scale'!E$5)+(IF(I639="yes",1,0)*'Grading Scale'!E$6)+(IF(J639="yes",1,0)*'Grading Scale'!E$7)+(IF(K639="yes",1,0)*'Grading Scale'!E$8)+(IF(L639="yes",1,0)*'Grading Scale'!E$9)+(IF(M639="yes",1,0)*'Grading Scale'!E$10)+(IF(N639="yes",1,0)*'Grading Scale'!E$11)+(IF(O639="yes",1,0)*'Grading Scale'!E$12)+(IF(P639="yes",1,0)*'Grading Scale'!E$13))/'Grading Scale'!E$14*100,0), "")</f>
        <v/>
      </c>
      <c r="T639" s="6" t="str">
        <f>IF(ISNUMBER(S639),VLOOKUP(S639,'Grading Scale'!$A$2:$B$14, 2), "")</f>
        <v/>
      </c>
      <c r="U639" s="7"/>
      <c r="V639" s="7"/>
      <c r="W639" s="7"/>
      <c r="X639" s="7"/>
      <c r="Y639" s="7"/>
      <c r="Z639" s="7"/>
      <c r="AA639" s="7"/>
      <c r="AB639" s="7"/>
      <c r="AC639" s="7"/>
      <c r="AD639" s="7"/>
      <c r="AE639" s="7"/>
      <c r="AF639" s="7"/>
      <c r="AG639" s="7"/>
      <c r="AH639" s="7"/>
      <c r="AI639" s="7"/>
      <c r="AJ639" s="7"/>
    </row>
    <row r="640">
      <c r="A640" s="7"/>
      <c r="B640" s="7"/>
      <c r="C640" s="7"/>
      <c r="D640" s="6" t="str">
        <f>IF(NOT(ISBLANK(C640)), VLOOKUP(C640,'Dataset Descriptions'!$A$2:$B$10, 2, FALSE), "")</f>
        <v/>
      </c>
      <c r="E640" s="7"/>
      <c r="F640" s="7"/>
      <c r="G640" s="7"/>
      <c r="H640" s="7"/>
      <c r="I640" s="7"/>
      <c r="J640" s="7"/>
      <c r="K640" s="7"/>
      <c r="L640" s="7"/>
      <c r="M640" s="7"/>
      <c r="N640" s="7"/>
      <c r="O640" s="7"/>
      <c r="P640" s="7"/>
      <c r="Q640" s="7"/>
      <c r="R640" s="8"/>
      <c r="S640" s="6" t="str">
        <f>IF(NOT(ISBLANK(E640)), ROUND(((IF(E640="yes",1,0)*'Grading Scale'!E$2)+(IF(F640="yes",1,0)*'Grading Scale'!E$3)+(IF(G640="yes",1,0)*'Grading Scale'!E$4)+(IF(H640="yes",1,0)*'Grading Scale'!E$5)+(IF(I640="yes",1,0)*'Grading Scale'!E$6)+(IF(J640="yes",1,0)*'Grading Scale'!E$7)+(IF(K640="yes",1,0)*'Grading Scale'!E$8)+(IF(L640="yes",1,0)*'Grading Scale'!E$9)+(IF(M640="yes",1,0)*'Grading Scale'!E$10)+(IF(N640="yes",1,0)*'Grading Scale'!E$11)+(IF(O640="yes",1,0)*'Grading Scale'!E$12)+(IF(P640="yes",1,0)*'Grading Scale'!E$13))/'Grading Scale'!E$14*100,0), "")</f>
        <v/>
      </c>
      <c r="T640" s="6" t="str">
        <f>IF(ISNUMBER(S640),VLOOKUP(S640,'Grading Scale'!$A$2:$B$14, 2), "")</f>
        <v/>
      </c>
      <c r="U640" s="7"/>
      <c r="V640" s="7"/>
      <c r="W640" s="7"/>
      <c r="X640" s="7"/>
      <c r="Y640" s="7"/>
      <c r="Z640" s="7"/>
      <c r="AA640" s="7"/>
      <c r="AB640" s="7"/>
      <c r="AC640" s="7"/>
      <c r="AD640" s="7"/>
      <c r="AE640" s="7"/>
      <c r="AF640" s="7"/>
      <c r="AG640" s="7"/>
      <c r="AH640" s="7"/>
      <c r="AI640" s="7"/>
      <c r="AJ640" s="7"/>
    </row>
    <row r="641">
      <c r="A641" s="7"/>
      <c r="B641" s="7"/>
      <c r="C641" s="7"/>
      <c r="D641" s="6" t="str">
        <f>IF(NOT(ISBLANK(C641)), VLOOKUP(C641,'Dataset Descriptions'!$A$2:$B$10, 2, FALSE), "")</f>
        <v/>
      </c>
      <c r="E641" s="7"/>
      <c r="F641" s="7"/>
      <c r="G641" s="7"/>
      <c r="H641" s="7"/>
      <c r="I641" s="7"/>
      <c r="J641" s="7"/>
      <c r="K641" s="7"/>
      <c r="L641" s="7"/>
      <c r="M641" s="7"/>
      <c r="N641" s="7"/>
      <c r="O641" s="7"/>
      <c r="P641" s="7"/>
      <c r="Q641" s="7"/>
      <c r="R641" s="8"/>
      <c r="S641" s="6" t="str">
        <f>IF(NOT(ISBLANK(E641)), ROUND(((IF(E641="yes",1,0)*'Grading Scale'!E$2)+(IF(F641="yes",1,0)*'Grading Scale'!E$3)+(IF(G641="yes",1,0)*'Grading Scale'!E$4)+(IF(H641="yes",1,0)*'Grading Scale'!E$5)+(IF(I641="yes",1,0)*'Grading Scale'!E$6)+(IF(J641="yes",1,0)*'Grading Scale'!E$7)+(IF(K641="yes",1,0)*'Grading Scale'!E$8)+(IF(L641="yes",1,0)*'Grading Scale'!E$9)+(IF(M641="yes",1,0)*'Grading Scale'!E$10)+(IF(N641="yes",1,0)*'Grading Scale'!E$11)+(IF(O641="yes",1,0)*'Grading Scale'!E$12)+(IF(P641="yes",1,0)*'Grading Scale'!E$13))/'Grading Scale'!E$14*100,0), "")</f>
        <v/>
      </c>
      <c r="T641" s="6" t="str">
        <f>IF(ISNUMBER(S641),VLOOKUP(S641,'Grading Scale'!$A$2:$B$14, 2), "")</f>
        <v/>
      </c>
      <c r="U641" s="7"/>
      <c r="V641" s="7"/>
      <c r="W641" s="7"/>
      <c r="X641" s="7"/>
      <c r="Y641" s="7"/>
      <c r="Z641" s="7"/>
      <c r="AA641" s="7"/>
      <c r="AB641" s="7"/>
      <c r="AC641" s="7"/>
      <c r="AD641" s="7"/>
      <c r="AE641" s="7"/>
      <c r="AF641" s="7"/>
      <c r="AG641" s="7"/>
      <c r="AH641" s="7"/>
      <c r="AI641" s="7"/>
      <c r="AJ641" s="7"/>
    </row>
    <row r="642">
      <c r="A642" s="7"/>
      <c r="B642" s="7"/>
      <c r="C642" s="7"/>
      <c r="D642" s="6" t="str">
        <f>IF(NOT(ISBLANK(C642)), VLOOKUP(C642,'Dataset Descriptions'!$A$2:$B$10, 2, FALSE), "")</f>
        <v/>
      </c>
      <c r="E642" s="7"/>
      <c r="F642" s="7"/>
      <c r="G642" s="7"/>
      <c r="H642" s="7"/>
      <c r="I642" s="7"/>
      <c r="J642" s="7"/>
      <c r="K642" s="7"/>
      <c r="L642" s="7"/>
      <c r="M642" s="7"/>
      <c r="N642" s="7"/>
      <c r="O642" s="7"/>
      <c r="P642" s="7"/>
      <c r="Q642" s="7"/>
      <c r="R642" s="8"/>
      <c r="S642" s="6" t="str">
        <f>IF(NOT(ISBLANK(E642)), ROUND(((IF(E642="yes",1,0)*'Grading Scale'!E$2)+(IF(F642="yes",1,0)*'Grading Scale'!E$3)+(IF(G642="yes",1,0)*'Grading Scale'!E$4)+(IF(H642="yes",1,0)*'Grading Scale'!E$5)+(IF(I642="yes",1,0)*'Grading Scale'!E$6)+(IF(J642="yes",1,0)*'Grading Scale'!E$7)+(IF(K642="yes",1,0)*'Grading Scale'!E$8)+(IF(L642="yes",1,0)*'Grading Scale'!E$9)+(IF(M642="yes",1,0)*'Grading Scale'!E$10)+(IF(N642="yes",1,0)*'Grading Scale'!E$11)+(IF(O642="yes",1,0)*'Grading Scale'!E$12)+(IF(P642="yes",1,0)*'Grading Scale'!E$13))/'Grading Scale'!E$14*100,0), "")</f>
        <v/>
      </c>
      <c r="T642" s="6" t="str">
        <f>IF(ISNUMBER(S642),VLOOKUP(S642,'Grading Scale'!$A$2:$B$14, 2), "")</f>
        <v/>
      </c>
      <c r="U642" s="7"/>
      <c r="V642" s="7"/>
      <c r="W642" s="7"/>
      <c r="X642" s="7"/>
      <c r="Y642" s="7"/>
      <c r="Z642" s="7"/>
      <c r="AA642" s="7"/>
      <c r="AB642" s="7"/>
      <c r="AC642" s="7"/>
      <c r="AD642" s="7"/>
      <c r="AE642" s="7"/>
      <c r="AF642" s="7"/>
      <c r="AG642" s="7"/>
      <c r="AH642" s="7"/>
      <c r="AI642" s="7"/>
      <c r="AJ642" s="7"/>
    </row>
    <row r="643">
      <c r="A643" s="7"/>
      <c r="B643" s="7"/>
      <c r="C643" s="7"/>
      <c r="D643" s="6" t="str">
        <f>IF(NOT(ISBLANK(C643)), VLOOKUP(C643,'Dataset Descriptions'!$A$2:$B$10, 2, FALSE), "")</f>
        <v/>
      </c>
      <c r="E643" s="7"/>
      <c r="F643" s="7"/>
      <c r="G643" s="7"/>
      <c r="H643" s="7"/>
      <c r="I643" s="7"/>
      <c r="J643" s="7"/>
      <c r="K643" s="7"/>
      <c r="L643" s="7"/>
      <c r="M643" s="7"/>
      <c r="N643" s="7"/>
      <c r="O643" s="7"/>
      <c r="P643" s="7"/>
      <c r="Q643" s="7"/>
      <c r="R643" s="8"/>
      <c r="S643" s="6" t="str">
        <f>IF(NOT(ISBLANK(E643)), ROUND(((IF(E643="yes",1,0)*'Grading Scale'!E$2)+(IF(F643="yes",1,0)*'Grading Scale'!E$3)+(IF(G643="yes",1,0)*'Grading Scale'!E$4)+(IF(H643="yes",1,0)*'Grading Scale'!E$5)+(IF(I643="yes",1,0)*'Grading Scale'!E$6)+(IF(J643="yes",1,0)*'Grading Scale'!E$7)+(IF(K643="yes",1,0)*'Grading Scale'!E$8)+(IF(L643="yes",1,0)*'Grading Scale'!E$9)+(IF(M643="yes",1,0)*'Grading Scale'!E$10)+(IF(N643="yes",1,0)*'Grading Scale'!E$11)+(IF(O643="yes",1,0)*'Grading Scale'!E$12)+(IF(P643="yes",1,0)*'Grading Scale'!E$13))/'Grading Scale'!E$14*100,0), "")</f>
        <v/>
      </c>
      <c r="T643" s="6" t="str">
        <f>IF(ISNUMBER(S643),VLOOKUP(S643,'Grading Scale'!$A$2:$B$14, 2), "")</f>
        <v/>
      </c>
      <c r="U643" s="7"/>
      <c r="V643" s="7"/>
      <c r="W643" s="7"/>
      <c r="X643" s="7"/>
      <c r="Y643" s="7"/>
      <c r="Z643" s="7"/>
      <c r="AA643" s="7"/>
      <c r="AB643" s="7"/>
      <c r="AC643" s="7"/>
      <c r="AD643" s="7"/>
      <c r="AE643" s="7"/>
      <c r="AF643" s="7"/>
      <c r="AG643" s="7"/>
      <c r="AH643" s="7"/>
      <c r="AI643" s="7"/>
      <c r="AJ643" s="7"/>
    </row>
    <row r="644">
      <c r="A644" s="7"/>
      <c r="B644" s="7"/>
      <c r="C644" s="7"/>
      <c r="D644" s="6" t="str">
        <f>IF(NOT(ISBLANK(C644)), VLOOKUP(C644,'Dataset Descriptions'!$A$2:$B$10, 2, FALSE), "")</f>
        <v/>
      </c>
      <c r="E644" s="7"/>
      <c r="F644" s="7"/>
      <c r="G644" s="7"/>
      <c r="H644" s="7"/>
      <c r="I644" s="7"/>
      <c r="J644" s="7"/>
      <c r="K644" s="7"/>
      <c r="L644" s="7"/>
      <c r="M644" s="7"/>
      <c r="N644" s="7"/>
      <c r="O644" s="7"/>
      <c r="P644" s="7"/>
      <c r="Q644" s="7"/>
      <c r="R644" s="8"/>
      <c r="S644" s="6" t="str">
        <f>IF(NOT(ISBLANK(E644)), ROUND(((IF(E644="yes",1,0)*'Grading Scale'!E$2)+(IF(F644="yes",1,0)*'Grading Scale'!E$3)+(IF(G644="yes",1,0)*'Grading Scale'!E$4)+(IF(H644="yes",1,0)*'Grading Scale'!E$5)+(IF(I644="yes",1,0)*'Grading Scale'!E$6)+(IF(J644="yes",1,0)*'Grading Scale'!E$7)+(IF(K644="yes",1,0)*'Grading Scale'!E$8)+(IF(L644="yes",1,0)*'Grading Scale'!E$9)+(IF(M644="yes",1,0)*'Grading Scale'!E$10)+(IF(N644="yes",1,0)*'Grading Scale'!E$11)+(IF(O644="yes",1,0)*'Grading Scale'!E$12)+(IF(P644="yes",1,0)*'Grading Scale'!E$13))/'Grading Scale'!E$14*100,0), "")</f>
        <v/>
      </c>
      <c r="T644" s="6" t="str">
        <f>IF(ISNUMBER(S644),VLOOKUP(S644,'Grading Scale'!$A$2:$B$14, 2), "")</f>
        <v/>
      </c>
      <c r="U644" s="7"/>
      <c r="V644" s="7"/>
      <c r="W644" s="7"/>
      <c r="X644" s="7"/>
      <c r="Y644" s="7"/>
      <c r="Z644" s="7"/>
      <c r="AA644" s="7"/>
      <c r="AB644" s="7"/>
      <c r="AC644" s="7"/>
      <c r="AD644" s="7"/>
      <c r="AE644" s="7"/>
      <c r="AF644" s="7"/>
      <c r="AG644" s="7"/>
      <c r="AH644" s="7"/>
      <c r="AI644" s="7"/>
      <c r="AJ644" s="7"/>
    </row>
    <row r="645">
      <c r="A645" s="7"/>
      <c r="B645" s="7"/>
      <c r="C645" s="7"/>
      <c r="D645" s="6" t="str">
        <f>IF(NOT(ISBLANK(C645)), VLOOKUP(C645,'Dataset Descriptions'!$A$2:$B$10, 2, FALSE), "")</f>
        <v/>
      </c>
      <c r="E645" s="7"/>
      <c r="F645" s="7"/>
      <c r="G645" s="7"/>
      <c r="H645" s="7"/>
      <c r="I645" s="7"/>
      <c r="J645" s="7"/>
      <c r="K645" s="7"/>
      <c r="L645" s="7"/>
      <c r="M645" s="7"/>
      <c r="N645" s="7"/>
      <c r="O645" s="7"/>
      <c r="P645" s="7"/>
      <c r="Q645" s="7"/>
      <c r="R645" s="8"/>
      <c r="S645" s="6" t="str">
        <f>IF(NOT(ISBLANK(E645)), ROUND(((IF(E645="yes",1,0)*'Grading Scale'!E$2)+(IF(F645="yes",1,0)*'Grading Scale'!E$3)+(IF(G645="yes",1,0)*'Grading Scale'!E$4)+(IF(H645="yes",1,0)*'Grading Scale'!E$5)+(IF(I645="yes",1,0)*'Grading Scale'!E$6)+(IF(J645="yes",1,0)*'Grading Scale'!E$7)+(IF(K645="yes",1,0)*'Grading Scale'!E$8)+(IF(L645="yes",1,0)*'Grading Scale'!E$9)+(IF(M645="yes",1,0)*'Grading Scale'!E$10)+(IF(N645="yes",1,0)*'Grading Scale'!E$11)+(IF(O645="yes",1,0)*'Grading Scale'!E$12)+(IF(P645="yes",1,0)*'Grading Scale'!E$13))/'Grading Scale'!E$14*100,0), "")</f>
        <v/>
      </c>
      <c r="T645" s="6" t="str">
        <f>IF(ISNUMBER(S645),VLOOKUP(S645,'Grading Scale'!$A$2:$B$14, 2), "")</f>
        <v/>
      </c>
      <c r="U645" s="7"/>
      <c r="V645" s="7"/>
      <c r="W645" s="7"/>
      <c r="X645" s="7"/>
      <c r="Y645" s="7"/>
      <c r="Z645" s="7"/>
      <c r="AA645" s="7"/>
      <c r="AB645" s="7"/>
      <c r="AC645" s="7"/>
      <c r="AD645" s="7"/>
      <c r="AE645" s="7"/>
      <c r="AF645" s="7"/>
      <c r="AG645" s="7"/>
      <c r="AH645" s="7"/>
      <c r="AI645" s="7"/>
      <c r="AJ645" s="7"/>
    </row>
    <row r="646">
      <c r="A646" s="7"/>
      <c r="B646" s="7"/>
      <c r="C646" s="7"/>
      <c r="D646" s="6" t="str">
        <f>IF(NOT(ISBLANK(C646)), VLOOKUP(C646,'Dataset Descriptions'!$A$2:$B$10, 2, FALSE), "")</f>
        <v/>
      </c>
      <c r="E646" s="7"/>
      <c r="F646" s="7"/>
      <c r="G646" s="7"/>
      <c r="H646" s="7"/>
      <c r="I646" s="7"/>
      <c r="J646" s="7"/>
      <c r="K646" s="7"/>
      <c r="L646" s="7"/>
      <c r="M646" s="7"/>
      <c r="N646" s="7"/>
      <c r="O646" s="7"/>
      <c r="P646" s="7"/>
      <c r="Q646" s="7"/>
      <c r="R646" s="8"/>
      <c r="S646" s="6" t="str">
        <f>IF(NOT(ISBLANK(E646)), ROUND(((IF(E646="yes",1,0)*'Grading Scale'!E$2)+(IF(F646="yes",1,0)*'Grading Scale'!E$3)+(IF(G646="yes",1,0)*'Grading Scale'!E$4)+(IF(H646="yes",1,0)*'Grading Scale'!E$5)+(IF(I646="yes",1,0)*'Grading Scale'!E$6)+(IF(J646="yes",1,0)*'Grading Scale'!E$7)+(IF(K646="yes",1,0)*'Grading Scale'!E$8)+(IF(L646="yes",1,0)*'Grading Scale'!E$9)+(IF(M646="yes",1,0)*'Grading Scale'!E$10)+(IF(N646="yes",1,0)*'Grading Scale'!E$11)+(IF(O646="yes",1,0)*'Grading Scale'!E$12)+(IF(P646="yes",1,0)*'Grading Scale'!E$13))/'Grading Scale'!E$14*100,0), "")</f>
        <v/>
      </c>
      <c r="T646" s="6" t="str">
        <f>IF(ISNUMBER(S646),VLOOKUP(S646,'Grading Scale'!$A$2:$B$14, 2), "")</f>
        <v/>
      </c>
      <c r="U646" s="7"/>
      <c r="V646" s="7"/>
      <c r="W646" s="7"/>
      <c r="X646" s="7"/>
      <c r="Y646" s="7"/>
      <c r="Z646" s="7"/>
      <c r="AA646" s="7"/>
      <c r="AB646" s="7"/>
      <c r="AC646" s="7"/>
      <c r="AD646" s="7"/>
      <c r="AE646" s="7"/>
      <c r="AF646" s="7"/>
      <c r="AG646" s="7"/>
      <c r="AH646" s="7"/>
      <c r="AI646" s="7"/>
      <c r="AJ646" s="7"/>
    </row>
    <row r="647">
      <c r="A647" s="7"/>
      <c r="B647" s="7"/>
      <c r="C647" s="7"/>
      <c r="D647" s="6" t="str">
        <f>IF(NOT(ISBLANK(C647)), VLOOKUP(C647,'Dataset Descriptions'!$A$2:$B$10, 2, FALSE), "")</f>
        <v/>
      </c>
      <c r="E647" s="7"/>
      <c r="F647" s="7"/>
      <c r="G647" s="7"/>
      <c r="H647" s="7"/>
      <c r="I647" s="7"/>
      <c r="J647" s="7"/>
      <c r="K647" s="7"/>
      <c r="L647" s="7"/>
      <c r="M647" s="7"/>
      <c r="N647" s="7"/>
      <c r="O647" s="7"/>
      <c r="P647" s="7"/>
      <c r="Q647" s="7"/>
      <c r="R647" s="8"/>
      <c r="S647" s="6" t="str">
        <f>IF(NOT(ISBLANK(E647)), ROUND(((IF(E647="yes",1,0)*'Grading Scale'!E$2)+(IF(F647="yes",1,0)*'Grading Scale'!E$3)+(IF(G647="yes",1,0)*'Grading Scale'!E$4)+(IF(H647="yes",1,0)*'Grading Scale'!E$5)+(IF(I647="yes",1,0)*'Grading Scale'!E$6)+(IF(J647="yes",1,0)*'Grading Scale'!E$7)+(IF(K647="yes",1,0)*'Grading Scale'!E$8)+(IF(L647="yes",1,0)*'Grading Scale'!E$9)+(IF(M647="yes",1,0)*'Grading Scale'!E$10)+(IF(N647="yes",1,0)*'Grading Scale'!E$11)+(IF(O647="yes",1,0)*'Grading Scale'!E$12)+(IF(P647="yes",1,0)*'Grading Scale'!E$13))/'Grading Scale'!E$14*100,0), "")</f>
        <v/>
      </c>
      <c r="T647" s="6" t="str">
        <f>IF(ISNUMBER(S647),VLOOKUP(S647,'Grading Scale'!$A$2:$B$14, 2), "")</f>
        <v/>
      </c>
      <c r="U647" s="7"/>
      <c r="V647" s="7"/>
      <c r="W647" s="7"/>
      <c r="X647" s="7"/>
      <c r="Y647" s="7"/>
      <c r="Z647" s="7"/>
      <c r="AA647" s="7"/>
      <c r="AB647" s="7"/>
      <c r="AC647" s="7"/>
      <c r="AD647" s="7"/>
      <c r="AE647" s="7"/>
      <c r="AF647" s="7"/>
      <c r="AG647" s="7"/>
      <c r="AH647" s="7"/>
      <c r="AI647" s="7"/>
      <c r="AJ647" s="7"/>
    </row>
    <row r="648">
      <c r="A648" s="7"/>
      <c r="B648" s="7"/>
      <c r="C648" s="7"/>
      <c r="D648" s="6" t="str">
        <f>IF(NOT(ISBLANK(C648)), VLOOKUP(C648,'Dataset Descriptions'!$A$2:$B$10, 2, FALSE), "")</f>
        <v/>
      </c>
      <c r="E648" s="7"/>
      <c r="F648" s="7"/>
      <c r="G648" s="7"/>
      <c r="H648" s="7"/>
      <c r="I648" s="7"/>
      <c r="J648" s="7"/>
      <c r="K648" s="7"/>
      <c r="L648" s="7"/>
      <c r="M648" s="7"/>
      <c r="N648" s="7"/>
      <c r="O648" s="7"/>
      <c r="P648" s="7"/>
      <c r="Q648" s="7"/>
      <c r="R648" s="8"/>
      <c r="S648" s="6" t="str">
        <f>IF(NOT(ISBLANK(E648)), ROUND(((IF(E648="yes",1,0)*'Grading Scale'!E$2)+(IF(F648="yes",1,0)*'Grading Scale'!E$3)+(IF(G648="yes",1,0)*'Grading Scale'!E$4)+(IF(H648="yes",1,0)*'Grading Scale'!E$5)+(IF(I648="yes",1,0)*'Grading Scale'!E$6)+(IF(J648="yes",1,0)*'Grading Scale'!E$7)+(IF(K648="yes",1,0)*'Grading Scale'!E$8)+(IF(L648="yes",1,0)*'Grading Scale'!E$9)+(IF(M648="yes",1,0)*'Grading Scale'!E$10)+(IF(N648="yes",1,0)*'Grading Scale'!E$11)+(IF(O648="yes",1,0)*'Grading Scale'!E$12)+(IF(P648="yes",1,0)*'Grading Scale'!E$13))/'Grading Scale'!E$14*100,0), "")</f>
        <v/>
      </c>
      <c r="T648" s="6" t="str">
        <f>IF(ISNUMBER(S648),VLOOKUP(S648,'Grading Scale'!$A$2:$B$14, 2), "")</f>
        <v/>
      </c>
      <c r="U648" s="7"/>
      <c r="V648" s="7"/>
      <c r="W648" s="7"/>
      <c r="X648" s="7"/>
      <c r="Y648" s="7"/>
      <c r="Z648" s="7"/>
      <c r="AA648" s="7"/>
      <c r="AB648" s="7"/>
      <c r="AC648" s="7"/>
      <c r="AD648" s="7"/>
      <c r="AE648" s="7"/>
      <c r="AF648" s="7"/>
      <c r="AG648" s="7"/>
      <c r="AH648" s="7"/>
      <c r="AI648" s="7"/>
      <c r="AJ648" s="7"/>
    </row>
    <row r="649">
      <c r="A649" s="7"/>
      <c r="B649" s="7"/>
      <c r="C649" s="7"/>
      <c r="D649" s="6" t="str">
        <f>IF(NOT(ISBLANK(C649)), VLOOKUP(C649,'Dataset Descriptions'!$A$2:$B$10, 2, FALSE), "")</f>
        <v/>
      </c>
      <c r="E649" s="7"/>
      <c r="F649" s="7"/>
      <c r="G649" s="7"/>
      <c r="H649" s="7"/>
      <c r="I649" s="7"/>
      <c r="J649" s="7"/>
      <c r="K649" s="7"/>
      <c r="L649" s="7"/>
      <c r="M649" s="7"/>
      <c r="N649" s="7"/>
      <c r="O649" s="7"/>
      <c r="P649" s="7"/>
      <c r="Q649" s="7"/>
      <c r="R649" s="8"/>
      <c r="S649" s="6" t="str">
        <f>IF(NOT(ISBLANK(E649)), ROUND(((IF(E649="yes",1,0)*'Grading Scale'!E$2)+(IF(F649="yes",1,0)*'Grading Scale'!E$3)+(IF(G649="yes",1,0)*'Grading Scale'!E$4)+(IF(H649="yes",1,0)*'Grading Scale'!E$5)+(IF(I649="yes",1,0)*'Grading Scale'!E$6)+(IF(J649="yes",1,0)*'Grading Scale'!E$7)+(IF(K649="yes",1,0)*'Grading Scale'!E$8)+(IF(L649="yes",1,0)*'Grading Scale'!E$9)+(IF(M649="yes",1,0)*'Grading Scale'!E$10)+(IF(N649="yes",1,0)*'Grading Scale'!E$11)+(IF(O649="yes",1,0)*'Grading Scale'!E$12)+(IF(P649="yes",1,0)*'Grading Scale'!E$13))/'Grading Scale'!E$14*100,0), "")</f>
        <v/>
      </c>
      <c r="T649" s="6" t="str">
        <f>IF(ISNUMBER(S649),VLOOKUP(S649,'Grading Scale'!$A$2:$B$14, 2), "")</f>
        <v/>
      </c>
      <c r="U649" s="7"/>
      <c r="V649" s="7"/>
      <c r="W649" s="7"/>
      <c r="X649" s="7"/>
      <c r="Y649" s="7"/>
      <c r="Z649" s="7"/>
      <c r="AA649" s="7"/>
      <c r="AB649" s="7"/>
      <c r="AC649" s="7"/>
      <c r="AD649" s="7"/>
      <c r="AE649" s="7"/>
      <c r="AF649" s="7"/>
      <c r="AG649" s="7"/>
      <c r="AH649" s="7"/>
      <c r="AI649" s="7"/>
      <c r="AJ649" s="7"/>
    </row>
    <row r="650">
      <c r="A650" s="7"/>
      <c r="B650" s="7"/>
      <c r="C650" s="7"/>
      <c r="D650" s="6" t="str">
        <f>IF(NOT(ISBLANK(C650)), VLOOKUP(C650,'Dataset Descriptions'!$A$2:$B$10, 2, FALSE), "")</f>
        <v/>
      </c>
      <c r="E650" s="7"/>
      <c r="F650" s="7"/>
      <c r="G650" s="7"/>
      <c r="H650" s="7"/>
      <c r="I650" s="7"/>
      <c r="J650" s="7"/>
      <c r="K650" s="7"/>
      <c r="L650" s="7"/>
      <c r="M650" s="7"/>
      <c r="N650" s="7"/>
      <c r="O650" s="7"/>
      <c r="P650" s="7"/>
      <c r="Q650" s="7"/>
      <c r="R650" s="8"/>
      <c r="S650" s="6" t="str">
        <f>IF(NOT(ISBLANK(E650)), ROUND(((IF(E650="yes",1,0)*'Grading Scale'!E$2)+(IF(F650="yes",1,0)*'Grading Scale'!E$3)+(IF(G650="yes",1,0)*'Grading Scale'!E$4)+(IF(H650="yes",1,0)*'Grading Scale'!E$5)+(IF(I650="yes",1,0)*'Grading Scale'!E$6)+(IF(J650="yes",1,0)*'Grading Scale'!E$7)+(IF(K650="yes",1,0)*'Grading Scale'!E$8)+(IF(L650="yes",1,0)*'Grading Scale'!E$9)+(IF(M650="yes",1,0)*'Grading Scale'!E$10)+(IF(N650="yes",1,0)*'Grading Scale'!E$11)+(IF(O650="yes",1,0)*'Grading Scale'!E$12)+(IF(P650="yes",1,0)*'Grading Scale'!E$13))/'Grading Scale'!E$14*100,0), "")</f>
        <v/>
      </c>
      <c r="T650" s="6" t="str">
        <f>IF(ISNUMBER(S650),VLOOKUP(S650,'Grading Scale'!$A$2:$B$14, 2), "")</f>
        <v/>
      </c>
      <c r="U650" s="7"/>
      <c r="V650" s="7"/>
      <c r="W650" s="7"/>
      <c r="X650" s="7"/>
      <c r="Y650" s="7"/>
      <c r="Z650" s="7"/>
      <c r="AA650" s="7"/>
      <c r="AB650" s="7"/>
      <c r="AC650" s="7"/>
      <c r="AD650" s="7"/>
      <c r="AE650" s="7"/>
      <c r="AF650" s="7"/>
      <c r="AG650" s="7"/>
      <c r="AH650" s="7"/>
      <c r="AI650" s="7"/>
      <c r="AJ650" s="7"/>
    </row>
    <row r="651">
      <c r="A651" s="7"/>
      <c r="B651" s="7"/>
      <c r="C651" s="7"/>
      <c r="D651" s="6" t="str">
        <f>IF(NOT(ISBLANK(C651)), VLOOKUP(C651,'Dataset Descriptions'!$A$2:$B$10, 2, FALSE), "")</f>
        <v/>
      </c>
      <c r="E651" s="7"/>
      <c r="F651" s="7"/>
      <c r="G651" s="7"/>
      <c r="H651" s="7"/>
      <c r="I651" s="7"/>
      <c r="J651" s="7"/>
      <c r="K651" s="7"/>
      <c r="L651" s="7"/>
      <c r="M651" s="7"/>
      <c r="N651" s="7"/>
      <c r="O651" s="7"/>
      <c r="P651" s="7"/>
      <c r="Q651" s="7"/>
      <c r="R651" s="8"/>
      <c r="S651" s="6" t="str">
        <f>IF(NOT(ISBLANK(E651)), ROUND(((IF(E651="yes",1,0)*'Grading Scale'!E$2)+(IF(F651="yes",1,0)*'Grading Scale'!E$3)+(IF(G651="yes",1,0)*'Grading Scale'!E$4)+(IF(H651="yes",1,0)*'Grading Scale'!E$5)+(IF(I651="yes",1,0)*'Grading Scale'!E$6)+(IF(J651="yes",1,0)*'Grading Scale'!E$7)+(IF(K651="yes",1,0)*'Grading Scale'!E$8)+(IF(L651="yes",1,0)*'Grading Scale'!E$9)+(IF(M651="yes",1,0)*'Grading Scale'!E$10)+(IF(N651="yes",1,0)*'Grading Scale'!E$11)+(IF(O651="yes",1,0)*'Grading Scale'!E$12)+(IF(P651="yes",1,0)*'Grading Scale'!E$13))/'Grading Scale'!E$14*100,0), "")</f>
        <v/>
      </c>
      <c r="T651" s="6" t="str">
        <f>IF(ISNUMBER(S651),VLOOKUP(S651,'Grading Scale'!$A$2:$B$14, 2), "")</f>
        <v/>
      </c>
      <c r="U651" s="7"/>
      <c r="V651" s="7"/>
      <c r="W651" s="7"/>
      <c r="X651" s="7"/>
      <c r="Y651" s="7"/>
      <c r="Z651" s="7"/>
      <c r="AA651" s="7"/>
      <c r="AB651" s="7"/>
      <c r="AC651" s="7"/>
      <c r="AD651" s="7"/>
      <c r="AE651" s="7"/>
      <c r="AF651" s="7"/>
      <c r="AG651" s="7"/>
      <c r="AH651" s="7"/>
      <c r="AI651" s="7"/>
      <c r="AJ651" s="7"/>
    </row>
    <row r="652">
      <c r="A652" s="7"/>
      <c r="B652" s="7"/>
      <c r="C652" s="7"/>
      <c r="D652" s="6" t="str">
        <f>IF(NOT(ISBLANK(C652)), VLOOKUP(C652,'Dataset Descriptions'!$A$2:$B$10, 2, FALSE), "")</f>
        <v/>
      </c>
      <c r="E652" s="7"/>
      <c r="F652" s="7"/>
      <c r="G652" s="7"/>
      <c r="H652" s="7"/>
      <c r="I652" s="7"/>
      <c r="J652" s="7"/>
      <c r="K652" s="7"/>
      <c r="L652" s="7"/>
      <c r="M652" s="7"/>
      <c r="N652" s="7"/>
      <c r="O652" s="7"/>
      <c r="P652" s="7"/>
      <c r="Q652" s="7"/>
      <c r="R652" s="8"/>
      <c r="S652" s="6" t="str">
        <f>IF(NOT(ISBLANK(E652)), ROUND(((IF(E652="yes",1,0)*'Grading Scale'!E$2)+(IF(F652="yes",1,0)*'Grading Scale'!E$3)+(IF(G652="yes",1,0)*'Grading Scale'!E$4)+(IF(H652="yes",1,0)*'Grading Scale'!E$5)+(IF(I652="yes",1,0)*'Grading Scale'!E$6)+(IF(J652="yes",1,0)*'Grading Scale'!E$7)+(IF(K652="yes",1,0)*'Grading Scale'!E$8)+(IF(L652="yes",1,0)*'Grading Scale'!E$9)+(IF(M652="yes",1,0)*'Grading Scale'!E$10)+(IF(N652="yes",1,0)*'Grading Scale'!E$11)+(IF(O652="yes",1,0)*'Grading Scale'!E$12)+(IF(P652="yes",1,0)*'Grading Scale'!E$13))/'Grading Scale'!E$14*100,0), "")</f>
        <v/>
      </c>
      <c r="T652" s="6" t="str">
        <f>IF(ISNUMBER(S652),VLOOKUP(S652,'Grading Scale'!$A$2:$B$14, 2), "")</f>
        <v/>
      </c>
      <c r="U652" s="7"/>
      <c r="V652" s="7"/>
      <c r="W652" s="7"/>
      <c r="X652" s="7"/>
      <c r="Y652" s="7"/>
      <c r="Z652" s="7"/>
      <c r="AA652" s="7"/>
      <c r="AB652" s="7"/>
      <c r="AC652" s="7"/>
      <c r="AD652" s="7"/>
      <c r="AE652" s="7"/>
      <c r="AF652" s="7"/>
      <c r="AG652" s="7"/>
      <c r="AH652" s="7"/>
      <c r="AI652" s="7"/>
      <c r="AJ652" s="7"/>
    </row>
    <row r="653">
      <c r="A653" s="7"/>
      <c r="B653" s="7"/>
      <c r="C653" s="7"/>
      <c r="D653" s="6" t="str">
        <f>IF(NOT(ISBLANK(C653)), VLOOKUP(C653,'Dataset Descriptions'!$A$2:$B$10, 2, FALSE), "")</f>
        <v/>
      </c>
      <c r="E653" s="7"/>
      <c r="F653" s="7"/>
      <c r="G653" s="7"/>
      <c r="H653" s="7"/>
      <c r="I653" s="7"/>
      <c r="J653" s="7"/>
      <c r="K653" s="7"/>
      <c r="L653" s="7"/>
      <c r="M653" s="7"/>
      <c r="N653" s="7"/>
      <c r="O653" s="7"/>
      <c r="P653" s="7"/>
      <c r="Q653" s="7"/>
      <c r="R653" s="8"/>
      <c r="S653" s="6" t="str">
        <f>IF(NOT(ISBLANK(E653)), ROUND(((IF(E653="yes",1,0)*'Grading Scale'!E$2)+(IF(F653="yes",1,0)*'Grading Scale'!E$3)+(IF(G653="yes",1,0)*'Grading Scale'!E$4)+(IF(H653="yes",1,0)*'Grading Scale'!E$5)+(IF(I653="yes",1,0)*'Grading Scale'!E$6)+(IF(J653="yes",1,0)*'Grading Scale'!E$7)+(IF(K653="yes",1,0)*'Grading Scale'!E$8)+(IF(L653="yes",1,0)*'Grading Scale'!E$9)+(IF(M653="yes",1,0)*'Grading Scale'!E$10)+(IF(N653="yes",1,0)*'Grading Scale'!E$11)+(IF(O653="yes",1,0)*'Grading Scale'!E$12)+(IF(P653="yes",1,0)*'Grading Scale'!E$13))/'Grading Scale'!E$14*100,0), "")</f>
        <v/>
      </c>
      <c r="T653" s="6" t="str">
        <f>IF(ISNUMBER(S653),VLOOKUP(S653,'Grading Scale'!$A$2:$B$14, 2), "")</f>
        <v/>
      </c>
      <c r="U653" s="7"/>
      <c r="V653" s="7"/>
      <c r="W653" s="7"/>
      <c r="X653" s="7"/>
      <c r="Y653" s="7"/>
      <c r="Z653" s="7"/>
      <c r="AA653" s="7"/>
      <c r="AB653" s="7"/>
      <c r="AC653" s="7"/>
      <c r="AD653" s="7"/>
      <c r="AE653" s="7"/>
      <c r="AF653" s="7"/>
      <c r="AG653" s="7"/>
      <c r="AH653" s="7"/>
      <c r="AI653" s="7"/>
      <c r="AJ653" s="7"/>
    </row>
    <row r="654">
      <c r="A654" s="7"/>
      <c r="B654" s="7"/>
      <c r="C654" s="7"/>
      <c r="D654" s="6" t="str">
        <f>IF(NOT(ISBLANK(C654)), VLOOKUP(C654,'Dataset Descriptions'!$A$2:$B$10, 2, FALSE), "")</f>
        <v/>
      </c>
      <c r="E654" s="7"/>
      <c r="F654" s="7"/>
      <c r="G654" s="7"/>
      <c r="H654" s="7"/>
      <c r="I654" s="7"/>
      <c r="J654" s="7"/>
      <c r="K654" s="7"/>
      <c r="L654" s="7"/>
      <c r="M654" s="7"/>
      <c r="N654" s="7"/>
      <c r="O654" s="7"/>
      <c r="P654" s="7"/>
      <c r="Q654" s="7"/>
      <c r="R654" s="8"/>
      <c r="S654" s="6" t="str">
        <f>IF(NOT(ISBLANK(E654)), ROUND(((IF(E654="yes",1,0)*'Grading Scale'!E$2)+(IF(F654="yes",1,0)*'Grading Scale'!E$3)+(IF(G654="yes",1,0)*'Grading Scale'!E$4)+(IF(H654="yes",1,0)*'Grading Scale'!E$5)+(IF(I654="yes",1,0)*'Grading Scale'!E$6)+(IF(J654="yes",1,0)*'Grading Scale'!E$7)+(IF(K654="yes",1,0)*'Grading Scale'!E$8)+(IF(L654="yes",1,0)*'Grading Scale'!E$9)+(IF(M654="yes",1,0)*'Grading Scale'!E$10)+(IF(N654="yes",1,0)*'Grading Scale'!E$11)+(IF(O654="yes",1,0)*'Grading Scale'!E$12)+(IF(P654="yes",1,0)*'Grading Scale'!E$13))/'Grading Scale'!E$14*100,0), "")</f>
        <v/>
      </c>
      <c r="T654" s="6" t="str">
        <f>IF(ISNUMBER(S654),VLOOKUP(S654,'Grading Scale'!$A$2:$B$14, 2), "")</f>
        <v/>
      </c>
      <c r="U654" s="7"/>
      <c r="V654" s="7"/>
      <c r="W654" s="7"/>
      <c r="X654" s="7"/>
      <c r="Y654" s="7"/>
      <c r="Z654" s="7"/>
      <c r="AA654" s="7"/>
      <c r="AB654" s="7"/>
      <c r="AC654" s="7"/>
      <c r="AD654" s="7"/>
      <c r="AE654" s="7"/>
      <c r="AF654" s="7"/>
      <c r="AG654" s="7"/>
      <c r="AH654" s="7"/>
      <c r="AI654" s="7"/>
      <c r="AJ654" s="7"/>
    </row>
    <row r="655">
      <c r="A655" s="7"/>
      <c r="B655" s="7"/>
      <c r="C655" s="7"/>
      <c r="D655" s="6" t="str">
        <f>IF(NOT(ISBLANK(C655)), VLOOKUP(C655,'Dataset Descriptions'!$A$2:$B$10, 2, FALSE), "")</f>
        <v/>
      </c>
      <c r="E655" s="7"/>
      <c r="F655" s="7"/>
      <c r="G655" s="7"/>
      <c r="H655" s="7"/>
      <c r="I655" s="7"/>
      <c r="J655" s="7"/>
      <c r="K655" s="7"/>
      <c r="L655" s="7"/>
      <c r="M655" s="7"/>
      <c r="N655" s="7"/>
      <c r="O655" s="7"/>
      <c r="P655" s="7"/>
      <c r="Q655" s="7"/>
      <c r="R655" s="8"/>
      <c r="S655" s="6" t="str">
        <f>IF(NOT(ISBLANK(E655)), ROUND(((IF(E655="yes",1,0)*'Grading Scale'!E$2)+(IF(F655="yes",1,0)*'Grading Scale'!E$3)+(IF(G655="yes",1,0)*'Grading Scale'!E$4)+(IF(H655="yes",1,0)*'Grading Scale'!E$5)+(IF(I655="yes",1,0)*'Grading Scale'!E$6)+(IF(J655="yes",1,0)*'Grading Scale'!E$7)+(IF(K655="yes",1,0)*'Grading Scale'!E$8)+(IF(L655="yes",1,0)*'Grading Scale'!E$9)+(IF(M655="yes",1,0)*'Grading Scale'!E$10)+(IF(N655="yes",1,0)*'Grading Scale'!E$11)+(IF(O655="yes",1,0)*'Grading Scale'!E$12)+(IF(P655="yes",1,0)*'Grading Scale'!E$13))/'Grading Scale'!E$14*100,0), "")</f>
        <v/>
      </c>
      <c r="T655" s="6" t="str">
        <f>IF(ISNUMBER(S655),VLOOKUP(S655,'Grading Scale'!$A$2:$B$14, 2), "")</f>
        <v/>
      </c>
      <c r="U655" s="7"/>
      <c r="V655" s="7"/>
      <c r="W655" s="7"/>
      <c r="X655" s="7"/>
      <c r="Y655" s="7"/>
      <c r="Z655" s="7"/>
      <c r="AA655" s="7"/>
      <c r="AB655" s="7"/>
      <c r="AC655" s="7"/>
      <c r="AD655" s="7"/>
      <c r="AE655" s="7"/>
      <c r="AF655" s="7"/>
      <c r="AG655" s="7"/>
      <c r="AH655" s="7"/>
      <c r="AI655" s="7"/>
      <c r="AJ655" s="7"/>
    </row>
    <row r="656">
      <c r="A656" s="7"/>
      <c r="B656" s="7"/>
      <c r="C656" s="7"/>
      <c r="D656" s="6" t="str">
        <f>IF(NOT(ISBLANK(C656)), VLOOKUP(C656,'Dataset Descriptions'!$A$2:$B$10, 2, FALSE), "")</f>
        <v/>
      </c>
      <c r="E656" s="7"/>
      <c r="F656" s="7"/>
      <c r="G656" s="7"/>
      <c r="H656" s="7"/>
      <c r="I656" s="7"/>
      <c r="J656" s="7"/>
      <c r="K656" s="7"/>
      <c r="L656" s="7"/>
      <c r="M656" s="7"/>
      <c r="N656" s="7"/>
      <c r="O656" s="7"/>
      <c r="P656" s="7"/>
      <c r="Q656" s="7"/>
      <c r="R656" s="8"/>
      <c r="S656" s="6" t="str">
        <f>IF(NOT(ISBLANK(E656)), ROUND(((IF(E656="yes",1,0)*'Grading Scale'!E$2)+(IF(F656="yes",1,0)*'Grading Scale'!E$3)+(IF(G656="yes",1,0)*'Grading Scale'!E$4)+(IF(H656="yes",1,0)*'Grading Scale'!E$5)+(IF(I656="yes",1,0)*'Grading Scale'!E$6)+(IF(J656="yes",1,0)*'Grading Scale'!E$7)+(IF(K656="yes",1,0)*'Grading Scale'!E$8)+(IF(L656="yes",1,0)*'Grading Scale'!E$9)+(IF(M656="yes",1,0)*'Grading Scale'!E$10)+(IF(N656="yes",1,0)*'Grading Scale'!E$11)+(IF(O656="yes",1,0)*'Grading Scale'!E$12)+(IF(P656="yes",1,0)*'Grading Scale'!E$13))/'Grading Scale'!E$14*100,0), "")</f>
        <v/>
      </c>
      <c r="T656" s="6" t="str">
        <f>IF(ISNUMBER(S656),VLOOKUP(S656,'Grading Scale'!$A$2:$B$14, 2), "")</f>
        <v/>
      </c>
      <c r="U656" s="7"/>
      <c r="V656" s="7"/>
      <c r="W656" s="7"/>
      <c r="X656" s="7"/>
      <c r="Y656" s="7"/>
      <c r="Z656" s="7"/>
      <c r="AA656" s="7"/>
      <c r="AB656" s="7"/>
      <c r="AC656" s="7"/>
      <c r="AD656" s="7"/>
      <c r="AE656" s="7"/>
      <c r="AF656" s="7"/>
      <c r="AG656" s="7"/>
      <c r="AH656" s="7"/>
      <c r="AI656" s="7"/>
      <c r="AJ656" s="7"/>
    </row>
    <row r="657">
      <c r="A657" s="7"/>
      <c r="B657" s="7"/>
      <c r="C657" s="7"/>
      <c r="D657" s="6" t="str">
        <f>IF(NOT(ISBLANK(C657)), VLOOKUP(C657,'Dataset Descriptions'!$A$2:$B$10, 2, FALSE), "")</f>
        <v/>
      </c>
      <c r="E657" s="7"/>
      <c r="F657" s="7"/>
      <c r="G657" s="7"/>
      <c r="H657" s="7"/>
      <c r="I657" s="7"/>
      <c r="J657" s="7"/>
      <c r="K657" s="7"/>
      <c r="L657" s="7"/>
      <c r="M657" s="7"/>
      <c r="N657" s="7"/>
      <c r="O657" s="7"/>
      <c r="P657" s="7"/>
      <c r="Q657" s="7"/>
      <c r="R657" s="8"/>
      <c r="S657" s="6" t="str">
        <f>IF(NOT(ISBLANK(E657)), ROUND(((IF(E657="yes",1,0)*'Grading Scale'!E$2)+(IF(F657="yes",1,0)*'Grading Scale'!E$3)+(IF(G657="yes",1,0)*'Grading Scale'!E$4)+(IF(H657="yes",1,0)*'Grading Scale'!E$5)+(IF(I657="yes",1,0)*'Grading Scale'!E$6)+(IF(J657="yes",1,0)*'Grading Scale'!E$7)+(IF(K657="yes",1,0)*'Grading Scale'!E$8)+(IF(L657="yes",1,0)*'Grading Scale'!E$9)+(IF(M657="yes",1,0)*'Grading Scale'!E$10)+(IF(N657="yes",1,0)*'Grading Scale'!E$11)+(IF(O657="yes",1,0)*'Grading Scale'!E$12)+(IF(P657="yes",1,0)*'Grading Scale'!E$13))/'Grading Scale'!E$14*100,0), "")</f>
        <v/>
      </c>
      <c r="T657" s="6" t="str">
        <f>IF(ISNUMBER(S657),VLOOKUP(S657,'Grading Scale'!$A$2:$B$14, 2), "")</f>
        <v/>
      </c>
      <c r="U657" s="7"/>
      <c r="V657" s="7"/>
      <c r="W657" s="7"/>
      <c r="X657" s="7"/>
      <c r="Y657" s="7"/>
      <c r="Z657" s="7"/>
      <c r="AA657" s="7"/>
      <c r="AB657" s="7"/>
      <c r="AC657" s="7"/>
      <c r="AD657" s="7"/>
      <c r="AE657" s="7"/>
      <c r="AF657" s="7"/>
      <c r="AG657" s="7"/>
      <c r="AH657" s="7"/>
      <c r="AI657" s="7"/>
      <c r="AJ657" s="7"/>
    </row>
    <row r="658">
      <c r="A658" s="7"/>
      <c r="B658" s="7"/>
      <c r="C658" s="7"/>
      <c r="D658" s="6" t="str">
        <f>IF(NOT(ISBLANK(C658)), VLOOKUP(C658,'Dataset Descriptions'!$A$2:$B$10, 2, FALSE), "")</f>
        <v/>
      </c>
      <c r="E658" s="7"/>
      <c r="F658" s="7"/>
      <c r="G658" s="7"/>
      <c r="H658" s="7"/>
      <c r="I658" s="7"/>
      <c r="J658" s="7"/>
      <c r="K658" s="7"/>
      <c r="L658" s="7"/>
      <c r="M658" s="7"/>
      <c r="N658" s="7"/>
      <c r="O658" s="7"/>
      <c r="P658" s="7"/>
      <c r="Q658" s="7"/>
      <c r="R658" s="8"/>
      <c r="S658" s="6" t="str">
        <f>IF(NOT(ISBLANK(E658)), ROUND(((IF(E658="yes",1,0)*'Grading Scale'!E$2)+(IF(F658="yes",1,0)*'Grading Scale'!E$3)+(IF(G658="yes",1,0)*'Grading Scale'!E$4)+(IF(H658="yes",1,0)*'Grading Scale'!E$5)+(IF(I658="yes",1,0)*'Grading Scale'!E$6)+(IF(J658="yes",1,0)*'Grading Scale'!E$7)+(IF(K658="yes",1,0)*'Grading Scale'!E$8)+(IF(L658="yes",1,0)*'Grading Scale'!E$9)+(IF(M658="yes",1,0)*'Grading Scale'!E$10)+(IF(N658="yes",1,0)*'Grading Scale'!E$11)+(IF(O658="yes",1,0)*'Grading Scale'!E$12)+(IF(P658="yes",1,0)*'Grading Scale'!E$13))/'Grading Scale'!E$14*100,0), "")</f>
        <v/>
      </c>
      <c r="T658" s="6" t="str">
        <f>IF(ISNUMBER(S658),VLOOKUP(S658,'Grading Scale'!$A$2:$B$14, 2), "")</f>
        <v/>
      </c>
      <c r="U658" s="7"/>
      <c r="V658" s="7"/>
      <c r="W658" s="7"/>
      <c r="X658" s="7"/>
      <c r="Y658" s="7"/>
      <c r="Z658" s="7"/>
      <c r="AA658" s="7"/>
      <c r="AB658" s="7"/>
      <c r="AC658" s="7"/>
      <c r="AD658" s="7"/>
      <c r="AE658" s="7"/>
      <c r="AF658" s="7"/>
      <c r="AG658" s="7"/>
      <c r="AH658" s="7"/>
      <c r="AI658" s="7"/>
      <c r="AJ658" s="7"/>
    </row>
    <row r="659">
      <c r="A659" s="7"/>
      <c r="B659" s="7"/>
      <c r="C659" s="7"/>
      <c r="D659" s="6" t="str">
        <f>IF(NOT(ISBLANK(C659)), VLOOKUP(C659,'Dataset Descriptions'!$A$2:$B$10, 2, FALSE), "")</f>
        <v/>
      </c>
      <c r="E659" s="7"/>
      <c r="F659" s="7"/>
      <c r="G659" s="7"/>
      <c r="H659" s="7"/>
      <c r="I659" s="7"/>
      <c r="J659" s="7"/>
      <c r="K659" s="7"/>
      <c r="L659" s="7"/>
      <c r="M659" s="7"/>
      <c r="N659" s="7"/>
      <c r="O659" s="7"/>
      <c r="P659" s="7"/>
      <c r="Q659" s="7"/>
      <c r="R659" s="8"/>
      <c r="S659" s="6" t="str">
        <f>IF(NOT(ISBLANK(E659)), ROUND(((IF(E659="yes",1,0)*'Grading Scale'!E$2)+(IF(F659="yes",1,0)*'Grading Scale'!E$3)+(IF(G659="yes",1,0)*'Grading Scale'!E$4)+(IF(H659="yes",1,0)*'Grading Scale'!E$5)+(IF(I659="yes",1,0)*'Grading Scale'!E$6)+(IF(J659="yes",1,0)*'Grading Scale'!E$7)+(IF(K659="yes",1,0)*'Grading Scale'!E$8)+(IF(L659="yes",1,0)*'Grading Scale'!E$9)+(IF(M659="yes",1,0)*'Grading Scale'!E$10)+(IF(N659="yes",1,0)*'Grading Scale'!E$11)+(IF(O659="yes",1,0)*'Grading Scale'!E$12)+(IF(P659="yes",1,0)*'Grading Scale'!E$13))/'Grading Scale'!E$14*100,0), "")</f>
        <v/>
      </c>
      <c r="T659" s="6" t="str">
        <f>IF(ISNUMBER(S659),VLOOKUP(S659,'Grading Scale'!$A$2:$B$14, 2), "")</f>
        <v/>
      </c>
      <c r="U659" s="7"/>
      <c r="V659" s="7"/>
      <c r="W659" s="7"/>
      <c r="X659" s="7"/>
      <c r="Y659" s="7"/>
      <c r="Z659" s="7"/>
      <c r="AA659" s="7"/>
      <c r="AB659" s="7"/>
      <c r="AC659" s="7"/>
      <c r="AD659" s="7"/>
      <c r="AE659" s="7"/>
      <c r="AF659" s="7"/>
      <c r="AG659" s="7"/>
      <c r="AH659" s="7"/>
      <c r="AI659" s="7"/>
      <c r="AJ659" s="7"/>
    </row>
    <row r="660">
      <c r="A660" s="7"/>
      <c r="B660" s="7"/>
      <c r="C660" s="7"/>
      <c r="D660" s="6" t="str">
        <f>IF(NOT(ISBLANK(C660)), VLOOKUP(C660,'Dataset Descriptions'!$A$2:$B$10, 2, FALSE), "")</f>
        <v/>
      </c>
      <c r="E660" s="7"/>
      <c r="F660" s="7"/>
      <c r="G660" s="7"/>
      <c r="H660" s="7"/>
      <c r="I660" s="7"/>
      <c r="J660" s="7"/>
      <c r="K660" s="7"/>
      <c r="L660" s="7"/>
      <c r="M660" s="7"/>
      <c r="N660" s="7"/>
      <c r="O660" s="7"/>
      <c r="P660" s="7"/>
      <c r="Q660" s="7"/>
      <c r="R660" s="8"/>
      <c r="S660" s="6" t="str">
        <f>IF(NOT(ISBLANK(E660)), ROUND(((IF(E660="yes",1,0)*'Grading Scale'!E$2)+(IF(F660="yes",1,0)*'Grading Scale'!E$3)+(IF(G660="yes",1,0)*'Grading Scale'!E$4)+(IF(H660="yes",1,0)*'Grading Scale'!E$5)+(IF(I660="yes",1,0)*'Grading Scale'!E$6)+(IF(J660="yes",1,0)*'Grading Scale'!E$7)+(IF(K660="yes",1,0)*'Grading Scale'!E$8)+(IF(L660="yes",1,0)*'Grading Scale'!E$9)+(IF(M660="yes",1,0)*'Grading Scale'!E$10)+(IF(N660="yes",1,0)*'Grading Scale'!E$11)+(IF(O660="yes",1,0)*'Grading Scale'!E$12)+(IF(P660="yes",1,0)*'Grading Scale'!E$13))/'Grading Scale'!E$14*100,0), "")</f>
        <v/>
      </c>
      <c r="T660" s="6" t="str">
        <f>IF(ISNUMBER(S660),VLOOKUP(S660,'Grading Scale'!$A$2:$B$14, 2), "")</f>
        <v/>
      </c>
      <c r="U660" s="7"/>
      <c r="V660" s="7"/>
      <c r="W660" s="7"/>
      <c r="X660" s="7"/>
      <c r="Y660" s="7"/>
      <c r="Z660" s="7"/>
      <c r="AA660" s="7"/>
      <c r="AB660" s="7"/>
      <c r="AC660" s="7"/>
      <c r="AD660" s="7"/>
      <c r="AE660" s="7"/>
      <c r="AF660" s="7"/>
      <c r="AG660" s="7"/>
      <c r="AH660" s="7"/>
      <c r="AI660" s="7"/>
      <c r="AJ660" s="7"/>
    </row>
    <row r="661">
      <c r="A661" s="7"/>
      <c r="B661" s="7"/>
      <c r="C661" s="7"/>
      <c r="D661" s="6" t="str">
        <f>IF(NOT(ISBLANK(C661)), VLOOKUP(C661,'Dataset Descriptions'!$A$2:$B$10, 2, FALSE), "")</f>
        <v/>
      </c>
      <c r="E661" s="7"/>
      <c r="F661" s="7"/>
      <c r="G661" s="7"/>
      <c r="H661" s="7"/>
      <c r="I661" s="7"/>
      <c r="J661" s="7"/>
      <c r="K661" s="7"/>
      <c r="L661" s="7"/>
      <c r="M661" s="7"/>
      <c r="N661" s="7"/>
      <c r="O661" s="7"/>
      <c r="P661" s="7"/>
      <c r="Q661" s="7"/>
      <c r="R661" s="8"/>
      <c r="S661" s="6" t="str">
        <f>IF(NOT(ISBLANK(E661)), ROUND(((IF(E661="yes",1,0)*'Grading Scale'!E$2)+(IF(F661="yes",1,0)*'Grading Scale'!E$3)+(IF(G661="yes",1,0)*'Grading Scale'!E$4)+(IF(H661="yes",1,0)*'Grading Scale'!E$5)+(IF(I661="yes",1,0)*'Grading Scale'!E$6)+(IF(J661="yes",1,0)*'Grading Scale'!E$7)+(IF(K661="yes",1,0)*'Grading Scale'!E$8)+(IF(L661="yes",1,0)*'Grading Scale'!E$9)+(IF(M661="yes",1,0)*'Grading Scale'!E$10)+(IF(N661="yes",1,0)*'Grading Scale'!E$11)+(IF(O661="yes",1,0)*'Grading Scale'!E$12)+(IF(P661="yes",1,0)*'Grading Scale'!E$13))/'Grading Scale'!E$14*100,0), "")</f>
        <v/>
      </c>
      <c r="T661" s="6" t="str">
        <f>IF(ISNUMBER(S661),VLOOKUP(S661,'Grading Scale'!$A$2:$B$14, 2), "")</f>
        <v/>
      </c>
      <c r="U661" s="7"/>
      <c r="V661" s="7"/>
      <c r="W661" s="7"/>
      <c r="X661" s="7"/>
      <c r="Y661" s="7"/>
      <c r="Z661" s="7"/>
      <c r="AA661" s="7"/>
      <c r="AB661" s="7"/>
      <c r="AC661" s="7"/>
      <c r="AD661" s="7"/>
      <c r="AE661" s="7"/>
      <c r="AF661" s="7"/>
      <c r="AG661" s="7"/>
      <c r="AH661" s="7"/>
      <c r="AI661" s="7"/>
      <c r="AJ661" s="7"/>
    </row>
    <row r="662">
      <c r="A662" s="7"/>
      <c r="B662" s="7"/>
      <c r="C662" s="7"/>
      <c r="D662" s="6" t="str">
        <f>IF(NOT(ISBLANK(C662)), VLOOKUP(C662,'Dataset Descriptions'!$A$2:$B$10, 2, FALSE), "")</f>
        <v/>
      </c>
      <c r="E662" s="7"/>
      <c r="F662" s="7"/>
      <c r="G662" s="7"/>
      <c r="H662" s="7"/>
      <c r="I662" s="7"/>
      <c r="J662" s="7"/>
      <c r="K662" s="7"/>
      <c r="L662" s="7"/>
      <c r="M662" s="7"/>
      <c r="N662" s="7"/>
      <c r="O662" s="7"/>
      <c r="P662" s="7"/>
      <c r="Q662" s="7"/>
      <c r="R662" s="8"/>
      <c r="S662" s="6" t="str">
        <f>IF(NOT(ISBLANK(E662)), ROUND(((IF(E662="yes",1,0)*'Grading Scale'!E$2)+(IF(F662="yes",1,0)*'Grading Scale'!E$3)+(IF(G662="yes",1,0)*'Grading Scale'!E$4)+(IF(H662="yes",1,0)*'Grading Scale'!E$5)+(IF(I662="yes",1,0)*'Grading Scale'!E$6)+(IF(J662="yes",1,0)*'Grading Scale'!E$7)+(IF(K662="yes",1,0)*'Grading Scale'!E$8)+(IF(L662="yes",1,0)*'Grading Scale'!E$9)+(IF(M662="yes",1,0)*'Grading Scale'!E$10)+(IF(N662="yes",1,0)*'Grading Scale'!E$11)+(IF(O662="yes",1,0)*'Grading Scale'!E$12)+(IF(P662="yes",1,0)*'Grading Scale'!E$13))/'Grading Scale'!E$14*100,0), "")</f>
        <v/>
      </c>
      <c r="T662" s="6" t="str">
        <f>IF(ISNUMBER(S662),VLOOKUP(S662,'Grading Scale'!$A$2:$B$14, 2), "")</f>
        <v/>
      </c>
      <c r="U662" s="7"/>
      <c r="V662" s="7"/>
      <c r="W662" s="7"/>
      <c r="X662" s="7"/>
      <c r="Y662" s="7"/>
      <c r="Z662" s="7"/>
      <c r="AA662" s="7"/>
      <c r="AB662" s="7"/>
      <c r="AC662" s="7"/>
      <c r="AD662" s="7"/>
      <c r="AE662" s="7"/>
      <c r="AF662" s="7"/>
      <c r="AG662" s="7"/>
      <c r="AH662" s="7"/>
      <c r="AI662" s="7"/>
      <c r="AJ662" s="7"/>
    </row>
    <row r="663">
      <c r="A663" s="7"/>
      <c r="B663" s="7"/>
      <c r="C663" s="7"/>
      <c r="D663" s="6" t="str">
        <f>IF(NOT(ISBLANK(C663)), VLOOKUP(C663,'Dataset Descriptions'!$A$2:$B$10, 2, FALSE), "")</f>
        <v/>
      </c>
      <c r="E663" s="7"/>
      <c r="F663" s="7"/>
      <c r="G663" s="7"/>
      <c r="H663" s="7"/>
      <c r="I663" s="7"/>
      <c r="J663" s="7"/>
      <c r="K663" s="7"/>
      <c r="L663" s="7"/>
      <c r="M663" s="7"/>
      <c r="N663" s="7"/>
      <c r="O663" s="7"/>
      <c r="P663" s="7"/>
      <c r="Q663" s="7"/>
      <c r="R663" s="8"/>
      <c r="S663" s="6" t="str">
        <f>IF(NOT(ISBLANK(E663)), ROUND(((IF(E663="yes",1,0)*'Grading Scale'!E$2)+(IF(F663="yes",1,0)*'Grading Scale'!E$3)+(IF(G663="yes",1,0)*'Grading Scale'!E$4)+(IF(H663="yes",1,0)*'Grading Scale'!E$5)+(IF(I663="yes",1,0)*'Grading Scale'!E$6)+(IF(J663="yes",1,0)*'Grading Scale'!E$7)+(IF(K663="yes",1,0)*'Grading Scale'!E$8)+(IF(L663="yes",1,0)*'Grading Scale'!E$9)+(IF(M663="yes",1,0)*'Grading Scale'!E$10)+(IF(N663="yes",1,0)*'Grading Scale'!E$11)+(IF(O663="yes",1,0)*'Grading Scale'!E$12)+(IF(P663="yes",1,0)*'Grading Scale'!E$13))/'Grading Scale'!E$14*100,0), "")</f>
        <v/>
      </c>
      <c r="T663" s="6" t="str">
        <f>IF(ISNUMBER(S663),VLOOKUP(S663,'Grading Scale'!$A$2:$B$14, 2), "")</f>
        <v/>
      </c>
      <c r="U663" s="7"/>
      <c r="V663" s="7"/>
      <c r="W663" s="7"/>
      <c r="X663" s="7"/>
      <c r="Y663" s="7"/>
      <c r="Z663" s="7"/>
      <c r="AA663" s="7"/>
      <c r="AB663" s="7"/>
      <c r="AC663" s="7"/>
      <c r="AD663" s="7"/>
      <c r="AE663" s="7"/>
      <c r="AF663" s="7"/>
      <c r="AG663" s="7"/>
      <c r="AH663" s="7"/>
      <c r="AI663" s="7"/>
      <c r="AJ663" s="7"/>
    </row>
    <row r="664">
      <c r="A664" s="7"/>
      <c r="B664" s="7"/>
      <c r="C664" s="7"/>
      <c r="D664" s="6" t="str">
        <f>IF(NOT(ISBLANK(C664)), VLOOKUP(C664,'Dataset Descriptions'!$A$2:$B$10, 2, FALSE), "")</f>
        <v/>
      </c>
      <c r="E664" s="7"/>
      <c r="F664" s="7"/>
      <c r="G664" s="7"/>
      <c r="H664" s="7"/>
      <c r="I664" s="7"/>
      <c r="J664" s="7"/>
      <c r="K664" s="7"/>
      <c r="L664" s="7"/>
      <c r="M664" s="7"/>
      <c r="N664" s="7"/>
      <c r="O664" s="7"/>
      <c r="P664" s="7"/>
      <c r="Q664" s="7"/>
      <c r="R664" s="8"/>
      <c r="S664" s="6" t="str">
        <f>IF(NOT(ISBLANK(E664)), ROUND(((IF(E664="yes",1,0)*'Grading Scale'!E$2)+(IF(F664="yes",1,0)*'Grading Scale'!E$3)+(IF(G664="yes",1,0)*'Grading Scale'!E$4)+(IF(H664="yes",1,0)*'Grading Scale'!E$5)+(IF(I664="yes",1,0)*'Grading Scale'!E$6)+(IF(J664="yes",1,0)*'Grading Scale'!E$7)+(IF(K664="yes",1,0)*'Grading Scale'!E$8)+(IF(L664="yes",1,0)*'Grading Scale'!E$9)+(IF(M664="yes",1,0)*'Grading Scale'!E$10)+(IF(N664="yes",1,0)*'Grading Scale'!E$11)+(IF(O664="yes",1,0)*'Grading Scale'!E$12)+(IF(P664="yes",1,0)*'Grading Scale'!E$13))/'Grading Scale'!E$14*100,0), "")</f>
        <v/>
      </c>
      <c r="T664" s="6" t="str">
        <f>IF(ISNUMBER(S664),VLOOKUP(S664,'Grading Scale'!$A$2:$B$14, 2), "")</f>
        <v/>
      </c>
      <c r="U664" s="7"/>
      <c r="V664" s="7"/>
      <c r="W664" s="7"/>
      <c r="X664" s="7"/>
      <c r="Y664" s="7"/>
      <c r="Z664" s="7"/>
      <c r="AA664" s="7"/>
      <c r="AB664" s="7"/>
      <c r="AC664" s="7"/>
      <c r="AD664" s="7"/>
      <c r="AE664" s="7"/>
      <c r="AF664" s="7"/>
      <c r="AG664" s="7"/>
      <c r="AH664" s="7"/>
      <c r="AI664" s="7"/>
      <c r="AJ664" s="7"/>
    </row>
    <row r="665">
      <c r="A665" s="7"/>
      <c r="B665" s="7"/>
      <c r="C665" s="7"/>
      <c r="D665" s="6" t="str">
        <f>IF(NOT(ISBLANK(C665)), VLOOKUP(C665,'Dataset Descriptions'!$A$2:$B$10, 2, FALSE), "")</f>
        <v/>
      </c>
      <c r="E665" s="7"/>
      <c r="F665" s="7"/>
      <c r="G665" s="7"/>
      <c r="H665" s="7"/>
      <c r="I665" s="7"/>
      <c r="J665" s="7"/>
      <c r="K665" s="7"/>
      <c r="L665" s="7"/>
      <c r="M665" s="7"/>
      <c r="N665" s="7"/>
      <c r="O665" s="7"/>
      <c r="P665" s="7"/>
      <c r="Q665" s="7"/>
      <c r="R665" s="8"/>
      <c r="S665" s="6" t="str">
        <f>IF(NOT(ISBLANK(E665)), ROUND(((IF(E665="yes",1,0)*'Grading Scale'!E$2)+(IF(F665="yes",1,0)*'Grading Scale'!E$3)+(IF(G665="yes",1,0)*'Grading Scale'!E$4)+(IF(H665="yes",1,0)*'Grading Scale'!E$5)+(IF(I665="yes",1,0)*'Grading Scale'!E$6)+(IF(J665="yes",1,0)*'Grading Scale'!E$7)+(IF(K665="yes",1,0)*'Grading Scale'!E$8)+(IF(L665="yes",1,0)*'Grading Scale'!E$9)+(IF(M665="yes",1,0)*'Grading Scale'!E$10)+(IF(N665="yes",1,0)*'Grading Scale'!E$11)+(IF(O665="yes",1,0)*'Grading Scale'!E$12)+(IF(P665="yes",1,0)*'Grading Scale'!E$13))/'Grading Scale'!E$14*100,0), "")</f>
        <v/>
      </c>
      <c r="T665" s="6" t="str">
        <f>IF(ISNUMBER(S665),VLOOKUP(S665,'Grading Scale'!$A$2:$B$14, 2), "")</f>
        <v/>
      </c>
      <c r="U665" s="7"/>
      <c r="V665" s="7"/>
      <c r="W665" s="7"/>
      <c r="X665" s="7"/>
      <c r="Y665" s="7"/>
      <c r="Z665" s="7"/>
      <c r="AA665" s="7"/>
      <c r="AB665" s="7"/>
      <c r="AC665" s="7"/>
      <c r="AD665" s="7"/>
      <c r="AE665" s="7"/>
      <c r="AF665" s="7"/>
      <c r="AG665" s="7"/>
      <c r="AH665" s="7"/>
      <c r="AI665" s="7"/>
      <c r="AJ665" s="7"/>
    </row>
    <row r="666">
      <c r="A666" s="7"/>
      <c r="B666" s="7"/>
      <c r="C666" s="7"/>
      <c r="D666" s="6" t="str">
        <f>IF(NOT(ISBLANK(C666)), VLOOKUP(C666,'Dataset Descriptions'!$A$2:$B$10, 2, FALSE), "")</f>
        <v/>
      </c>
      <c r="E666" s="7"/>
      <c r="F666" s="7"/>
      <c r="G666" s="7"/>
      <c r="H666" s="7"/>
      <c r="I666" s="7"/>
      <c r="J666" s="7"/>
      <c r="K666" s="7"/>
      <c r="L666" s="7"/>
      <c r="M666" s="7"/>
      <c r="N666" s="7"/>
      <c r="O666" s="7"/>
      <c r="P666" s="7"/>
      <c r="Q666" s="7"/>
      <c r="R666" s="8"/>
      <c r="S666" s="6" t="str">
        <f>IF(NOT(ISBLANK(E666)), ROUND(((IF(E666="yes",1,0)*'Grading Scale'!E$2)+(IF(F666="yes",1,0)*'Grading Scale'!E$3)+(IF(G666="yes",1,0)*'Grading Scale'!E$4)+(IF(H666="yes",1,0)*'Grading Scale'!E$5)+(IF(I666="yes",1,0)*'Grading Scale'!E$6)+(IF(J666="yes",1,0)*'Grading Scale'!E$7)+(IF(K666="yes",1,0)*'Grading Scale'!E$8)+(IF(L666="yes",1,0)*'Grading Scale'!E$9)+(IF(M666="yes",1,0)*'Grading Scale'!E$10)+(IF(N666="yes",1,0)*'Grading Scale'!E$11)+(IF(O666="yes",1,0)*'Grading Scale'!E$12)+(IF(P666="yes",1,0)*'Grading Scale'!E$13))/'Grading Scale'!E$14*100,0), "")</f>
        <v/>
      </c>
      <c r="T666" s="6" t="str">
        <f>IF(ISNUMBER(S666),VLOOKUP(S666,'Grading Scale'!$A$2:$B$14, 2), "")</f>
        <v/>
      </c>
      <c r="U666" s="7"/>
      <c r="V666" s="7"/>
      <c r="W666" s="7"/>
      <c r="X666" s="7"/>
      <c r="Y666" s="7"/>
      <c r="Z666" s="7"/>
      <c r="AA666" s="7"/>
      <c r="AB666" s="7"/>
      <c r="AC666" s="7"/>
      <c r="AD666" s="7"/>
      <c r="AE666" s="7"/>
      <c r="AF666" s="7"/>
      <c r="AG666" s="7"/>
      <c r="AH666" s="7"/>
      <c r="AI666" s="7"/>
      <c r="AJ666" s="7"/>
    </row>
    <row r="667">
      <c r="A667" s="7"/>
      <c r="B667" s="7"/>
      <c r="C667" s="7"/>
      <c r="D667" s="6" t="str">
        <f>IF(NOT(ISBLANK(C667)), VLOOKUP(C667,'Dataset Descriptions'!$A$2:$B$10, 2, FALSE), "")</f>
        <v/>
      </c>
      <c r="E667" s="7"/>
      <c r="F667" s="7"/>
      <c r="G667" s="7"/>
      <c r="H667" s="7"/>
      <c r="I667" s="7"/>
      <c r="J667" s="7"/>
      <c r="K667" s="7"/>
      <c r="L667" s="7"/>
      <c r="M667" s="7"/>
      <c r="N667" s="7"/>
      <c r="O667" s="7"/>
      <c r="P667" s="7"/>
      <c r="Q667" s="7"/>
      <c r="R667" s="8"/>
      <c r="S667" s="6" t="str">
        <f>IF(NOT(ISBLANK(E667)), ROUND(((IF(E667="yes",1,0)*'Grading Scale'!E$2)+(IF(F667="yes",1,0)*'Grading Scale'!E$3)+(IF(G667="yes",1,0)*'Grading Scale'!E$4)+(IF(H667="yes",1,0)*'Grading Scale'!E$5)+(IF(I667="yes",1,0)*'Grading Scale'!E$6)+(IF(J667="yes",1,0)*'Grading Scale'!E$7)+(IF(K667="yes",1,0)*'Grading Scale'!E$8)+(IF(L667="yes",1,0)*'Grading Scale'!E$9)+(IF(M667="yes",1,0)*'Grading Scale'!E$10)+(IF(N667="yes",1,0)*'Grading Scale'!E$11)+(IF(O667="yes",1,0)*'Grading Scale'!E$12)+(IF(P667="yes",1,0)*'Grading Scale'!E$13))/'Grading Scale'!E$14*100,0), "")</f>
        <v/>
      </c>
      <c r="T667" s="6" t="str">
        <f>IF(ISNUMBER(S667),VLOOKUP(S667,'Grading Scale'!$A$2:$B$14, 2), "")</f>
        <v/>
      </c>
      <c r="U667" s="7"/>
      <c r="V667" s="7"/>
      <c r="W667" s="7"/>
      <c r="X667" s="7"/>
      <c r="Y667" s="7"/>
      <c r="Z667" s="7"/>
      <c r="AA667" s="7"/>
      <c r="AB667" s="7"/>
      <c r="AC667" s="7"/>
      <c r="AD667" s="7"/>
      <c r="AE667" s="7"/>
      <c r="AF667" s="7"/>
      <c r="AG667" s="7"/>
      <c r="AH667" s="7"/>
      <c r="AI667" s="7"/>
      <c r="AJ667" s="7"/>
    </row>
    <row r="668">
      <c r="A668" s="7"/>
      <c r="B668" s="7"/>
      <c r="C668" s="7"/>
      <c r="D668" s="6" t="str">
        <f>IF(NOT(ISBLANK(C668)), VLOOKUP(C668,'Dataset Descriptions'!$A$2:$B$10, 2, FALSE), "")</f>
        <v/>
      </c>
      <c r="E668" s="7"/>
      <c r="F668" s="7"/>
      <c r="G668" s="7"/>
      <c r="H668" s="7"/>
      <c r="I668" s="7"/>
      <c r="J668" s="7"/>
      <c r="K668" s="7"/>
      <c r="L668" s="7"/>
      <c r="M668" s="7"/>
      <c r="N668" s="7"/>
      <c r="O668" s="7"/>
      <c r="P668" s="7"/>
      <c r="Q668" s="7"/>
      <c r="R668" s="8"/>
      <c r="S668" s="6" t="str">
        <f>IF(NOT(ISBLANK(E668)), ROUND(((IF(E668="yes",1,0)*'Grading Scale'!E$2)+(IF(F668="yes",1,0)*'Grading Scale'!E$3)+(IF(G668="yes",1,0)*'Grading Scale'!E$4)+(IF(H668="yes",1,0)*'Grading Scale'!E$5)+(IF(I668="yes",1,0)*'Grading Scale'!E$6)+(IF(J668="yes",1,0)*'Grading Scale'!E$7)+(IF(K668="yes",1,0)*'Grading Scale'!E$8)+(IF(L668="yes",1,0)*'Grading Scale'!E$9)+(IF(M668="yes",1,0)*'Grading Scale'!E$10)+(IF(N668="yes",1,0)*'Grading Scale'!E$11)+(IF(O668="yes",1,0)*'Grading Scale'!E$12)+(IF(P668="yes",1,0)*'Grading Scale'!E$13))/'Grading Scale'!E$14*100,0), "")</f>
        <v/>
      </c>
      <c r="T668" s="6" t="str">
        <f>IF(ISNUMBER(S668),VLOOKUP(S668,'Grading Scale'!$A$2:$B$14, 2), "")</f>
        <v/>
      </c>
      <c r="U668" s="7"/>
      <c r="V668" s="7"/>
      <c r="W668" s="7"/>
      <c r="X668" s="7"/>
      <c r="Y668" s="7"/>
      <c r="Z668" s="7"/>
      <c r="AA668" s="7"/>
      <c r="AB668" s="7"/>
      <c r="AC668" s="7"/>
      <c r="AD668" s="7"/>
      <c r="AE668" s="7"/>
      <c r="AF668" s="7"/>
      <c r="AG668" s="7"/>
      <c r="AH668" s="7"/>
      <c r="AI668" s="7"/>
      <c r="AJ668" s="7"/>
    </row>
    <row r="669">
      <c r="A669" s="7"/>
      <c r="B669" s="7"/>
      <c r="C669" s="7"/>
      <c r="D669" s="6" t="str">
        <f>IF(NOT(ISBLANK(C669)), VLOOKUP(C669,'Dataset Descriptions'!$A$2:$B$10, 2, FALSE), "")</f>
        <v/>
      </c>
      <c r="E669" s="7"/>
      <c r="F669" s="7"/>
      <c r="G669" s="7"/>
      <c r="H669" s="7"/>
      <c r="I669" s="7"/>
      <c r="J669" s="7"/>
      <c r="K669" s="7"/>
      <c r="L669" s="7"/>
      <c r="M669" s="7"/>
      <c r="N669" s="7"/>
      <c r="O669" s="7"/>
      <c r="P669" s="7"/>
      <c r="Q669" s="7"/>
      <c r="R669" s="8"/>
      <c r="S669" s="6" t="str">
        <f>IF(NOT(ISBLANK(E669)), ROUND(((IF(E669="yes",1,0)*'Grading Scale'!E$2)+(IF(F669="yes",1,0)*'Grading Scale'!E$3)+(IF(G669="yes",1,0)*'Grading Scale'!E$4)+(IF(H669="yes",1,0)*'Grading Scale'!E$5)+(IF(I669="yes",1,0)*'Grading Scale'!E$6)+(IF(J669="yes",1,0)*'Grading Scale'!E$7)+(IF(K669="yes",1,0)*'Grading Scale'!E$8)+(IF(L669="yes",1,0)*'Grading Scale'!E$9)+(IF(M669="yes",1,0)*'Grading Scale'!E$10)+(IF(N669="yes",1,0)*'Grading Scale'!E$11)+(IF(O669="yes",1,0)*'Grading Scale'!E$12)+(IF(P669="yes",1,0)*'Grading Scale'!E$13))/'Grading Scale'!E$14*100,0), "")</f>
        <v/>
      </c>
      <c r="T669" s="6" t="str">
        <f>IF(ISNUMBER(S669),VLOOKUP(S669,'Grading Scale'!$A$2:$B$14, 2), "")</f>
        <v/>
      </c>
      <c r="U669" s="7"/>
      <c r="V669" s="7"/>
      <c r="W669" s="7"/>
      <c r="X669" s="7"/>
      <c r="Y669" s="7"/>
      <c r="Z669" s="7"/>
      <c r="AA669" s="7"/>
      <c r="AB669" s="7"/>
      <c r="AC669" s="7"/>
      <c r="AD669" s="7"/>
      <c r="AE669" s="7"/>
      <c r="AF669" s="7"/>
      <c r="AG669" s="7"/>
      <c r="AH669" s="7"/>
      <c r="AI669" s="7"/>
      <c r="AJ669" s="7"/>
    </row>
    <row r="670">
      <c r="A670" s="7"/>
      <c r="B670" s="7"/>
      <c r="C670" s="7"/>
      <c r="D670" s="6" t="str">
        <f>IF(NOT(ISBLANK(C670)), VLOOKUP(C670,'Dataset Descriptions'!$A$2:$B$10, 2, FALSE), "")</f>
        <v/>
      </c>
      <c r="E670" s="7"/>
      <c r="F670" s="7"/>
      <c r="G670" s="7"/>
      <c r="H670" s="7"/>
      <c r="I670" s="7"/>
      <c r="J670" s="7"/>
      <c r="K670" s="7"/>
      <c r="L670" s="7"/>
      <c r="M670" s="7"/>
      <c r="N670" s="7"/>
      <c r="O670" s="7"/>
      <c r="P670" s="7"/>
      <c r="Q670" s="7"/>
      <c r="R670" s="8"/>
      <c r="S670" s="6" t="str">
        <f>IF(NOT(ISBLANK(E670)), ROUND(((IF(E670="yes",1,0)*'Grading Scale'!E$2)+(IF(F670="yes",1,0)*'Grading Scale'!E$3)+(IF(G670="yes",1,0)*'Grading Scale'!E$4)+(IF(H670="yes",1,0)*'Grading Scale'!E$5)+(IF(I670="yes",1,0)*'Grading Scale'!E$6)+(IF(J670="yes",1,0)*'Grading Scale'!E$7)+(IF(K670="yes",1,0)*'Grading Scale'!E$8)+(IF(L670="yes",1,0)*'Grading Scale'!E$9)+(IF(M670="yes",1,0)*'Grading Scale'!E$10)+(IF(N670="yes",1,0)*'Grading Scale'!E$11)+(IF(O670="yes",1,0)*'Grading Scale'!E$12)+(IF(P670="yes",1,0)*'Grading Scale'!E$13))/'Grading Scale'!E$14*100,0), "")</f>
        <v/>
      </c>
      <c r="T670" s="6" t="str">
        <f>IF(ISNUMBER(S670),VLOOKUP(S670,'Grading Scale'!$A$2:$B$14, 2), "")</f>
        <v/>
      </c>
      <c r="U670" s="7"/>
      <c r="V670" s="7"/>
      <c r="W670" s="7"/>
      <c r="X670" s="7"/>
      <c r="Y670" s="7"/>
      <c r="Z670" s="7"/>
      <c r="AA670" s="7"/>
      <c r="AB670" s="7"/>
      <c r="AC670" s="7"/>
      <c r="AD670" s="7"/>
      <c r="AE670" s="7"/>
      <c r="AF670" s="7"/>
      <c r="AG670" s="7"/>
      <c r="AH670" s="7"/>
      <c r="AI670" s="7"/>
      <c r="AJ670" s="7"/>
    </row>
    <row r="671">
      <c r="A671" s="7"/>
      <c r="B671" s="7"/>
      <c r="C671" s="7"/>
      <c r="D671" s="6" t="str">
        <f>IF(NOT(ISBLANK(C671)), VLOOKUP(C671,'Dataset Descriptions'!$A$2:$B$10, 2, FALSE), "")</f>
        <v/>
      </c>
      <c r="E671" s="7"/>
      <c r="F671" s="7"/>
      <c r="G671" s="7"/>
      <c r="H671" s="7"/>
      <c r="I671" s="7"/>
      <c r="J671" s="7"/>
      <c r="K671" s="7"/>
      <c r="L671" s="7"/>
      <c r="M671" s="7"/>
      <c r="N671" s="7"/>
      <c r="O671" s="7"/>
      <c r="P671" s="7"/>
      <c r="Q671" s="7"/>
      <c r="R671" s="8"/>
      <c r="S671" s="6" t="str">
        <f>IF(NOT(ISBLANK(E671)), ROUND(((IF(E671="yes",1,0)*'Grading Scale'!E$2)+(IF(F671="yes",1,0)*'Grading Scale'!E$3)+(IF(G671="yes",1,0)*'Grading Scale'!E$4)+(IF(H671="yes",1,0)*'Grading Scale'!E$5)+(IF(I671="yes",1,0)*'Grading Scale'!E$6)+(IF(J671="yes",1,0)*'Grading Scale'!E$7)+(IF(K671="yes",1,0)*'Grading Scale'!E$8)+(IF(L671="yes",1,0)*'Grading Scale'!E$9)+(IF(M671="yes",1,0)*'Grading Scale'!E$10)+(IF(N671="yes",1,0)*'Grading Scale'!E$11)+(IF(O671="yes",1,0)*'Grading Scale'!E$12)+(IF(P671="yes",1,0)*'Grading Scale'!E$13))/'Grading Scale'!E$14*100,0), "")</f>
        <v/>
      </c>
      <c r="T671" s="6" t="str">
        <f>IF(ISNUMBER(S671),VLOOKUP(S671,'Grading Scale'!$A$2:$B$14, 2), "")</f>
        <v/>
      </c>
      <c r="U671" s="7"/>
      <c r="V671" s="7"/>
      <c r="W671" s="7"/>
      <c r="X671" s="7"/>
      <c r="Y671" s="7"/>
      <c r="Z671" s="7"/>
      <c r="AA671" s="7"/>
      <c r="AB671" s="7"/>
      <c r="AC671" s="7"/>
      <c r="AD671" s="7"/>
      <c r="AE671" s="7"/>
      <c r="AF671" s="7"/>
      <c r="AG671" s="7"/>
      <c r="AH671" s="7"/>
      <c r="AI671" s="7"/>
      <c r="AJ671" s="7"/>
    </row>
    <row r="672">
      <c r="A672" s="7"/>
      <c r="B672" s="7"/>
      <c r="C672" s="7"/>
      <c r="D672" s="6" t="str">
        <f>IF(NOT(ISBLANK(C672)), VLOOKUP(C672,'Dataset Descriptions'!$A$2:$B$10, 2, FALSE), "")</f>
        <v/>
      </c>
      <c r="E672" s="7"/>
      <c r="F672" s="7"/>
      <c r="G672" s="7"/>
      <c r="H672" s="7"/>
      <c r="I672" s="7"/>
      <c r="J672" s="7"/>
      <c r="K672" s="7"/>
      <c r="L672" s="7"/>
      <c r="M672" s="7"/>
      <c r="N672" s="7"/>
      <c r="O672" s="7"/>
      <c r="P672" s="7"/>
      <c r="Q672" s="7"/>
      <c r="R672" s="8"/>
      <c r="S672" s="6" t="str">
        <f>IF(NOT(ISBLANK(E672)), ROUND(((IF(E672="yes",1,0)*'Grading Scale'!E$2)+(IF(F672="yes",1,0)*'Grading Scale'!E$3)+(IF(G672="yes",1,0)*'Grading Scale'!E$4)+(IF(H672="yes",1,0)*'Grading Scale'!E$5)+(IF(I672="yes",1,0)*'Grading Scale'!E$6)+(IF(J672="yes",1,0)*'Grading Scale'!E$7)+(IF(K672="yes",1,0)*'Grading Scale'!E$8)+(IF(L672="yes",1,0)*'Grading Scale'!E$9)+(IF(M672="yes",1,0)*'Grading Scale'!E$10)+(IF(N672="yes",1,0)*'Grading Scale'!E$11)+(IF(O672="yes",1,0)*'Grading Scale'!E$12)+(IF(P672="yes",1,0)*'Grading Scale'!E$13))/'Grading Scale'!E$14*100,0), "")</f>
        <v/>
      </c>
      <c r="T672" s="6" t="str">
        <f>IF(ISNUMBER(S672),VLOOKUP(S672,'Grading Scale'!$A$2:$B$14, 2), "")</f>
        <v/>
      </c>
      <c r="U672" s="7"/>
      <c r="V672" s="7"/>
      <c r="W672" s="7"/>
      <c r="X672" s="7"/>
      <c r="Y672" s="7"/>
      <c r="Z672" s="7"/>
      <c r="AA672" s="7"/>
      <c r="AB672" s="7"/>
      <c r="AC672" s="7"/>
      <c r="AD672" s="7"/>
      <c r="AE672" s="7"/>
      <c r="AF672" s="7"/>
      <c r="AG672" s="7"/>
      <c r="AH672" s="7"/>
      <c r="AI672" s="7"/>
      <c r="AJ672" s="7"/>
    </row>
    <row r="673">
      <c r="A673" s="7"/>
      <c r="B673" s="7"/>
      <c r="C673" s="7"/>
      <c r="D673" s="6" t="str">
        <f>IF(NOT(ISBLANK(C673)), VLOOKUP(C673,'Dataset Descriptions'!$A$2:$B$10, 2, FALSE), "")</f>
        <v/>
      </c>
      <c r="E673" s="7"/>
      <c r="F673" s="7"/>
      <c r="G673" s="7"/>
      <c r="H673" s="7"/>
      <c r="I673" s="7"/>
      <c r="J673" s="7"/>
      <c r="K673" s="7"/>
      <c r="L673" s="7"/>
      <c r="M673" s="7"/>
      <c r="N673" s="7"/>
      <c r="O673" s="7"/>
      <c r="P673" s="7"/>
      <c r="Q673" s="7"/>
      <c r="R673" s="8"/>
      <c r="S673" s="6" t="str">
        <f>IF(NOT(ISBLANK(E673)), ROUND(((IF(E673="yes",1,0)*'Grading Scale'!E$2)+(IF(F673="yes",1,0)*'Grading Scale'!E$3)+(IF(G673="yes",1,0)*'Grading Scale'!E$4)+(IF(H673="yes",1,0)*'Grading Scale'!E$5)+(IF(I673="yes",1,0)*'Grading Scale'!E$6)+(IF(J673="yes",1,0)*'Grading Scale'!E$7)+(IF(K673="yes",1,0)*'Grading Scale'!E$8)+(IF(L673="yes",1,0)*'Grading Scale'!E$9)+(IF(M673="yes",1,0)*'Grading Scale'!E$10)+(IF(N673="yes",1,0)*'Grading Scale'!E$11)+(IF(O673="yes",1,0)*'Grading Scale'!E$12)+(IF(P673="yes",1,0)*'Grading Scale'!E$13))/'Grading Scale'!E$14*100,0), "")</f>
        <v/>
      </c>
      <c r="T673" s="6" t="str">
        <f>IF(ISNUMBER(S673),VLOOKUP(S673,'Grading Scale'!$A$2:$B$14, 2), "")</f>
        <v/>
      </c>
      <c r="U673" s="7"/>
      <c r="V673" s="7"/>
      <c r="W673" s="7"/>
      <c r="X673" s="7"/>
      <c r="Y673" s="7"/>
      <c r="Z673" s="7"/>
      <c r="AA673" s="7"/>
      <c r="AB673" s="7"/>
      <c r="AC673" s="7"/>
      <c r="AD673" s="7"/>
      <c r="AE673" s="7"/>
      <c r="AF673" s="7"/>
      <c r="AG673" s="7"/>
      <c r="AH673" s="7"/>
      <c r="AI673" s="7"/>
      <c r="AJ673" s="7"/>
    </row>
    <row r="674">
      <c r="A674" s="7"/>
      <c r="B674" s="7"/>
      <c r="C674" s="7"/>
      <c r="D674" s="6" t="str">
        <f>IF(NOT(ISBLANK(C674)), VLOOKUP(C674,'Dataset Descriptions'!$A$2:$B$10, 2, FALSE), "")</f>
        <v/>
      </c>
      <c r="E674" s="7"/>
      <c r="F674" s="7"/>
      <c r="G674" s="7"/>
      <c r="H674" s="7"/>
      <c r="I674" s="7"/>
      <c r="J674" s="7"/>
      <c r="K674" s="7"/>
      <c r="L674" s="7"/>
      <c r="M674" s="7"/>
      <c r="N674" s="7"/>
      <c r="O674" s="7"/>
      <c r="P674" s="7"/>
      <c r="Q674" s="7"/>
      <c r="R674" s="8"/>
      <c r="S674" s="6" t="str">
        <f>IF(NOT(ISBLANK(E674)), ROUND(((IF(E674="yes",1,0)*'Grading Scale'!E$2)+(IF(F674="yes",1,0)*'Grading Scale'!E$3)+(IF(G674="yes",1,0)*'Grading Scale'!E$4)+(IF(H674="yes",1,0)*'Grading Scale'!E$5)+(IF(I674="yes",1,0)*'Grading Scale'!E$6)+(IF(J674="yes",1,0)*'Grading Scale'!E$7)+(IF(K674="yes",1,0)*'Grading Scale'!E$8)+(IF(L674="yes",1,0)*'Grading Scale'!E$9)+(IF(M674="yes",1,0)*'Grading Scale'!E$10)+(IF(N674="yes",1,0)*'Grading Scale'!E$11)+(IF(O674="yes",1,0)*'Grading Scale'!E$12)+(IF(P674="yes",1,0)*'Grading Scale'!E$13))/'Grading Scale'!E$14*100,0), "")</f>
        <v/>
      </c>
      <c r="T674" s="6" t="str">
        <f>IF(ISNUMBER(S674),VLOOKUP(S674,'Grading Scale'!$A$2:$B$14, 2), "")</f>
        <v/>
      </c>
      <c r="U674" s="7"/>
      <c r="V674" s="7"/>
      <c r="W674" s="7"/>
      <c r="X674" s="7"/>
      <c r="Y674" s="7"/>
      <c r="Z674" s="7"/>
      <c r="AA674" s="7"/>
      <c r="AB674" s="7"/>
      <c r="AC674" s="7"/>
      <c r="AD674" s="7"/>
      <c r="AE674" s="7"/>
      <c r="AF674" s="7"/>
      <c r="AG674" s="7"/>
      <c r="AH674" s="7"/>
      <c r="AI674" s="7"/>
      <c r="AJ674" s="7"/>
    </row>
    <row r="675">
      <c r="A675" s="7"/>
      <c r="B675" s="7"/>
      <c r="C675" s="7"/>
      <c r="D675" s="6" t="str">
        <f>IF(NOT(ISBLANK(C675)), VLOOKUP(C675,'Dataset Descriptions'!$A$2:$B$10, 2, FALSE), "")</f>
        <v/>
      </c>
      <c r="E675" s="7"/>
      <c r="F675" s="7"/>
      <c r="G675" s="7"/>
      <c r="H675" s="7"/>
      <c r="I675" s="7"/>
      <c r="J675" s="7"/>
      <c r="K675" s="7"/>
      <c r="L675" s="7"/>
      <c r="M675" s="7"/>
      <c r="N675" s="7"/>
      <c r="O675" s="7"/>
      <c r="P675" s="7"/>
      <c r="Q675" s="7"/>
      <c r="R675" s="8"/>
      <c r="S675" s="6" t="str">
        <f>IF(NOT(ISBLANK(E675)), ROUND(((IF(E675="yes",1,0)*'Grading Scale'!E$2)+(IF(F675="yes",1,0)*'Grading Scale'!E$3)+(IF(G675="yes",1,0)*'Grading Scale'!E$4)+(IF(H675="yes",1,0)*'Grading Scale'!E$5)+(IF(I675="yes",1,0)*'Grading Scale'!E$6)+(IF(J675="yes",1,0)*'Grading Scale'!E$7)+(IF(K675="yes",1,0)*'Grading Scale'!E$8)+(IF(L675="yes",1,0)*'Grading Scale'!E$9)+(IF(M675="yes",1,0)*'Grading Scale'!E$10)+(IF(N675="yes",1,0)*'Grading Scale'!E$11)+(IF(O675="yes",1,0)*'Grading Scale'!E$12)+(IF(P675="yes",1,0)*'Grading Scale'!E$13))/'Grading Scale'!E$14*100,0), "")</f>
        <v/>
      </c>
      <c r="T675" s="6" t="str">
        <f>IF(ISNUMBER(S675),VLOOKUP(S675,'Grading Scale'!$A$2:$B$14, 2), "")</f>
        <v/>
      </c>
      <c r="U675" s="7"/>
      <c r="V675" s="7"/>
      <c r="W675" s="7"/>
      <c r="X675" s="7"/>
      <c r="Y675" s="7"/>
      <c r="Z675" s="7"/>
      <c r="AA675" s="7"/>
      <c r="AB675" s="7"/>
      <c r="AC675" s="7"/>
      <c r="AD675" s="7"/>
      <c r="AE675" s="7"/>
      <c r="AF675" s="7"/>
      <c r="AG675" s="7"/>
      <c r="AH675" s="7"/>
      <c r="AI675" s="7"/>
      <c r="AJ675" s="7"/>
    </row>
    <row r="676">
      <c r="A676" s="7"/>
      <c r="B676" s="7"/>
      <c r="C676" s="7"/>
      <c r="D676" s="6" t="str">
        <f>IF(NOT(ISBLANK(C676)), VLOOKUP(C676,'Dataset Descriptions'!$A$2:$B$10, 2, FALSE), "")</f>
        <v/>
      </c>
      <c r="E676" s="7"/>
      <c r="F676" s="7"/>
      <c r="G676" s="7"/>
      <c r="H676" s="7"/>
      <c r="I676" s="7"/>
      <c r="J676" s="7"/>
      <c r="K676" s="7"/>
      <c r="L676" s="7"/>
      <c r="M676" s="7"/>
      <c r="N676" s="7"/>
      <c r="O676" s="7"/>
      <c r="P676" s="7"/>
      <c r="Q676" s="7"/>
      <c r="R676" s="8"/>
      <c r="S676" s="6" t="str">
        <f>IF(NOT(ISBLANK(E676)), ROUND(((IF(E676="yes",1,0)*'Grading Scale'!E$2)+(IF(F676="yes",1,0)*'Grading Scale'!E$3)+(IF(G676="yes",1,0)*'Grading Scale'!E$4)+(IF(H676="yes",1,0)*'Grading Scale'!E$5)+(IF(I676="yes",1,0)*'Grading Scale'!E$6)+(IF(J676="yes",1,0)*'Grading Scale'!E$7)+(IF(K676="yes",1,0)*'Grading Scale'!E$8)+(IF(L676="yes",1,0)*'Grading Scale'!E$9)+(IF(M676="yes",1,0)*'Grading Scale'!E$10)+(IF(N676="yes",1,0)*'Grading Scale'!E$11)+(IF(O676="yes",1,0)*'Grading Scale'!E$12)+(IF(P676="yes",1,0)*'Grading Scale'!E$13))/'Grading Scale'!E$14*100,0), "")</f>
        <v/>
      </c>
      <c r="T676" s="6" t="str">
        <f>IF(ISNUMBER(S676),VLOOKUP(S676,'Grading Scale'!$A$2:$B$14, 2), "")</f>
        <v/>
      </c>
      <c r="U676" s="7"/>
      <c r="V676" s="7"/>
      <c r="W676" s="7"/>
      <c r="X676" s="7"/>
      <c r="Y676" s="7"/>
      <c r="Z676" s="7"/>
      <c r="AA676" s="7"/>
      <c r="AB676" s="7"/>
      <c r="AC676" s="7"/>
      <c r="AD676" s="7"/>
      <c r="AE676" s="7"/>
      <c r="AF676" s="7"/>
      <c r="AG676" s="7"/>
      <c r="AH676" s="7"/>
      <c r="AI676" s="7"/>
      <c r="AJ676" s="7"/>
    </row>
    <row r="677">
      <c r="A677" s="7"/>
      <c r="B677" s="7"/>
      <c r="C677" s="7"/>
      <c r="D677" s="6" t="str">
        <f>IF(NOT(ISBLANK(C677)), VLOOKUP(C677,'Dataset Descriptions'!$A$2:$B$10, 2, FALSE), "")</f>
        <v/>
      </c>
      <c r="E677" s="7"/>
      <c r="F677" s="7"/>
      <c r="G677" s="7"/>
      <c r="H677" s="7"/>
      <c r="I677" s="7"/>
      <c r="J677" s="7"/>
      <c r="K677" s="7"/>
      <c r="L677" s="7"/>
      <c r="M677" s="7"/>
      <c r="N677" s="7"/>
      <c r="O677" s="7"/>
      <c r="P677" s="7"/>
      <c r="Q677" s="7"/>
      <c r="R677" s="8"/>
      <c r="S677" s="6" t="str">
        <f>IF(NOT(ISBLANK(E677)), ROUND(((IF(E677="yes",1,0)*'Grading Scale'!E$2)+(IF(F677="yes",1,0)*'Grading Scale'!E$3)+(IF(G677="yes",1,0)*'Grading Scale'!E$4)+(IF(H677="yes",1,0)*'Grading Scale'!E$5)+(IF(I677="yes",1,0)*'Grading Scale'!E$6)+(IF(J677="yes",1,0)*'Grading Scale'!E$7)+(IF(K677="yes",1,0)*'Grading Scale'!E$8)+(IF(L677="yes",1,0)*'Grading Scale'!E$9)+(IF(M677="yes",1,0)*'Grading Scale'!E$10)+(IF(N677="yes",1,0)*'Grading Scale'!E$11)+(IF(O677="yes",1,0)*'Grading Scale'!E$12)+(IF(P677="yes",1,0)*'Grading Scale'!E$13))/'Grading Scale'!E$14*100,0), "")</f>
        <v/>
      </c>
      <c r="T677" s="6" t="str">
        <f>IF(ISNUMBER(S677),VLOOKUP(S677,'Grading Scale'!$A$2:$B$14, 2), "")</f>
        <v/>
      </c>
      <c r="U677" s="7"/>
      <c r="V677" s="7"/>
      <c r="W677" s="7"/>
      <c r="X677" s="7"/>
      <c r="Y677" s="7"/>
      <c r="Z677" s="7"/>
      <c r="AA677" s="7"/>
      <c r="AB677" s="7"/>
      <c r="AC677" s="7"/>
      <c r="AD677" s="7"/>
      <c r="AE677" s="7"/>
      <c r="AF677" s="7"/>
      <c r="AG677" s="7"/>
      <c r="AH677" s="7"/>
      <c r="AI677" s="7"/>
      <c r="AJ677" s="7"/>
    </row>
    <row r="678">
      <c r="A678" s="7"/>
      <c r="B678" s="7"/>
      <c r="C678" s="7"/>
      <c r="D678" s="6" t="str">
        <f>IF(NOT(ISBLANK(C678)), VLOOKUP(C678,'Dataset Descriptions'!$A$2:$B$10, 2, FALSE), "")</f>
        <v/>
      </c>
      <c r="E678" s="7"/>
      <c r="F678" s="7"/>
      <c r="G678" s="7"/>
      <c r="H678" s="7"/>
      <c r="I678" s="7"/>
      <c r="J678" s="7"/>
      <c r="K678" s="7"/>
      <c r="L678" s="7"/>
      <c r="M678" s="7"/>
      <c r="N678" s="7"/>
      <c r="O678" s="7"/>
      <c r="P678" s="7"/>
      <c r="Q678" s="7"/>
      <c r="R678" s="8"/>
      <c r="S678" s="6" t="str">
        <f>IF(NOT(ISBLANK(E678)), ROUND(((IF(E678="yes",1,0)*'Grading Scale'!E$2)+(IF(F678="yes",1,0)*'Grading Scale'!E$3)+(IF(G678="yes",1,0)*'Grading Scale'!E$4)+(IF(H678="yes",1,0)*'Grading Scale'!E$5)+(IF(I678="yes",1,0)*'Grading Scale'!E$6)+(IF(J678="yes",1,0)*'Grading Scale'!E$7)+(IF(K678="yes",1,0)*'Grading Scale'!E$8)+(IF(L678="yes",1,0)*'Grading Scale'!E$9)+(IF(M678="yes",1,0)*'Grading Scale'!E$10)+(IF(N678="yes",1,0)*'Grading Scale'!E$11)+(IF(O678="yes",1,0)*'Grading Scale'!E$12)+(IF(P678="yes",1,0)*'Grading Scale'!E$13))/'Grading Scale'!E$14*100,0), "")</f>
        <v/>
      </c>
      <c r="T678" s="6" t="str">
        <f>IF(ISNUMBER(S678),VLOOKUP(S678,'Grading Scale'!$A$2:$B$14, 2), "")</f>
        <v/>
      </c>
      <c r="U678" s="7"/>
      <c r="V678" s="7"/>
      <c r="W678" s="7"/>
      <c r="X678" s="7"/>
      <c r="Y678" s="7"/>
      <c r="Z678" s="7"/>
      <c r="AA678" s="7"/>
      <c r="AB678" s="7"/>
      <c r="AC678" s="7"/>
      <c r="AD678" s="7"/>
      <c r="AE678" s="7"/>
      <c r="AF678" s="7"/>
      <c r="AG678" s="7"/>
      <c r="AH678" s="7"/>
      <c r="AI678" s="7"/>
      <c r="AJ678" s="7"/>
    </row>
    <row r="679">
      <c r="A679" s="7"/>
      <c r="B679" s="7"/>
      <c r="C679" s="7"/>
      <c r="D679" s="6" t="str">
        <f>IF(NOT(ISBLANK(C679)), VLOOKUP(C679,'Dataset Descriptions'!$A$2:$B$10, 2, FALSE), "")</f>
        <v/>
      </c>
      <c r="E679" s="7"/>
      <c r="F679" s="7"/>
      <c r="G679" s="7"/>
      <c r="H679" s="7"/>
      <c r="I679" s="7"/>
      <c r="J679" s="7"/>
      <c r="K679" s="7"/>
      <c r="L679" s="7"/>
      <c r="M679" s="7"/>
      <c r="N679" s="7"/>
      <c r="O679" s="7"/>
      <c r="P679" s="7"/>
      <c r="Q679" s="7"/>
      <c r="R679" s="8"/>
      <c r="S679" s="6" t="str">
        <f>IF(NOT(ISBLANK(E679)), ROUND(((IF(E679="yes",1,0)*'Grading Scale'!E$2)+(IF(F679="yes",1,0)*'Grading Scale'!E$3)+(IF(G679="yes",1,0)*'Grading Scale'!E$4)+(IF(H679="yes",1,0)*'Grading Scale'!E$5)+(IF(I679="yes",1,0)*'Grading Scale'!E$6)+(IF(J679="yes",1,0)*'Grading Scale'!E$7)+(IF(K679="yes",1,0)*'Grading Scale'!E$8)+(IF(L679="yes",1,0)*'Grading Scale'!E$9)+(IF(M679="yes",1,0)*'Grading Scale'!E$10)+(IF(N679="yes",1,0)*'Grading Scale'!E$11)+(IF(O679="yes",1,0)*'Grading Scale'!E$12)+(IF(P679="yes",1,0)*'Grading Scale'!E$13))/'Grading Scale'!E$14*100,0), "")</f>
        <v/>
      </c>
      <c r="T679" s="6" t="str">
        <f>IF(ISNUMBER(S679),VLOOKUP(S679,'Grading Scale'!$A$2:$B$14, 2), "")</f>
        <v/>
      </c>
      <c r="U679" s="7"/>
      <c r="V679" s="7"/>
      <c r="W679" s="7"/>
      <c r="X679" s="7"/>
      <c r="Y679" s="7"/>
      <c r="Z679" s="7"/>
      <c r="AA679" s="7"/>
      <c r="AB679" s="7"/>
      <c r="AC679" s="7"/>
      <c r="AD679" s="7"/>
      <c r="AE679" s="7"/>
      <c r="AF679" s="7"/>
      <c r="AG679" s="7"/>
      <c r="AH679" s="7"/>
      <c r="AI679" s="7"/>
      <c r="AJ679" s="7"/>
    </row>
    <row r="680">
      <c r="A680" s="7"/>
      <c r="B680" s="7"/>
      <c r="C680" s="7"/>
      <c r="D680" s="6" t="str">
        <f>IF(NOT(ISBLANK(C680)), VLOOKUP(C680,'Dataset Descriptions'!$A$2:$B$10, 2, FALSE), "")</f>
        <v/>
      </c>
      <c r="E680" s="7"/>
      <c r="F680" s="7"/>
      <c r="G680" s="7"/>
      <c r="H680" s="7"/>
      <c r="I680" s="7"/>
      <c r="J680" s="7"/>
      <c r="K680" s="7"/>
      <c r="L680" s="7"/>
      <c r="M680" s="7"/>
      <c r="N680" s="7"/>
      <c r="O680" s="7"/>
      <c r="P680" s="7"/>
      <c r="Q680" s="7"/>
      <c r="R680" s="8"/>
      <c r="S680" s="6" t="str">
        <f>IF(NOT(ISBLANK(E680)), ROUND(((IF(E680="yes",1,0)*'Grading Scale'!E$2)+(IF(F680="yes",1,0)*'Grading Scale'!E$3)+(IF(G680="yes",1,0)*'Grading Scale'!E$4)+(IF(H680="yes",1,0)*'Grading Scale'!E$5)+(IF(I680="yes",1,0)*'Grading Scale'!E$6)+(IF(J680="yes",1,0)*'Grading Scale'!E$7)+(IF(K680="yes",1,0)*'Grading Scale'!E$8)+(IF(L680="yes",1,0)*'Grading Scale'!E$9)+(IF(M680="yes",1,0)*'Grading Scale'!E$10)+(IF(N680="yes",1,0)*'Grading Scale'!E$11)+(IF(O680="yes",1,0)*'Grading Scale'!E$12)+(IF(P680="yes",1,0)*'Grading Scale'!E$13))/'Grading Scale'!E$14*100,0), "")</f>
        <v/>
      </c>
      <c r="T680" s="6" t="str">
        <f>IF(ISNUMBER(S680),VLOOKUP(S680,'Grading Scale'!$A$2:$B$14, 2), "")</f>
        <v/>
      </c>
      <c r="U680" s="7"/>
      <c r="V680" s="7"/>
      <c r="W680" s="7"/>
      <c r="X680" s="7"/>
      <c r="Y680" s="7"/>
      <c r="Z680" s="7"/>
      <c r="AA680" s="7"/>
      <c r="AB680" s="7"/>
      <c r="AC680" s="7"/>
      <c r="AD680" s="7"/>
      <c r="AE680" s="7"/>
      <c r="AF680" s="7"/>
      <c r="AG680" s="7"/>
      <c r="AH680" s="7"/>
      <c r="AI680" s="7"/>
      <c r="AJ680" s="7"/>
    </row>
    <row r="681">
      <c r="A681" s="7"/>
      <c r="B681" s="7"/>
      <c r="C681" s="7"/>
      <c r="D681" s="6" t="str">
        <f>IF(NOT(ISBLANK(C681)), VLOOKUP(C681,'Dataset Descriptions'!$A$2:$B$10, 2, FALSE), "")</f>
        <v/>
      </c>
      <c r="E681" s="7"/>
      <c r="F681" s="7"/>
      <c r="G681" s="7"/>
      <c r="H681" s="7"/>
      <c r="I681" s="7"/>
      <c r="J681" s="7"/>
      <c r="K681" s="7"/>
      <c r="L681" s="7"/>
      <c r="M681" s="7"/>
      <c r="N681" s="7"/>
      <c r="O681" s="7"/>
      <c r="P681" s="7"/>
      <c r="Q681" s="7"/>
      <c r="R681" s="8"/>
      <c r="S681" s="6" t="str">
        <f>IF(NOT(ISBLANK(E681)), ROUND(((IF(E681="yes",1,0)*'Grading Scale'!E$2)+(IF(F681="yes",1,0)*'Grading Scale'!E$3)+(IF(G681="yes",1,0)*'Grading Scale'!E$4)+(IF(H681="yes",1,0)*'Grading Scale'!E$5)+(IF(I681="yes",1,0)*'Grading Scale'!E$6)+(IF(J681="yes",1,0)*'Grading Scale'!E$7)+(IF(K681="yes",1,0)*'Grading Scale'!E$8)+(IF(L681="yes",1,0)*'Grading Scale'!E$9)+(IF(M681="yes",1,0)*'Grading Scale'!E$10)+(IF(N681="yes",1,0)*'Grading Scale'!E$11)+(IF(O681="yes",1,0)*'Grading Scale'!E$12)+(IF(P681="yes",1,0)*'Grading Scale'!E$13))/'Grading Scale'!E$14*100,0), "")</f>
        <v/>
      </c>
      <c r="T681" s="6" t="str">
        <f>IF(ISNUMBER(S681),VLOOKUP(S681,'Grading Scale'!$A$2:$B$14, 2), "")</f>
        <v/>
      </c>
      <c r="U681" s="7"/>
      <c r="V681" s="7"/>
      <c r="W681" s="7"/>
      <c r="X681" s="7"/>
      <c r="Y681" s="7"/>
      <c r="Z681" s="7"/>
      <c r="AA681" s="7"/>
      <c r="AB681" s="7"/>
      <c r="AC681" s="7"/>
      <c r="AD681" s="7"/>
      <c r="AE681" s="7"/>
      <c r="AF681" s="7"/>
      <c r="AG681" s="7"/>
      <c r="AH681" s="7"/>
      <c r="AI681" s="7"/>
      <c r="AJ681" s="7"/>
    </row>
    <row r="682">
      <c r="A682" s="7"/>
      <c r="B682" s="7"/>
      <c r="C682" s="7"/>
      <c r="D682" s="6" t="str">
        <f>IF(NOT(ISBLANK(C682)), VLOOKUP(C682,'Dataset Descriptions'!$A$2:$B$10, 2, FALSE), "")</f>
        <v/>
      </c>
      <c r="E682" s="7"/>
      <c r="F682" s="7"/>
      <c r="G682" s="7"/>
      <c r="H682" s="7"/>
      <c r="I682" s="7"/>
      <c r="J682" s="7"/>
      <c r="K682" s="7"/>
      <c r="L682" s="7"/>
      <c r="M682" s="7"/>
      <c r="N682" s="7"/>
      <c r="O682" s="7"/>
      <c r="P682" s="7"/>
      <c r="Q682" s="7"/>
      <c r="R682" s="8"/>
      <c r="S682" s="6" t="str">
        <f>IF(NOT(ISBLANK(E682)), ROUND(((IF(E682="yes",1,0)*'Grading Scale'!E$2)+(IF(F682="yes",1,0)*'Grading Scale'!E$3)+(IF(G682="yes",1,0)*'Grading Scale'!E$4)+(IF(H682="yes",1,0)*'Grading Scale'!E$5)+(IF(I682="yes",1,0)*'Grading Scale'!E$6)+(IF(J682="yes",1,0)*'Grading Scale'!E$7)+(IF(K682="yes",1,0)*'Grading Scale'!E$8)+(IF(L682="yes",1,0)*'Grading Scale'!E$9)+(IF(M682="yes",1,0)*'Grading Scale'!E$10)+(IF(N682="yes",1,0)*'Grading Scale'!E$11)+(IF(O682="yes",1,0)*'Grading Scale'!E$12)+(IF(P682="yes",1,0)*'Grading Scale'!E$13))/'Grading Scale'!E$14*100,0), "")</f>
        <v/>
      </c>
      <c r="T682" s="6" t="str">
        <f>IF(ISNUMBER(S682),VLOOKUP(S682,'Grading Scale'!$A$2:$B$14, 2), "")</f>
        <v/>
      </c>
      <c r="U682" s="7"/>
      <c r="V682" s="7"/>
      <c r="W682" s="7"/>
      <c r="X682" s="7"/>
      <c r="Y682" s="7"/>
      <c r="Z682" s="7"/>
      <c r="AA682" s="7"/>
      <c r="AB682" s="7"/>
      <c r="AC682" s="7"/>
      <c r="AD682" s="7"/>
      <c r="AE682" s="7"/>
      <c r="AF682" s="7"/>
      <c r="AG682" s="7"/>
      <c r="AH682" s="7"/>
      <c r="AI682" s="7"/>
      <c r="AJ682" s="7"/>
    </row>
    <row r="683">
      <c r="A683" s="7"/>
      <c r="B683" s="7"/>
      <c r="C683" s="7"/>
      <c r="D683" s="6" t="str">
        <f>IF(NOT(ISBLANK(C683)), VLOOKUP(C683,'Dataset Descriptions'!$A$2:$B$10, 2, FALSE), "")</f>
        <v/>
      </c>
      <c r="E683" s="7"/>
      <c r="F683" s="7"/>
      <c r="G683" s="7"/>
      <c r="H683" s="7"/>
      <c r="I683" s="7"/>
      <c r="J683" s="7"/>
      <c r="K683" s="7"/>
      <c r="L683" s="7"/>
      <c r="M683" s="7"/>
      <c r="N683" s="7"/>
      <c r="O683" s="7"/>
      <c r="P683" s="7"/>
      <c r="Q683" s="7"/>
      <c r="R683" s="8"/>
      <c r="S683" s="6" t="str">
        <f>IF(NOT(ISBLANK(E683)), ROUND(((IF(E683="yes",1,0)*'Grading Scale'!E$2)+(IF(F683="yes",1,0)*'Grading Scale'!E$3)+(IF(G683="yes",1,0)*'Grading Scale'!E$4)+(IF(H683="yes",1,0)*'Grading Scale'!E$5)+(IF(I683="yes",1,0)*'Grading Scale'!E$6)+(IF(J683="yes",1,0)*'Grading Scale'!E$7)+(IF(K683="yes",1,0)*'Grading Scale'!E$8)+(IF(L683="yes",1,0)*'Grading Scale'!E$9)+(IF(M683="yes",1,0)*'Grading Scale'!E$10)+(IF(N683="yes",1,0)*'Grading Scale'!E$11)+(IF(O683="yes",1,0)*'Grading Scale'!E$12)+(IF(P683="yes",1,0)*'Grading Scale'!E$13))/'Grading Scale'!E$14*100,0), "")</f>
        <v/>
      </c>
      <c r="T683" s="6" t="str">
        <f>IF(ISNUMBER(S683),VLOOKUP(S683,'Grading Scale'!$A$2:$B$14, 2), "")</f>
        <v/>
      </c>
      <c r="U683" s="7"/>
      <c r="V683" s="7"/>
      <c r="W683" s="7"/>
      <c r="X683" s="7"/>
      <c r="Y683" s="7"/>
      <c r="Z683" s="7"/>
      <c r="AA683" s="7"/>
      <c r="AB683" s="7"/>
      <c r="AC683" s="7"/>
      <c r="AD683" s="7"/>
      <c r="AE683" s="7"/>
      <c r="AF683" s="7"/>
      <c r="AG683" s="7"/>
      <c r="AH683" s="7"/>
      <c r="AI683" s="7"/>
      <c r="AJ683" s="7"/>
    </row>
    <row r="684">
      <c r="A684" s="7"/>
      <c r="B684" s="7"/>
      <c r="C684" s="7"/>
      <c r="D684" s="6" t="str">
        <f>IF(NOT(ISBLANK(C684)), VLOOKUP(C684,'Dataset Descriptions'!$A$2:$B$10, 2, FALSE), "")</f>
        <v/>
      </c>
      <c r="E684" s="7"/>
      <c r="F684" s="7"/>
      <c r="G684" s="7"/>
      <c r="H684" s="7"/>
      <c r="I684" s="7"/>
      <c r="J684" s="7"/>
      <c r="K684" s="7"/>
      <c r="L684" s="7"/>
      <c r="M684" s="7"/>
      <c r="N684" s="7"/>
      <c r="O684" s="7"/>
      <c r="P684" s="7"/>
      <c r="Q684" s="7"/>
      <c r="R684" s="8"/>
      <c r="S684" s="6" t="str">
        <f>IF(NOT(ISBLANK(E684)), ROUND(((IF(E684="yes",1,0)*'Grading Scale'!E$2)+(IF(F684="yes",1,0)*'Grading Scale'!E$3)+(IF(G684="yes",1,0)*'Grading Scale'!E$4)+(IF(H684="yes",1,0)*'Grading Scale'!E$5)+(IF(I684="yes",1,0)*'Grading Scale'!E$6)+(IF(J684="yes",1,0)*'Grading Scale'!E$7)+(IF(K684="yes",1,0)*'Grading Scale'!E$8)+(IF(L684="yes",1,0)*'Grading Scale'!E$9)+(IF(M684="yes",1,0)*'Grading Scale'!E$10)+(IF(N684="yes",1,0)*'Grading Scale'!E$11)+(IF(O684="yes",1,0)*'Grading Scale'!E$12)+(IF(P684="yes",1,0)*'Grading Scale'!E$13))/'Grading Scale'!E$14*100,0), "")</f>
        <v/>
      </c>
      <c r="T684" s="6" t="str">
        <f>IF(ISNUMBER(S684),VLOOKUP(S684,'Grading Scale'!$A$2:$B$14, 2), "")</f>
        <v/>
      </c>
      <c r="U684" s="7"/>
      <c r="V684" s="7"/>
      <c r="W684" s="7"/>
      <c r="X684" s="7"/>
      <c r="Y684" s="7"/>
      <c r="Z684" s="7"/>
      <c r="AA684" s="7"/>
      <c r="AB684" s="7"/>
      <c r="AC684" s="7"/>
      <c r="AD684" s="7"/>
      <c r="AE684" s="7"/>
      <c r="AF684" s="7"/>
      <c r="AG684" s="7"/>
      <c r="AH684" s="7"/>
      <c r="AI684" s="7"/>
      <c r="AJ684" s="7"/>
    </row>
    <row r="685">
      <c r="A685" s="7"/>
      <c r="B685" s="7"/>
      <c r="C685" s="7"/>
      <c r="D685" s="6" t="str">
        <f>IF(NOT(ISBLANK(C685)), VLOOKUP(C685,'Dataset Descriptions'!$A$2:$B$10, 2, FALSE), "")</f>
        <v/>
      </c>
      <c r="E685" s="7"/>
      <c r="F685" s="7"/>
      <c r="G685" s="7"/>
      <c r="H685" s="7"/>
      <c r="I685" s="7"/>
      <c r="J685" s="7"/>
      <c r="K685" s="7"/>
      <c r="L685" s="7"/>
      <c r="M685" s="7"/>
      <c r="N685" s="7"/>
      <c r="O685" s="7"/>
      <c r="P685" s="7"/>
      <c r="Q685" s="7"/>
      <c r="R685" s="8"/>
      <c r="S685" s="6" t="str">
        <f>IF(NOT(ISBLANK(E685)), ROUND(((IF(E685="yes",1,0)*'Grading Scale'!E$2)+(IF(F685="yes",1,0)*'Grading Scale'!E$3)+(IF(G685="yes",1,0)*'Grading Scale'!E$4)+(IF(H685="yes",1,0)*'Grading Scale'!E$5)+(IF(I685="yes",1,0)*'Grading Scale'!E$6)+(IF(J685="yes",1,0)*'Grading Scale'!E$7)+(IF(K685="yes",1,0)*'Grading Scale'!E$8)+(IF(L685="yes",1,0)*'Grading Scale'!E$9)+(IF(M685="yes",1,0)*'Grading Scale'!E$10)+(IF(N685="yes",1,0)*'Grading Scale'!E$11)+(IF(O685="yes",1,0)*'Grading Scale'!E$12)+(IF(P685="yes",1,0)*'Grading Scale'!E$13))/'Grading Scale'!E$14*100,0), "")</f>
        <v/>
      </c>
      <c r="T685" s="6" t="str">
        <f>IF(ISNUMBER(S685),VLOOKUP(S685,'Grading Scale'!$A$2:$B$14, 2), "")</f>
        <v/>
      </c>
      <c r="U685" s="7"/>
      <c r="V685" s="7"/>
      <c r="W685" s="7"/>
      <c r="X685" s="7"/>
      <c r="Y685" s="7"/>
      <c r="Z685" s="7"/>
      <c r="AA685" s="7"/>
      <c r="AB685" s="7"/>
      <c r="AC685" s="7"/>
      <c r="AD685" s="7"/>
      <c r="AE685" s="7"/>
      <c r="AF685" s="7"/>
      <c r="AG685" s="7"/>
      <c r="AH685" s="7"/>
      <c r="AI685" s="7"/>
      <c r="AJ685" s="7"/>
    </row>
    <row r="686">
      <c r="A686" s="7"/>
      <c r="B686" s="7"/>
      <c r="C686" s="7"/>
      <c r="D686" s="6" t="str">
        <f>IF(NOT(ISBLANK(C686)), VLOOKUP(C686,'Dataset Descriptions'!$A$2:$B$10, 2, FALSE), "")</f>
        <v/>
      </c>
      <c r="E686" s="7"/>
      <c r="F686" s="7"/>
      <c r="G686" s="7"/>
      <c r="H686" s="7"/>
      <c r="I686" s="7"/>
      <c r="J686" s="7"/>
      <c r="K686" s="7"/>
      <c r="L686" s="7"/>
      <c r="M686" s="7"/>
      <c r="N686" s="7"/>
      <c r="O686" s="7"/>
      <c r="P686" s="7"/>
      <c r="Q686" s="7"/>
      <c r="R686" s="8"/>
      <c r="S686" s="6" t="str">
        <f>IF(NOT(ISBLANK(E686)), ROUND(((IF(E686="yes",1,0)*'Grading Scale'!E$2)+(IF(F686="yes",1,0)*'Grading Scale'!E$3)+(IF(G686="yes",1,0)*'Grading Scale'!E$4)+(IF(H686="yes",1,0)*'Grading Scale'!E$5)+(IF(I686="yes",1,0)*'Grading Scale'!E$6)+(IF(J686="yes",1,0)*'Grading Scale'!E$7)+(IF(K686="yes",1,0)*'Grading Scale'!E$8)+(IF(L686="yes",1,0)*'Grading Scale'!E$9)+(IF(M686="yes",1,0)*'Grading Scale'!E$10)+(IF(N686="yes",1,0)*'Grading Scale'!E$11)+(IF(O686="yes",1,0)*'Grading Scale'!E$12)+(IF(P686="yes",1,0)*'Grading Scale'!E$13))/'Grading Scale'!E$14*100,0), "")</f>
        <v/>
      </c>
      <c r="T686" s="6" t="str">
        <f>IF(ISNUMBER(S686),VLOOKUP(S686,'Grading Scale'!$A$2:$B$14, 2), "")</f>
        <v/>
      </c>
      <c r="U686" s="7"/>
      <c r="V686" s="7"/>
      <c r="W686" s="7"/>
      <c r="X686" s="7"/>
      <c r="Y686" s="7"/>
      <c r="Z686" s="7"/>
      <c r="AA686" s="7"/>
      <c r="AB686" s="7"/>
      <c r="AC686" s="7"/>
      <c r="AD686" s="7"/>
      <c r="AE686" s="7"/>
      <c r="AF686" s="7"/>
      <c r="AG686" s="7"/>
      <c r="AH686" s="7"/>
      <c r="AI686" s="7"/>
      <c r="AJ686" s="7"/>
    </row>
    <row r="687">
      <c r="A687" s="7"/>
      <c r="B687" s="7"/>
      <c r="C687" s="7"/>
      <c r="D687" s="6" t="str">
        <f>IF(NOT(ISBLANK(C687)), VLOOKUP(C687,'Dataset Descriptions'!$A$2:$B$10, 2, FALSE), "")</f>
        <v/>
      </c>
      <c r="E687" s="7"/>
      <c r="F687" s="7"/>
      <c r="G687" s="7"/>
      <c r="H687" s="7"/>
      <c r="I687" s="7"/>
      <c r="J687" s="7"/>
      <c r="K687" s="7"/>
      <c r="L687" s="7"/>
      <c r="M687" s="7"/>
      <c r="N687" s="7"/>
      <c r="O687" s="7"/>
      <c r="P687" s="7"/>
      <c r="Q687" s="7"/>
      <c r="R687" s="8"/>
      <c r="S687" s="6" t="str">
        <f>IF(NOT(ISBLANK(E687)), ROUND(((IF(E687="yes",1,0)*'Grading Scale'!E$2)+(IF(F687="yes",1,0)*'Grading Scale'!E$3)+(IF(G687="yes",1,0)*'Grading Scale'!E$4)+(IF(H687="yes",1,0)*'Grading Scale'!E$5)+(IF(I687="yes",1,0)*'Grading Scale'!E$6)+(IF(J687="yes",1,0)*'Grading Scale'!E$7)+(IF(K687="yes",1,0)*'Grading Scale'!E$8)+(IF(L687="yes",1,0)*'Grading Scale'!E$9)+(IF(M687="yes",1,0)*'Grading Scale'!E$10)+(IF(N687="yes",1,0)*'Grading Scale'!E$11)+(IF(O687="yes",1,0)*'Grading Scale'!E$12)+(IF(P687="yes",1,0)*'Grading Scale'!E$13))/'Grading Scale'!E$14*100,0), "")</f>
        <v/>
      </c>
      <c r="T687" s="6" t="str">
        <f>IF(ISNUMBER(S687),VLOOKUP(S687,'Grading Scale'!$A$2:$B$14, 2), "")</f>
        <v/>
      </c>
      <c r="U687" s="7"/>
      <c r="V687" s="7"/>
      <c r="W687" s="7"/>
      <c r="X687" s="7"/>
      <c r="Y687" s="7"/>
      <c r="Z687" s="7"/>
      <c r="AA687" s="7"/>
      <c r="AB687" s="7"/>
      <c r="AC687" s="7"/>
      <c r="AD687" s="7"/>
      <c r="AE687" s="7"/>
      <c r="AF687" s="7"/>
      <c r="AG687" s="7"/>
      <c r="AH687" s="7"/>
      <c r="AI687" s="7"/>
      <c r="AJ687" s="7"/>
    </row>
    <row r="688">
      <c r="A688" s="7"/>
      <c r="B688" s="7"/>
      <c r="C688" s="7"/>
      <c r="D688" s="6" t="str">
        <f>IF(NOT(ISBLANK(C688)), VLOOKUP(C688,'Dataset Descriptions'!$A$2:$B$10, 2, FALSE), "")</f>
        <v/>
      </c>
      <c r="E688" s="7"/>
      <c r="F688" s="7"/>
      <c r="G688" s="7"/>
      <c r="H688" s="7"/>
      <c r="I688" s="7"/>
      <c r="J688" s="7"/>
      <c r="K688" s="7"/>
      <c r="L688" s="7"/>
      <c r="M688" s="7"/>
      <c r="N688" s="7"/>
      <c r="O688" s="7"/>
      <c r="P688" s="7"/>
      <c r="Q688" s="7"/>
      <c r="R688" s="8"/>
      <c r="S688" s="6" t="str">
        <f>IF(NOT(ISBLANK(E688)), ROUND(((IF(E688="yes",1,0)*'Grading Scale'!E$2)+(IF(F688="yes",1,0)*'Grading Scale'!E$3)+(IF(G688="yes",1,0)*'Grading Scale'!E$4)+(IF(H688="yes",1,0)*'Grading Scale'!E$5)+(IF(I688="yes",1,0)*'Grading Scale'!E$6)+(IF(J688="yes",1,0)*'Grading Scale'!E$7)+(IF(K688="yes",1,0)*'Grading Scale'!E$8)+(IF(L688="yes",1,0)*'Grading Scale'!E$9)+(IF(M688="yes",1,0)*'Grading Scale'!E$10)+(IF(N688="yes",1,0)*'Grading Scale'!E$11)+(IF(O688="yes",1,0)*'Grading Scale'!E$12)+(IF(P688="yes",1,0)*'Grading Scale'!E$13))/'Grading Scale'!E$14*100,0), "")</f>
        <v/>
      </c>
      <c r="T688" s="6" t="str">
        <f>IF(ISNUMBER(S688),VLOOKUP(S688,'Grading Scale'!$A$2:$B$14, 2), "")</f>
        <v/>
      </c>
      <c r="U688" s="7"/>
      <c r="V688" s="7"/>
      <c r="W688" s="7"/>
      <c r="X688" s="7"/>
      <c r="Y688" s="7"/>
      <c r="Z688" s="7"/>
      <c r="AA688" s="7"/>
      <c r="AB688" s="7"/>
      <c r="AC688" s="7"/>
      <c r="AD688" s="7"/>
      <c r="AE688" s="7"/>
      <c r="AF688" s="7"/>
      <c r="AG688" s="7"/>
      <c r="AH688" s="7"/>
      <c r="AI688" s="7"/>
      <c r="AJ688" s="7"/>
    </row>
    <row r="689">
      <c r="A689" s="7"/>
      <c r="B689" s="7"/>
      <c r="C689" s="7"/>
      <c r="D689" s="6" t="str">
        <f>IF(NOT(ISBLANK(C689)), VLOOKUP(C689,'Dataset Descriptions'!$A$2:$B$10, 2, FALSE), "")</f>
        <v/>
      </c>
      <c r="E689" s="7"/>
      <c r="F689" s="7"/>
      <c r="G689" s="7"/>
      <c r="H689" s="7"/>
      <c r="I689" s="7"/>
      <c r="J689" s="7"/>
      <c r="K689" s="7"/>
      <c r="L689" s="7"/>
      <c r="M689" s="7"/>
      <c r="N689" s="7"/>
      <c r="O689" s="7"/>
      <c r="P689" s="7"/>
      <c r="Q689" s="7"/>
      <c r="R689" s="8"/>
      <c r="S689" s="6" t="str">
        <f>IF(NOT(ISBLANK(E689)), ROUND(((IF(E689="yes",1,0)*'Grading Scale'!E$2)+(IF(F689="yes",1,0)*'Grading Scale'!E$3)+(IF(G689="yes",1,0)*'Grading Scale'!E$4)+(IF(H689="yes",1,0)*'Grading Scale'!E$5)+(IF(I689="yes",1,0)*'Grading Scale'!E$6)+(IF(J689="yes",1,0)*'Grading Scale'!E$7)+(IF(K689="yes",1,0)*'Grading Scale'!E$8)+(IF(L689="yes",1,0)*'Grading Scale'!E$9)+(IF(M689="yes",1,0)*'Grading Scale'!E$10)+(IF(N689="yes",1,0)*'Grading Scale'!E$11)+(IF(O689="yes",1,0)*'Grading Scale'!E$12)+(IF(P689="yes",1,0)*'Grading Scale'!E$13))/'Grading Scale'!E$14*100,0), "")</f>
        <v/>
      </c>
      <c r="T689" s="6" t="str">
        <f>IF(ISNUMBER(S689),VLOOKUP(S689,'Grading Scale'!$A$2:$B$14, 2), "")</f>
        <v/>
      </c>
      <c r="U689" s="7"/>
      <c r="V689" s="7"/>
      <c r="W689" s="7"/>
      <c r="X689" s="7"/>
      <c r="Y689" s="7"/>
      <c r="Z689" s="7"/>
      <c r="AA689" s="7"/>
      <c r="AB689" s="7"/>
      <c r="AC689" s="7"/>
      <c r="AD689" s="7"/>
      <c r="AE689" s="7"/>
      <c r="AF689" s="7"/>
      <c r="AG689" s="7"/>
      <c r="AH689" s="7"/>
      <c r="AI689" s="7"/>
      <c r="AJ689" s="7"/>
    </row>
    <row r="690">
      <c r="A690" s="7"/>
      <c r="B690" s="7"/>
      <c r="C690" s="7"/>
      <c r="D690" s="6" t="str">
        <f>IF(NOT(ISBLANK(C690)), VLOOKUP(C690,'Dataset Descriptions'!$A$2:$B$10, 2, FALSE), "")</f>
        <v/>
      </c>
      <c r="E690" s="7"/>
      <c r="F690" s="7"/>
      <c r="G690" s="7"/>
      <c r="H690" s="7"/>
      <c r="I690" s="7"/>
      <c r="J690" s="7"/>
      <c r="K690" s="7"/>
      <c r="L690" s="7"/>
      <c r="M690" s="7"/>
      <c r="N690" s="7"/>
      <c r="O690" s="7"/>
      <c r="P690" s="7"/>
      <c r="Q690" s="7"/>
      <c r="R690" s="8"/>
      <c r="S690" s="6" t="str">
        <f>IF(NOT(ISBLANK(E690)), ROUND(((IF(E690="yes",1,0)*'Grading Scale'!E$2)+(IF(F690="yes",1,0)*'Grading Scale'!E$3)+(IF(G690="yes",1,0)*'Grading Scale'!E$4)+(IF(H690="yes",1,0)*'Grading Scale'!E$5)+(IF(I690="yes",1,0)*'Grading Scale'!E$6)+(IF(J690="yes",1,0)*'Grading Scale'!E$7)+(IF(K690="yes",1,0)*'Grading Scale'!E$8)+(IF(L690="yes",1,0)*'Grading Scale'!E$9)+(IF(M690="yes",1,0)*'Grading Scale'!E$10)+(IF(N690="yes",1,0)*'Grading Scale'!E$11)+(IF(O690="yes",1,0)*'Grading Scale'!E$12)+(IF(P690="yes",1,0)*'Grading Scale'!E$13))/'Grading Scale'!E$14*100,0), "")</f>
        <v/>
      </c>
      <c r="T690" s="6" t="str">
        <f>IF(ISNUMBER(S690),VLOOKUP(S690,'Grading Scale'!$A$2:$B$14, 2), "")</f>
        <v/>
      </c>
      <c r="U690" s="7"/>
      <c r="V690" s="7"/>
      <c r="W690" s="7"/>
      <c r="X690" s="7"/>
      <c r="Y690" s="7"/>
      <c r="Z690" s="7"/>
      <c r="AA690" s="7"/>
      <c r="AB690" s="7"/>
      <c r="AC690" s="7"/>
      <c r="AD690" s="7"/>
      <c r="AE690" s="7"/>
      <c r="AF690" s="7"/>
      <c r="AG690" s="7"/>
      <c r="AH690" s="7"/>
      <c r="AI690" s="7"/>
      <c r="AJ690" s="7"/>
    </row>
    <row r="691">
      <c r="A691" s="7"/>
      <c r="B691" s="7"/>
      <c r="C691" s="7"/>
      <c r="D691" s="6" t="str">
        <f>IF(NOT(ISBLANK(C691)), VLOOKUP(C691,'Dataset Descriptions'!$A$2:$B$10, 2, FALSE), "")</f>
        <v/>
      </c>
      <c r="E691" s="7"/>
      <c r="F691" s="7"/>
      <c r="G691" s="7"/>
      <c r="H691" s="7"/>
      <c r="I691" s="7"/>
      <c r="J691" s="7"/>
      <c r="K691" s="7"/>
      <c r="L691" s="7"/>
      <c r="M691" s="7"/>
      <c r="N691" s="7"/>
      <c r="O691" s="7"/>
      <c r="P691" s="7"/>
      <c r="Q691" s="7"/>
      <c r="R691" s="8"/>
      <c r="S691" s="6" t="str">
        <f>IF(NOT(ISBLANK(E691)), ROUND(((IF(E691="yes",1,0)*'Grading Scale'!E$2)+(IF(F691="yes",1,0)*'Grading Scale'!E$3)+(IF(G691="yes",1,0)*'Grading Scale'!E$4)+(IF(H691="yes",1,0)*'Grading Scale'!E$5)+(IF(I691="yes",1,0)*'Grading Scale'!E$6)+(IF(J691="yes",1,0)*'Grading Scale'!E$7)+(IF(K691="yes",1,0)*'Grading Scale'!E$8)+(IF(L691="yes",1,0)*'Grading Scale'!E$9)+(IF(M691="yes",1,0)*'Grading Scale'!E$10)+(IF(N691="yes",1,0)*'Grading Scale'!E$11)+(IF(O691="yes",1,0)*'Grading Scale'!E$12)+(IF(P691="yes",1,0)*'Grading Scale'!E$13))/'Grading Scale'!E$14*100,0), "")</f>
        <v/>
      </c>
      <c r="T691" s="6" t="str">
        <f>IF(ISNUMBER(S691),VLOOKUP(S691,'Grading Scale'!$A$2:$B$14, 2), "")</f>
        <v/>
      </c>
      <c r="U691" s="7"/>
      <c r="V691" s="7"/>
      <c r="W691" s="7"/>
      <c r="X691" s="7"/>
      <c r="Y691" s="7"/>
      <c r="Z691" s="7"/>
      <c r="AA691" s="7"/>
      <c r="AB691" s="7"/>
      <c r="AC691" s="7"/>
      <c r="AD691" s="7"/>
      <c r="AE691" s="7"/>
      <c r="AF691" s="7"/>
      <c r="AG691" s="7"/>
      <c r="AH691" s="7"/>
      <c r="AI691" s="7"/>
      <c r="AJ691" s="7"/>
    </row>
    <row r="692">
      <c r="A692" s="7"/>
      <c r="B692" s="7"/>
      <c r="C692" s="7"/>
      <c r="D692" s="6" t="str">
        <f>IF(NOT(ISBLANK(C692)), VLOOKUP(C692,'Dataset Descriptions'!$A$2:$B$10, 2, FALSE), "")</f>
        <v/>
      </c>
      <c r="E692" s="7"/>
      <c r="F692" s="7"/>
      <c r="G692" s="7"/>
      <c r="H692" s="7"/>
      <c r="I692" s="7"/>
      <c r="J692" s="7"/>
      <c r="K692" s="7"/>
      <c r="L692" s="7"/>
      <c r="M692" s="7"/>
      <c r="N692" s="7"/>
      <c r="O692" s="7"/>
      <c r="P692" s="7"/>
      <c r="Q692" s="7"/>
      <c r="R692" s="8"/>
      <c r="S692" s="6" t="str">
        <f>IF(NOT(ISBLANK(E692)), ROUND(((IF(E692="yes",1,0)*'Grading Scale'!E$2)+(IF(F692="yes",1,0)*'Grading Scale'!E$3)+(IF(G692="yes",1,0)*'Grading Scale'!E$4)+(IF(H692="yes",1,0)*'Grading Scale'!E$5)+(IF(I692="yes",1,0)*'Grading Scale'!E$6)+(IF(J692="yes",1,0)*'Grading Scale'!E$7)+(IF(K692="yes",1,0)*'Grading Scale'!E$8)+(IF(L692="yes",1,0)*'Grading Scale'!E$9)+(IF(M692="yes",1,0)*'Grading Scale'!E$10)+(IF(N692="yes",1,0)*'Grading Scale'!E$11)+(IF(O692="yes",1,0)*'Grading Scale'!E$12)+(IF(P692="yes",1,0)*'Grading Scale'!E$13))/'Grading Scale'!E$14*100,0), "")</f>
        <v/>
      </c>
      <c r="T692" s="6" t="str">
        <f>IF(ISNUMBER(S692),VLOOKUP(S692,'Grading Scale'!$A$2:$B$14, 2), "")</f>
        <v/>
      </c>
      <c r="U692" s="7"/>
      <c r="V692" s="7"/>
      <c r="W692" s="7"/>
      <c r="X692" s="7"/>
      <c r="Y692" s="7"/>
      <c r="Z692" s="7"/>
      <c r="AA692" s="7"/>
      <c r="AB692" s="7"/>
      <c r="AC692" s="7"/>
      <c r="AD692" s="7"/>
      <c r="AE692" s="7"/>
      <c r="AF692" s="7"/>
      <c r="AG692" s="7"/>
      <c r="AH692" s="7"/>
      <c r="AI692" s="7"/>
      <c r="AJ692" s="7"/>
    </row>
    <row r="693">
      <c r="A693" s="7"/>
      <c r="B693" s="7"/>
      <c r="C693" s="7"/>
      <c r="D693" s="6" t="str">
        <f>IF(NOT(ISBLANK(C693)), VLOOKUP(C693,'Dataset Descriptions'!$A$2:$B$10, 2, FALSE), "")</f>
        <v/>
      </c>
      <c r="E693" s="7"/>
      <c r="F693" s="7"/>
      <c r="G693" s="7"/>
      <c r="H693" s="7"/>
      <c r="I693" s="7"/>
      <c r="J693" s="7"/>
      <c r="K693" s="7"/>
      <c r="L693" s="7"/>
      <c r="M693" s="7"/>
      <c r="N693" s="7"/>
      <c r="O693" s="7"/>
      <c r="P693" s="7"/>
      <c r="Q693" s="7"/>
      <c r="R693" s="8"/>
      <c r="S693" s="6" t="str">
        <f>IF(NOT(ISBLANK(E693)), ROUND(((IF(E693="yes",1,0)*'Grading Scale'!E$2)+(IF(F693="yes",1,0)*'Grading Scale'!E$3)+(IF(G693="yes",1,0)*'Grading Scale'!E$4)+(IF(H693="yes",1,0)*'Grading Scale'!E$5)+(IF(I693="yes",1,0)*'Grading Scale'!E$6)+(IF(J693="yes",1,0)*'Grading Scale'!E$7)+(IF(K693="yes",1,0)*'Grading Scale'!E$8)+(IF(L693="yes",1,0)*'Grading Scale'!E$9)+(IF(M693="yes",1,0)*'Grading Scale'!E$10)+(IF(N693="yes",1,0)*'Grading Scale'!E$11)+(IF(O693="yes",1,0)*'Grading Scale'!E$12)+(IF(P693="yes",1,0)*'Grading Scale'!E$13))/'Grading Scale'!E$14*100,0), "")</f>
        <v/>
      </c>
      <c r="T693" s="6" t="str">
        <f>IF(ISNUMBER(S693),VLOOKUP(S693,'Grading Scale'!$A$2:$B$14, 2), "")</f>
        <v/>
      </c>
      <c r="U693" s="7"/>
      <c r="V693" s="7"/>
      <c r="W693" s="7"/>
      <c r="X693" s="7"/>
      <c r="Y693" s="7"/>
      <c r="Z693" s="7"/>
      <c r="AA693" s="7"/>
      <c r="AB693" s="7"/>
      <c r="AC693" s="7"/>
      <c r="AD693" s="7"/>
      <c r="AE693" s="7"/>
      <c r="AF693" s="7"/>
      <c r="AG693" s="7"/>
      <c r="AH693" s="7"/>
      <c r="AI693" s="7"/>
      <c r="AJ693" s="7"/>
    </row>
    <row r="694">
      <c r="A694" s="7"/>
      <c r="B694" s="7"/>
      <c r="C694" s="7"/>
      <c r="D694" s="6" t="str">
        <f>IF(NOT(ISBLANK(C694)), VLOOKUP(C694,'Dataset Descriptions'!$A$2:$B$10, 2, FALSE), "")</f>
        <v/>
      </c>
      <c r="E694" s="7"/>
      <c r="F694" s="7"/>
      <c r="G694" s="7"/>
      <c r="H694" s="7"/>
      <c r="I694" s="7"/>
      <c r="J694" s="7"/>
      <c r="K694" s="7"/>
      <c r="L694" s="7"/>
      <c r="M694" s="7"/>
      <c r="N694" s="7"/>
      <c r="O694" s="7"/>
      <c r="P694" s="7"/>
      <c r="Q694" s="7"/>
      <c r="R694" s="8"/>
      <c r="S694" s="6" t="str">
        <f>IF(NOT(ISBLANK(E694)), ROUND(((IF(E694="yes",1,0)*'Grading Scale'!E$2)+(IF(F694="yes",1,0)*'Grading Scale'!E$3)+(IF(G694="yes",1,0)*'Grading Scale'!E$4)+(IF(H694="yes",1,0)*'Grading Scale'!E$5)+(IF(I694="yes",1,0)*'Grading Scale'!E$6)+(IF(J694="yes",1,0)*'Grading Scale'!E$7)+(IF(K694="yes",1,0)*'Grading Scale'!E$8)+(IF(L694="yes",1,0)*'Grading Scale'!E$9)+(IF(M694="yes",1,0)*'Grading Scale'!E$10)+(IF(N694="yes",1,0)*'Grading Scale'!E$11)+(IF(O694="yes",1,0)*'Grading Scale'!E$12)+(IF(P694="yes",1,0)*'Grading Scale'!E$13))/'Grading Scale'!E$14*100,0), "")</f>
        <v/>
      </c>
      <c r="T694" s="6" t="str">
        <f>IF(ISNUMBER(S694),VLOOKUP(S694,'Grading Scale'!$A$2:$B$14, 2), "")</f>
        <v/>
      </c>
      <c r="U694" s="7"/>
      <c r="V694" s="7"/>
      <c r="W694" s="7"/>
      <c r="X694" s="7"/>
      <c r="Y694" s="7"/>
      <c r="Z694" s="7"/>
      <c r="AA694" s="7"/>
      <c r="AB694" s="7"/>
      <c r="AC694" s="7"/>
      <c r="AD694" s="7"/>
      <c r="AE694" s="7"/>
      <c r="AF694" s="7"/>
      <c r="AG694" s="7"/>
      <c r="AH694" s="7"/>
      <c r="AI694" s="7"/>
      <c r="AJ694" s="7"/>
    </row>
    <row r="695">
      <c r="A695" s="7"/>
      <c r="B695" s="7"/>
      <c r="C695" s="7"/>
      <c r="D695" s="6" t="str">
        <f>IF(NOT(ISBLANK(C695)), VLOOKUP(C695,'Dataset Descriptions'!$A$2:$B$10, 2, FALSE), "")</f>
        <v/>
      </c>
      <c r="E695" s="7"/>
      <c r="F695" s="7"/>
      <c r="G695" s="7"/>
      <c r="H695" s="7"/>
      <c r="I695" s="7"/>
      <c r="J695" s="7"/>
      <c r="K695" s="7"/>
      <c r="L695" s="7"/>
      <c r="M695" s="7"/>
      <c r="N695" s="7"/>
      <c r="O695" s="7"/>
      <c r="P695" s="7"/>
      <c r="Q695" s="7"/>
      <c r="R695" s="8"/>
      <c r="S695" s="6" t="str">
        <f>IF(NOT(ISBLANK(E695)), ROUND(((IF(E695="yes",1,0)*'Grading Scale'!E$2)+(IF(F695="yes",1,0)*'Grading Scale'!E$3)+(IF(G695="yes",1,0)*'Grading Scale'!E$4)+(IF(H695="yes",1,0)*'Grading Scale'!E$5)+(IF(I695="yes",1,0)*'Grading Scale'!E$6)+(IF(J695="yes",1,0)*'Grading Scale'!E$7)+(IF(K695="yes",1,0)*'Grading Scale'!E$8)+(IF(L695="yes",1,0)*'Grading Scale'!E$9)+(IF(M695="yes",1,0)*'Grading Scale'!E$10)+(IF(N695="yes",1,0)*'Grading Scale'!E$11)+(IF(O695="yes",1,0)*'Grading Scale'!E$12)+(IF(P695="yes",1,0)*'Grading Scale'!E$13))/'Grading Scale'!E$14*100,0), "")</f>
        <v/>
      </c>
      <c r="T695" s="6" t="str">
        <f>IF(ISNUMBER(S695),VLOOKUP(S695,'Grading Scale'!$A$2:$B$14, 2), "")</f>
        <v/>
      </c>
      <c r="U695" s="7"/>
      <c r="V695" s="7"/>
      <c r="W695" s="7"/>
      <c r="X695" s="7"/>
      <c r="Y695" s="7"/>
      <c r="Z695" s="7"/>
      <c r="AA695" s="7"/>
      <c r="AB695" s="7"/>
      <c r="AC695" s="7"/>
      <c r="AD695" s="7"/>
      <c r="AE695" s="7"/>
      <c r="AF695" s="7"/>
      <c r="AG695" s="7"/>
      <c r="AH695" s="7"/>
      <c r="AI695" s="7"/>
      <c r="AJ695" s="7"/>
    </row>
    <row r="696">
      <c r="A696" s="7"/>
      <c r="B696" s="7"/>
      <c r="C696" s="7"/>
      <c r="D696" s="6" t="str">
        <f>IF(NOT(ISBLANK(C696)), VLOOKUP(C696,'Dataset Descriptions'!$A$2:$B$10, 2, FALSE), "")</f>
        <v/>
      </c>
      <c r="E696" s="7"/>
      <c r="F696" s="7"/>
      <c r="G696" s="7"/>
      <c r="H696" s="7"/>
      <c r="I696" s="7"/>
      <c r="J696" s="7"/>
      <c r="K696" s="7"/>
      <c r="L696" s="7"/>
      <c r="M696" s="7"/>
      <c r="N696" s="7"/>
      <c r="O696" s="7"/>
      <c r="P696" s="7"/>
      <c r="Q696" s="7"/>
      <c r="R696" s="8"/>
      <c r="S696" s="6" t="str">
        <f>IF(NOT(ISBLANK(E696)), ROUND(((IF(E696="yes",1,0)*'Grading Scale'!E$2)+(IF(F696="yes",1,0)*'Grading Scale'!E$3)+(IF(G696="yes",1,0)*'Grading Scale'!E$4)+(IF(H696="yes",1,0)*'Grading Scale'!E$5)+(IF(I696="yes",1,0)*'Grading Scale'!E$6)+(IF(J696="yes",1,0)*'Grading Scale'!E$7)+(IF(K696="yes",1,0)*'Grading Scale'!E$8)+(IF(L696="yes",1,0)*'Grading Scale'!E$9)+(IF(M696="yes",1,0)*'Grading Scale'!E$10)+(IF(N696="yes",1,0)*'Grading Scale'!E$11)+(IF(O696="yes",1,0)*'Grading Scale'!E$12)+(IF(P696="yes",1,0)*'Grading Scale'!E$13))/'Grading Scale'!E$14*100,0), "")</f>
        <v/>
      </c>
      <c r="T696" s="6" t="str">
        <f>IF(ISNUMBER(S696),VLOOKUP(S696,'Grading Scale'!$A$2:$B$14, 2), "")</f>
        <v/>
      </c>
      <c r="U696" s="7"/>
      <c r="V696" s="7"/>
      <c r="W696" s="7"/>
      <c r="X696" s="7"/>
      <c r="Y696" s="7"/>
      <c r="Z696" s="7"/>
      <c r="AA696" s="7"/>
      <c r="AB696" s="7"/>
      <c r="AC696" s="7"/>
      <c r="AD696" s="7"/>
      <c r="AE696" s="7"/>
      <c r="AF696" s="7"/>
      <c r="AG696" s="7"/>
      <c r="AH696" s="7"/>
      <c r="AI696" s="7"/>
      <c r="AJ696" s="7"/>
    </row>
    <row r="697">
      <c r="A697" s="7"/>
      <c r="B697" s="7"/>
      <c r="C697" s="7"/>
      <c r="D697" s="6" t="str">
        <f>IF(NOT(ISBLANK(C697)), VLOOKUP(C697,'Dataset Descriptions'!$A$2:$B$10, 2, FALSE), "")</f>
        <v/>
      </c>
      <c r="E697" s="7"/>
      <c r="F697" s="7"/>
      <c r="G697" s="7"/>
      <c r="H697" s="7"/>
      <c r="I697" s="7"/>
      <c r="J697" s="7"/>
      <c r="K697" s="7"/>
      <c r="L697" s="7"/>
      <c r="M697" s="7"/>
      <c r="N697" s="7"/>
      <c r="O697" s="7"/>
      <c r="P697" s="7"/>
      <c r="Q697" s="7"/>
      <c r="R697" s="8"/>
      <c r="S697" s="6" t="str">
        <f>IF(NOT(ISBLANK(E697)), ROUND(((IF(E697="yes",1,0)*'Grading Scale'!E$2)+(IF(F697="yes",1,0)*'Grading Scale'!E$3)+(IF(G697="yes",1,0)*'Grading Scale'!E$4)+(IF(H697="yes",1,0)*'Grading Scale'!E$5)+(IF(I697="yes",1,0)*'Grading Scale'!E$6)+(IF(J697="yes",1,0)*'Grading Scale'!E$7)+(IF(K697="yes",1,0)*'Grading Scale'!E$8)+(IF(L697="yes",1,0)*'Grading Scale'!E$9)+(IF(M697="yes",1,0)*'Grading Scale'!E$10)+(IF(N697="yes",1,0)*'Grading Scale'!E$11)+(IF(O697="yes",1,0)*'Grading Scale'!E$12)+(IF(P697="yes",1,0)*'Grading Scale'!E$13))/'Grading Scale'!E$14*100,0), "")</f>
        <v/>
      </c>
      <c r="T697" s="6" t="str">
        <f>IF(ISNUMBER(S697),VLOOKUP(S697,'Grading Scale'!$A$2:$B$14, 2), "")</f>
        <v/>
      </c>
      <c r="U697" s="7"/>
      <c r="V697" s="7"/>
      <c r="W697" s="7"/>
      <c r="X697" s="7"/>
      <c r="Y697" s="7"/>
      <c r="Z697" s="7"/>
      <c r="AA697" s="7"/>
      <c r="AB697" s="7"/>
      <c r="AC697" s="7"/>
      <c r="AD697" s="7"/>
      <c r="AE697" s="7"/>
      <c r="AF697" s="7"/>
      <c r="AG697" s="7"/>
      <c r="AH697" s="7"/>
      <c r="AI697" s="7"/>
      <c r="AJ697" s="7"/>
    </row>
    <row r="698">
      <c r="A698" s="7"/>
      <c r="B698" s="7"/>
      <c r="C698" s="7"/>
      <c r="D698" s="6" t="str">
        <f>IF(NOT(ISBLANK(C698)), VLOOKUP(C698,'Dataset Descriptions'!$A$2:$B$10, 2, FALSE), "")</f>
        <v/>
      </c>
      <c r="E698" s="7"/>
      <c r="F698" s="7"/>
      <c r="G698" s="7"/>
      <c r="H698" s="7"/>
      <c r="I698" s="7"/>
      <c r="J698" s="7"/>
      <c r="K698" s="7"/>
      <c r="L698" s="7"/>
      <c r="M698" s="7"/>
      <c r="N698" s="7"/>
      <c r="O698" s="7"/>
      <c r="P698" s="7"/>
      <c r="Q698" s="7"/>
      <c r="R698" s="8"/>
      <c r="S698" s="6" t="str">
        <f>IF(NOT(ISBLANK(E698)), ROUND(((IF(E698="yes",1,0)*'Grading Scale'!E$2)+(IF(F698="yes",1,0)*'Grading Scale'!E$3)+(IF(G698="yes",1,0)*'Grading Scale'!E$4)+(IF(H698="yes",1,0)*'Grading Scale'!E$5)+(IF(I698="yes",1,0)*'Grading Scale'!E$6)+(IF(J698="yes",1,0)*'Grading Scale'!E$7)+(IF(K698="yes",1,0)*'Grading Scale'!E$8)+(IF(L698="yes",1,0)*'Grading Scale'!E$9)+(IF(M698="yes",1,0)*'Grading Scale'!E$10)+(IF(N698="yes",1,0)*'Grading Scale'!E$11)+(IF(O698="yes",1,0)*'Grading Scale'!E$12)+(IF(P698="yes",1,0)*'Grading Scale'!E$13))/'Grading Scale'!E$14*100,0), "")</f>
        <v/>
      </c>
      <c r="T698" s="6" t="str">
        <f>IF(ISNUMBER(S698),VLOOKUP(S698,'Grading Scale'!$A$2:$B$14, 2), "")</f>
        <v/>
      </c>
      <c r="U698" s="7"/>
      <c r="V698" s="7"/>
      <c r="W698" s="7"/>
      <c r="X698" s="7"/>
      <c r="Y698" s="7"/>
      <c r="Z698" s="7"/>
      <c r="AA698" s="7"/>
      <c r="AB698" s="7"/>
      <c r="AC698" s="7"/>
      <c r="AD698" s="7"/>
      <c r="AE698" s="7"/>
      <c r="AF698" s="7"/>
      <c r="AG698" s="7"/>
      <c r="AH698" s="7"/>
      <c r="AI698" s="7"/>
      <c r="AJ698" s="7"/>
    </row>
    <row r="699">
      <c r="A699" s="7"/>
      <c r="B699" s="7"/>
      <c r="C699" s="7"/>
      <c r="D699" s="6" t="str">
        <f>IF(NOT(ISBLANK(C699)), VLOOKUP(C699,'Dataset Descriptions'!$A$2:$B$10, 2, FALSE), "")</f>
        <v/>
      </c>
      <c r="E699" s="7"/>
      <c r="F699" s="7"/>
      <c r="G699" s="7"/>
      <c r="H699" s="7"/>
      <c r="I699" s="7"/>
      <c r="J699" s="7"/>
      <c r="K699" s="7"/>
      <c r="L699" s="7"/>
      <c r="M699" s="7"/>
      <c r="N699" s="7"/>
      <c r="O699" s="7"/>
      <c r="P699" s="7"/>
      <c r="Q699" s="7"/>
      <c r="R699" s="8"/>
      <c r="S699" s="6" t="str">
        <f>IF(NOT(ISBLANK(E699)), ROUND(((IF(E699="yes",1,0)*'Grading Scale'!E$2)+(IF(F699="yes",1,0)*'Grading Scale'!E$3)+(IF(G699="yes",1,0)*'Grading Scale'!E$4)+(IF(H699="yes",1,0)*'Grading Scale'!E$5)+(IF(I699="yes",1,0)*'Grading Scale'!E$6)+(IF(J699="yes",1,0)*'Grading Scale'!E$7)+(IF(K699="yes",1,0)*'Grading Scale'!E$8)+(IF(L699="yes",1,0)*'Grading Scale'!E$9)+(IF(M699="yes",1,0)*'Grading Scale'!E$10)+(IF(N699="yes",1,0)*'Grading Scale'!E$11)+(IF(O699="yes",1,0)*'Grading Scale'!E$12)+(IF(P699="yes",1,0)*'Grading Scale'!E$13))/'Grading Scale'!E$14*100,0), "")</f>
        <v/>
      </c>
      <c r="T699" s="6" t="str">
        <f>IF(ISNUMBER(S699),VLOOKUP(S699,'Grading Scale'!$A$2:$B$14, 2), "")</f>
        <v/>
      </c>
      <c r="U699" s="7"/>
      <c r="V699" s="7"/>
      <c r="W699" s="7"/>
      <c r="X699" s="7"/>
      <c r="Y699" s="7"/>
      <c r="Z699" s="7"/>
      <c r="AA699" s="7"/>
      <c r="AB699" s="7"/>
      <c r="AC699" s="7"/>
      <c r="AD699" s="7"/>
      <c r="AE699" s="7"/>
      <c r="AF699" s="7"/>
      <c r="AG699" s="7"/>
      <c r="AH699" s="7"/>
      <c r="AI699" s="7"/>
      <c r="AJ699" s="7"/>
    </row>
    <row r="700">
      <c r="A700" s="7"/>
      <c r="B700" s="7"/>
      <c r="C700" s="7"/>
      <c r="D700" s="6" t="str">
        <f>IF(NOT(ISBLANK(C700)), VLOOKUP(C700,'Dataset Descriptions'!$A$2:$B$10, 2, FALSE), "")</f>
        <v/>
      </c>
      <c r="E700" s="7"/>
      <c r="F700" s="7"/>
      <c r="G700" s="7"/>
      <c r="H700" s="7"/>
      <c r="I700" s="7"/>
      <c r="J700" s="7"/>
      <c r="K700" s="7"/>
      <c r="L700" s="7"/>
      <c r="M700" s="7"/>
      <c r="N700" s="7"/>
      <c r="O700" s="7"/>
      <c r="P700" s="7"/>
      <c r="Q700" s="7"/>
      <c r="R700" s="8"/>
      <c r="S700" s="6" t="str">
        <f>IF(NOT(ISBLANK(E700)), ROUND(((IF(E700="yes",1,0)*'Grading Scale'!E$2)+(IF(F700="yes",1,0)*'Grading Scale'!E$3)+(IF(G700="yes",1,0)*'Grading Scale'!E$4)+(IF(H700="yes",1,0)*'Grading Scale'!E$5)+(IF(I700="yes",1,0)*'Grading Scale'!E$6)+(IF(J700="yes",1,0)*'Grading Scale'!E$7)+(IF(K700="yes",1,0)*'Grading Scale'!E$8)+(IF(L700="yes",1,0)*'Grading Scale'!E$9)+(IF(M700="yes",1,0)*'Grading Scale'!E$10)+(IF(N700="yes",1,0)*'Grading Scale'!E$11)+(IF(O700="yes",1,0)*'Grading Scale'!E$12)+(IF(P700="yes",1,0)*'Grading Scale'!E$13))/'Grading Scale'!E$14*100,0), "")</f>
        <v/>
      </c>
      <c r="T700" s="6" t="str">
        <f>IF(ISNUMBER(S700),VLOOKUP(S700,'Grading Scale'!$A$2:$B$14, 2), "")</f>
        <v/>
      </c>
      <c r="U700" s="7"/>
      <c r="V700" s="7"/>
      <c r="W700" s="7"/>
      <c r="X700" s="7"/>
      <c r="Y700" s="7"/>
      <c r="Z700" s="7"/>
      <c r="AA700" s="7"/>
      <c r="AB700" s="7"/>
      <c r="AC700" s="7"/>
      <c r="AD700" s="7"/>
      <c r="AE700" s="7"/>
      <c r="AF700" s="7"/>
      <c r="AG700" s="7"/>
      <c r="AH700" s="7"/>
      <c r="AI700" s="7"/>
      <c r="AJ700" s="7"/>
    </row>
    <row r="701">
      <c r="A701" s="7"/>
      <c r="B701" s="7"/>
      <c r="C701" s="7"/>
      <c r="D701" s="6" t="str">
        <f>IF(NOT(ISBLANK(C701)), VLOOKUP(C701,'Dataset Descriptions'!$A$2:$B$10, 2, FALSE), "")</f>
        <v/>
      </c>
      <c r="E701" s="7"/>
      <c r="F701" s="7"/>
      <c r="G701" s="7"/>
      <c r="H701" s="7"/>
      <c r="I701" s="7"/>
      <c r="J701" s="7"/>
      <c r="K701" s="7"/>
      <c r="L701" s="7"/>
      <c r="M701" s="7"/>
      <c r="N701" s="7"/>
      <c r="O701" s="7"/>
      <c r="P701" s="7"/>
      <c r="Q701" s="7"/>
      <c r="R701" s="8"/>
      <c r="S701" s="6" t="str">
        <f>IF(NOT(ISBLANK(E701)), ROUND(((IF(E701="yes",1,0)*'Grading Scale'!E$2)+(IF(F701="yes",1,0)*'Grading Scale'!E$3)+(IF(G701="yes",1,0)*'Grading Scale'!E$4)+(IF(H701="yes",1,0)*'Grading Scale'!E$5)+(IF(I701="yes",1,0)*'Grading Scale'!E$6)+(IF(J701="yes",1,0)*'Grading Scale'!E$7)+(IF(K701="yes",1,0)*'Grading Scale'!E$8)+(IF(L701="yes",1,0)*'Grading Scale'!E$9)+(IF(M701="yes",1,0)*'Grading Scale'!E$10)+(IF(N701="yes",1,0)*'Grading Scale'!E$11)+(IF(O701="yes",1,0)*'Grading Scale'!E$12)+(IF(P701="yes",1,0)*'Grading Scale'!E$13))/'Grading Scale'!E$14*100,0), "")</f>
        <v/>
      </c>
      <c r="T701" s="6" t="str">
        <f>IF(ISNUMBER(S701),VLOOKUP(S701,'Grading Scale'!$A$2:$B$14, 2), "")</f>
        <v/>
      </c>
      <c r="U701" s="7"/>
      <c r="V701" s="7"/>
      <c r="W701" s="7"/>
      <c r="X701" s="7"/>
      <c r="Y701" s="7"/>
      <c r="Z701" s="7"/>
      <c r="AA701" s="7"/>
      <c r="AB701" s="7"/>
      <c r="AC701" s="7"/>
      <c r="AD701" s="7"/>
      <c r="AE701" s="7"/>
      <c r="AF701" s="7"/>
      <c r="AG701" s="7"/>
      <c r="AH701" s="7"/>
      <c r="AI701" s="7"/>
      <c r="AJ701" s="7"/>
    </row>
    <row r="702">
      <c r="A702" s="7"/>
      <c r="B702" s="7"/>
      <c r="C702" s="7"/>
      <c r="D702" s="6" t="str">
        <f>IF(NOT(ISBLANK(C702)), VLOOKUP(C702,'Dataset Descriptions'!$A$2:$B$10, 2, FALSE), "")</f>
        <v/>
      </c>
      <c r="E702" s="7"/>
      <c r="F702" s="7"/>
      <c r="G702" s="7"/>
      <c r="H702" s="7"/>
      <c r="I702" s="7"/>
      <c r="J702" s="7"/>
      <c r="K702" s="7"/>
      <c r="L702" s="7"/>
      <c r="M702" s="7"/>
      <c r="N702" s="7"/>
      <c r="O702" s="7"/>
      <c r="P702" s="7"/>
      <c r="Q702" s="7"/>
      <c r="R702" s="8"/>
      <c r="S702" s="6" t="str">
        <f>IF(NOT(ISBLANK(E702)), ROUND(((IF(E702="yes",1,0)*'Grading Scale'!E$2)+(IF(F702="yes",1,0)*'Grading Scale'!E$3)+(IF(G702="yes",1,0)*'Grading Scale'!E$4)+(IF(H702="yes",1,0)*'Grading Scale'!E$5)+(IF(I702="yes",1,0)*'Grading Scale'!E$6)+(IF(J702="yes",1,0)*'Grading Scale'!E$7)+(IF(K702="yes",1,0)*'Grading Scale'!E$8)+(IF(L702="yes",1,0)*'Grading Scale'!E$9)+(IF(M702="yes",1,0)*'Grading Scale'!E$10)+(IF(N702="yes",1,0)*'Grading Scale'!E$11)+(IF(O702="yes",1,0)*'Grading Scale'!E$12)+(IF(P702="yes",1,0)*'Grading Scale'!E$13))/'Grading Scale'!E$14*100,0), "")</f>
        <v/>
      </c>
      <c r="T702" s="6" t="str">
        <f>IF(ISNUMBER(S702),VLOOKUP(S702,'Grading Scale'!$A$2:$B$14, 2), "")</f>
        <v/>
      </c>
      <c r="U702" s="7"/>
      <c r="V702" s="7"/>
      <c r="W702" s="7"/>
      <c r="X702" s="7"/>
      <c r="Y702" s="7"/>
      <c r="Z702" s="7"/>
      <c r="AA702" s="7"/>
      <c r="AB702" s="7"/>
      <c r="AC702" s="7"/>
      <c r="AD702" s="7"/>
      <c r="AE702" s="7"/>
      <c r="AF702" s="7"/>
      <c r="AG702" s="7"/>
      <c r="AH702" s="7"/>
      <c r="AI702" s="7"/>
      <c r="AJ702" s="7"/>
    </row>
    <row r="703">
      <c r="A703" s="7"/>
      <c r="B703" s="7"/>
      <c r="C703" s="7"/>
      <c r="D703" s="6" t="str">
        <f>IF(NOT(ISBLANK(C703)), VLOOKUP(C703,'Dataset Descriptions'!$A$2:$B$10, 2, FALSE), "")</f>
        <v/>
      </c>
      <c r="E703" s="7"/>
      <c r="F703" s="7"/>
      <c r="G703" s="7"/>
      <c r="H703" s="7"/>
      <c r="I703" s="7"/>
      <c r="J703" s="7"/>
      <c r="K703" s="7"/>
      <c r="L703" s="7"/>
      <c r="M703" s="7"/>
      <c r="N703" s="7"/>
      <c r="O703" s="7"/>
      <c r="P703" s="7"/>
      <c r="Q703" s="7"/>
      <c r="R703" s="8"/>
      <c r="S703" s="6" t="str">
        <f>IF(NOT(ISBLANK(E703)), ROUND(((IF(E703="yes",1,0)*'Grading Scale'!E$2)+(IF(F703="yes",1,0)*'Grading Scale'!E$3)+(IF(G703="yes",1,0)*'Grading Scale'!E$4)+(IF(H703="yes",1,0)*'Grading Scale'!E$5)+(IF(I703="yes",1,0)*'Grading Scale'!E$6)+(IF(J703="yes",1,0)*'Grading Scale'!E$7)+(IF(K703="yes",1,0)*'Grading Scale'!E$8)+(IF(L703="yes",1,0)*'Grading Scale'!E$9)+(IF(M703="yes",1,0)*'Grading Scale'!E$10)+(IF(N703="yes",1,0)*'Grading Scale'!E$11)+(IF(O703="yes",1,0)*'Grading Scale'!E$12)+(IF(P703="yes",1,0)*'Grading Scale'!E$13))/'Grading Scale'!E$14*100,0), "")</f>
        <v/>
      </c>
      <c r="T703" s="6" t="str">
        <f>IF(ISNUMBER(S703),VLOOKUP(S703,'Grading Scale'!$A$2:$B$14, 2), "")</f>
        <v/>
      </c>
      <c r="U703" s="7"/>
      <c r="V703" s="7"/>
      <c r="W703" s="7"/>
      <c r="X703" s="7"/>
      <c r="Y703" s="7"/>
      <c r="Z703" s="7"/>
      <c r="AA703" s="7"/>
      <c r="AB703" s="7"/>
      <c r="AC703" s="7"/>
      <c r="AD703" s="7"/>
      <c r="AE703" s="7"/>
      <c r="AF703" s="7"/>
      <c r="AG703" s="7"/>
      <c r="AH703" s="7"/>
      <c r="AI703" s="7"/>
      <c r="AJ703" s="7"/>
    </row>
    <row r="704">
      <c r="A704" s="7"/>
      <c r="B704" s="7"/>
      <c r="C704" s="7"/>
      <c r="D704" s="6" t="str">
        <f>IF(NOT(ISBLANK(C704)), VLOOKUP(C704,'Dataset Descriptions'!$A$2:$B$10, 2, FALSE), "")</f>
        <v/>
      </c>
      <c r="E704" s="7"/>
      <c r="F704" s="7"/>
      <c r="G704" s="7"/>
      <c r="H704" s="7"/>
      <c r="I704" s="7"/>
      <c r="J704" s="7"/>
      <c r="K704" s="7"/>
      <c r="L704" s="7"/>
      <c r="M704" s="7"/>
      <c r="N704" s="7"/>
      <c r="O704" s="7"/>
      <c r="P704" s="7"/>
      <c r="Q704" s="7"/>
      <c r="R704" s="8"/>
      <c r="S704" s="6" t="str">
        <f>IF(NOT(ISBLANK(E704)), ROUND(((IF(E704="yes",1,0)*'Grading Scale'!E$2)+(IF(F704="yes",1,0)*'Grading Scale'!E$3)+(IF(G704="yes",1,0)*'Grading Scale'!E$4)+(IF(H704="yes",1,0)*'Grading Scale'!E$5)+(IF(I704="yes",1,0)*'Grading Scale'!E$6)+(IF(J704="yes",1,0)*'Grading Scale'!E$7)+(IF(K704="yes",1,0)*'Grading Scale'!E$8)+(IF(L704="yes",1,0)*'Grading Scale'!E$9)+(IF(M704="yes",1,0)*'Grading Scale'!E$10)+(IF(N704="yes",1,0)*'Grading Scale'!E$11)+(IF(O704="yes",1,0)*'Grading Scale'!E$12)+(IF(P704="yes",1,0)*'Grading Scale'!E$13))/'Grading Scale'!E$14*100,0), "")</f>
        <v/>
      </c>
      <c r="T704" s="6" t="str">
        <f>IF(ISNUMBER(S704),VLOOKUP(S704,'Grading Scale'!$A$2:$B$14, 2), "")</f>
        <v/>
      </c>
      <c r="U704" s="7"/>
      <c r="V704" s="7"/>
      <c r="W704" s="7"/>
      <c r="X704" s="7"/>
      <c r="Y704" s="7"/>
      <c r="Z704" s="7"/>
      <c r="AA704" s="7"/>
      <c r="AB704" s="7"/>
      <c r="AC704" s="7"/>
      <c r="AD704" s="7"/>
      <c r="AE704" s="7"/>
      <c r="AF704" s="7"/>
      <c r="AG704" s="7"/>
      <c r="AH704" s="7"/>
      <c r="AI704" s="7"/>
      <c r="AJ704" s="7"/>
    </row>
    <row r="705">
      <c r="A705" s="7"/>
      <c r="B705" s="7"/>
      <c r="C705" s="7"/>
      <c r="D705" s="6" t="str">
        <f>IF(NOT(ISBLANK(C705)), VLOOKUP(C705,'Dataset Descriptions'!$A$2:$B$10, 2, FALSE), "")</f>
        <v/>
      </c>
      <c r="E705" s="7"/>
      <c r="F705" s="7"/>
      <c r="G705" s="7"/>
      <c r="H705" s="7"/>
      <c r="I705" s="7"/>
      <c r="J705" s="7"/>
      <c r="K705" s="7"/>
      <c r="L705" s="7"/>
      <c r="M705" s="7"/>
      <c r="N705" s="7"/>
      <c r="O705" s="7"/>
      <c r="P705" s="7"/>
      <c r="Q705" s="7"/>
      <c r="R705" s="8"/>
      <c r="S705" s="6" t="str">
        <f>IF(NOT(ISBLANK(E705)), ROUND(((IF(E705="yes",1,0)*'Grading Scale'!E$2)+(IF(F705="yes",1,0)*'Grading Scale'!E$3)+(IF(G705="yes",1,0)*'Grading Scale'!E$4)+(IF(H705="yes",1,0)*'Grading Scale'!E$5)+(IF(I705="yes",1,0)*'Grading Scale'!E$6)+(IF(J705="yes",1,0)*'Grading Scale'!E$7)+(IF(K705="yes",1,0)*'Grading Scale'!E$8)+(IF(L705="yes",1,0)*'Grading Scale'!E$9)+(IF(M705="yes",1,0)*'Grading Scale'!E$10)+(IF(N705="yes",1,0)*'Grading Scale'!E$11)+(IF(O705="yes",1,0)*'Grading Scale'!E$12)+(IF(P705="yes",1,0)*'Grading Scale'!E$13))/'Grading Scale'!E$14*100,0), "")</f>
        <v/>
      </c>
      <c r="T705" s="6" t="str">
        <f>IF(ISNUMBER(S705),VLOOKUP(S705,'Grading Scale'!$A$2:$B$14, 2), "")</f>
        <v/>
      </c>
      <c r="U705" s="7"/>
      <c r="V705" s="7"/>
      <c r="W705" s="7"/>
      <c r="X705" s="7"/>
      <c r="Y705" s="7"/>
      <c r="Z705" s="7"/>
      <c r="AA705" s="7"/>
      <c r="AB705" s="7"/>
      <c r="AC705" s="7"/>
      <c r="AD705" s="7"/>
      <c r="AE705" s="7"/>
      <c r="AF705" s="7"/>
      <c r="AG705" s="7"/>
      <c r="AH705" s="7"/>
      <c r="AI705" s="7"/>
      <c r="AJ705" s="7"/>
    </row>
    <row r="706">
      <c r="A706" s="7"/>
      <c r="B706" s="7"/>
      <c r="C706" s="7"/>
      <c r="D706" s="6" t="str">
        <f>IF(NOT(ISBLANK(C706)), VLOOKUP(C706,'Dataset Descriptions'!$A$2:$B$10, 2, FALSE), "")</f>
        <v/>
      </c>
      <c r="E706" s="7"/>
      <c r="F706" s="7"/>
      <c r="G706" s="7"/>
      <c r="H706" s="7"/>
      <c r="I706" s="7"/>
      <c r="J706" s="7"/>
      <c r="K706" s="7"/>
      <c r="L706" s="7"/>
      <c r="M706" s="7"/>
      <c r="N706" s="7"/>
      <c r="O706" s="7"/>
      <c r="P706" s="7"/>
      <c r="Q706" s="7"/>
      <c r="R706" s="8"/>
      <c r="S706" s="6" t="str">
        <f>IF(NOT(ISBLANK(E706)), ROUND(((IF(E706="yes",1,0)*'Grading Scale'!E$2)+(IF(F706="yes",1,0)*'Grading Scale'!E$3)+(IF(G706="yes",1,0)*'Grading Scale'!E$4)+(IF(H706="yes",1,0)*'Grading Scale'!E$5)+(IF(I706="yes",1,0)*'Grading Scale'!E$6)+(IF(J706="yes",1,0)*'Grading Scale'!E$7)+(IF(K706="yes",1,0)*'Grading Scale'!E$8)+(IF(L706="yes",1,0)*'Grading Scale'!E$9)+(IF(M706="yes",1,0)*'Grading Scale'!E$10)+(IF(N706="yes",1,0)*'Grading Scale'!E$11)+(IF(O706="yes",1,0)*'Grading Scale'!E$12)+(IF(P706="yes",1,0)*'Grading Scale'!E$13))/'Grading Scale'!E$14*100,0), "")</f>
        <v/>
      </c>
      <c r="T706" s="6" t="str">
        <f>IF(ISNUMBER(S706),VLOOKUP(S706,'Grading Scale'!$A$2:$B$14, 2), "")</f>
        <v/>
      </c>
      <c r="U706" s="7"/>
      <c r="V706" s="7"/>
      <c r="W706" s="7"/>
      <c r="X706" s="7"/>
      <c r="Y706" s="7"/>
      <c r="Z706" s="7"/>
      <c r="AA706" s="7"/>
      <c r="AB706" s="7"/>
      <c r="AC706" s="7"/>
      <c r="AD706" s="7"/>
      <c r="AE706" s="7"/>
      <c r="AF706" s="7"/>
      <c r="AG706" s="7"/>
      <c r="AH706" s="7"/>
      <c r="AI706" s="7"/>
      <c r="AJ706" s="7"/>
    </row>
    <row r="707">
      <c r="A707" s="7"/>
      <c r="B707" s="7"/>
      <c r="C707" s="7"/>
      <c r="D707" s="6" t="str">
        <f>IF(NOT(ISBLANK(C707)), VLOOKUP(C707,'Dataset Descriptions'!$A$2:$B$10, 2, FALSE), "")</f>
        <v/>
      </c>
      <c r="E707" s="7"/>
      <c r="F707" s="7"/>
      <c r="G707" s="7"/>
      <c r="H707" s="7"/>
      <c r="I707" s="7"/>
      <c r="J707" s="7"/>
      <c r="K707" s="7"/>
      <c r="L707" s="7"/>
      <c r="M707" s="7"/>
      <c r="N707" s="7"/>
      <c r="O707" s="7"/>
      <c r="P707" s="7"/>
      <c r="Q707" s="7"/>
      <c r="R707" s="8"/>
      <c r="S707" s="6" t="str">
        <f>IF(NOT(ISBLANK(E707)), ROUND(((IF(E707="yes",1,0)*'Grading Scale'!E$2)+(IF(F707="yes",1,0)*'Grading Scale'!E$3)+(IF(G707="yes",1,0)*'Grading Scale'!E$4)+(IF(H707="yes",1,0)*'Grading Scale'!E$5)+(IF(I707="yes",1,0)*'Grading Scale'!E$6)+(IF(J707="yes",1,0)*'Grading Scale'!E$7)+(IF(K707="yes",1,0)*'Grading Scale'!E$8)+(IF(L707="yes",1,0)*'Grading Scale'!E$9)+(IF(M707="yes",1,0)*'Grading Scale'!E$10)+(IF(N707="yes",1,0)*'Grading Scale'!E$11)+(IF(O707="yes",1,0)*'Grading Scale'!E$12)+(IF(P707="yes",1,0)*'Grading Scale'!E$13))/'Grading Scale'!E$14*100,0), "")</f>
        <v/>
      </c>
      <c r="T707" s="6" t="str">
        <f>IF(ISNUMBER(S707),VLOOKUP(S707,'Grading Scale'!$A$2:$B$14, 2), "")</f>
        <v/>
      </c>
      <c r="U707" s="7"/>
      <c r="V707" s="7"/>
      <c r="W707" s="7"/>
      <c r="X707" s="7"/>
      <c r="Y707" s="7"/>
      <c r="Z707" s="7"/>
      <c r="AA707" s="7"/>
      <c r="AB707" s="7"/>
      <c r="AC707" s="7"/>
      <c r="AD707" s="7"/>
      <c r="AE707" s="7"/>
      <c r="AF707" s="7"/>
      <c r="AG707" s="7"/>
      <c r="AH707" s="7"/>
      <c r="AI707" s="7"/>
      <c r="AJ707" s="7"/>
    </row>
    <row r="708">
      <c r="A708" s="7"/>
      <c r="B708" s="7"/>
      <c r="C708" s="7"/>
      <c r="D708" s="6" t="str">
        <f>IF(NOT(ISBLANK(C708)), VLOOKUP(C708,'Dataset Descriptions'!$A$2:$B$10, 2, FALSE), "")</f>
        <v/>
      </c>
      <c r="E708" s="7"/>
      <c r="F708" s="7"/>
      <c r="G708" s="7"/>
      <c r="H708" s="7"/>
      <c r="I708" s="7"/>
      <c r="J708" s="7"/>
      <c r="K708" s="7"/>
      <c r="L708" s="7"/>
      <c r="M708" s="7"/>
      <c r="N708" s="7"/>
      <c r="O708" s="7"/>
      <c r="P708" s="7"/>
      <c r="Q708" s="7"/>
      <c r="R708" s="8"/>
      <c r="S708" s="6" t="str">
        <f>IF(NOT(ISBLANK(E708)), ROUND(((IF(E708="yes",1,0)*'Grading Scale'!E$2)+(IF(F708="yes",1,0)*'Grading Scale'!E$3)+(IF(G708="yes",1,0)*'Grading Scale'!E$4)+(IF(H708="yes",1,0)*'Grading Scale'!E$5)+(IF(I708="yes",1,0)*'Grading Scale'!E$6)+(IF(J708="yes",1,0)*'Grading Scale'!E$7)+(IF(K708="yes",1,0)*'Grading Scale'!E$8)+(IF(L708="yes",1,0)*'Grading Scale'!E$9)+(IF(M708="yes",1,0)*'Grading Scale'!E$10)+(IF(N708="yes",1,0)*'Grading Scale'!E$11)+(IF(O708="yes",1,0)*'Grading Scale'!E$12)+(IF(P708="yes",1,0)*'Grading Scale'!E$13))/'Grading Scale'!E$14*100,0), "")</f>
        <v/>
      </c>
      <c r="T708" s="6" t="str">
        <f>IF(ISNUMBER(S708),VLOOKUP(S708,'Grading Scale'!$A$2:$B$14, 2), "")</f>
        <v/>
      </c>
      <c r="U708" s="7"/>
      <c r="V708" s="7"/>
      <c r="W708" s="7"/>
      <c r="X708" s="7"/>
      <c r="Y708" s="7"/>
      <c r="Z708" s="7"/>
      <c r="AA708" s="7"/>
      <c r="AB708" s="7"/>
      <c r="AC708" s="7"/>
      <c r="AD708" s="7"/>
      <c r="AE708" s="7"/>
      <c r="AF708" s="7"/>
      <c r="AG708" s="7"/>
      <c r="AH708" s="7"/>
      <c r="AI708" s="7"/>
      <c r="AJ708" s="7"/>
    </row>
    <row r="709">
      <c r="A709" s="7"/>
      <c r="B709" s="7"/>
      <c r="C709" s="7"/>
      <c r="D709" s="6" t="str">
        <f>IF(NOT(ISBLANK(C709)), VLOOKUP(C709,'Dataset Descriptions'!$A$2:$B$10, 2, FALSE), "")</f>
        <v/>
      </c>
      <c r="E709" s="7"/>
      <c r="F709" s="7"/>
      <c r="G709" s="7"/>
      <c r="H709" s="7"/>
      <c r="I709" s="7"/>
      <c r="J709" s="7"/>
      <c r="K709" s="7"/>
      <c r="L709" s="7"/>
      <c r="M709" s="7"/>
      <c r="N709" s="7"/>
      <c r="O709" s="7"/>
      <c r="P709" s="7"/>
      <c r="Q709" s="7"/>
      <c r="R709" s="8"/>
      <c r="S709" s="6" t="str">
        <f>IF(NOT(ISBLANK(E709)), ROUND(((IF(E709="yes",1,0)*'Grading Scale'!E$2)+(IF(F709="yes",1,0)*'Grading Scale'!E$3)+(IF(G709="yes",1,0)*'Grading Scale'!E$4)+(IF(H709="yes",1,0)*'Grading Scale'!E$5)+(IF(I709="yes",1,0)*'Grading Scale'!E$6)+(IF(J709="yes",1,0)*'Grading Scale'!E$7)+(IF(K709="yes",1,0)*'Grading Scale'!E$8)+(IF(L709="yes",1,0)*'Grading Scale'!E$9)+(IF(M709="yes",1,0)*'Grading Scale'!E$10)+(IF(N709="yes",1,0)*'Grading Scale'!E$11)+(IF(O709="yes",1,0)*'Grading Scale'!E$12)+(IF(P709="yes",1,0)*'Grading Scale'!E$13))/'Grading Scale'!E$14*100,0), "")</f>
        <v/>
      </c>
      <c r="T709" s="6" t="str">
        <f>IF(ISNUMBER(S709),VLOOKUP(S709,'Grading Scale'!$A$2:$B$14, 2), "")</f>
        <v/>
      </c>
      <c r="U709" s="7"/>
      <c r="V709" s="7"/>
      <c r="W709" s="7"/>
      <c r="X709" s="7"/>
      <c r="Y709" s="7"/>
      <c r="Z709" s="7"/>
      <c r="AA709" s="7"/>
      <c r="AB709" s="7"/>
      <c r="AC709" s="7"/>
      <c r="AD709" s="7"/>
      <c r="AE709" s="7"/>
      <c r="AF709" s="7"/>
      <c r="AG709" s="7"/>
      <c r="AH709" s="7"/>
      <c r="AI709" s="7"/>
      <c r="AJ709" s="7"/>
    </row>
    <row r="710">
      <c r="A710" s="7"/>
      <c r="B710" s="7"/>
      <c r="C710" s="7"/>
      <c r="D710" s="6" t="str">
        <f>IF(NOT(ISBLANK(C710)), VLOOKUP(C710,'Dataset Descriptions'!$A$2:$B$10, 2, FALSE), "")</f>
        <v/>
      </c>
      <c r="E710" s="7"/>
      <c r="F710" s="7"/>
      <c r="G710" s="7"/>
      <c r="H710" s="7"/>
      <c r="I710" s="7"/>
      <c r="J710" s="7"/>
      <c r="K710" s="7"/>
      <c r="L710" s="7"/>
      <c r="M710" s="7"/>
      <c r="N710" s="7"/>
      <c r="O710" s="7"/>
      <c r="P710" s="7"/>
      <c r="Q710" s="7"/>
      <c r="R710" s="8"/>
      <c r="S710" s="6" t="str">
        <f>IF(NOT(ISBLANK(E710)), ROUND(((IF(E710="yes",1,0)*'Grading Scale'!E$2)+(IF(F710="yes",1,0)*'Grading Scale'!E$3)+(IF(G710="yes",1,0)*'Grading Scale'!E$4)+(IF(H710="yes",1,0)*'Grading Scale'!E$5)+(IF(I710="yes",1,0)*'Grading Scale'!E$6)+(IF(J710="yes",1,0)*'Grading Scale'!E$7)+(IF(K710="yes",1,0)*'Grading Scale'!E$8)+(IF(L710="yes",1,0)*'Grading Scale'!E$9)+(IF(M710="yes",1,0)*'Grading Scale'!E$10)+(IF(N710="yes",1,0)*'Grading Scale'!E$11)+(IF(O710="yes",1,0)*'Grading Scale'!E$12)+(IF(P710="yes",1,0)*'Grading Scale'!E$13))/'Grading Scale'!E$14*100,0), "")</f>
        <v/>
      </c>
      <c r="T710" s="6" t="str">
        <f>IF(ISNUMBER(S710),VLOOKUP(S710,'Grading Scale'!$A$2:$B$14, 2), "")</f>
        <v/>
      </c>
      <c r="U710" s="7"/>
      <c r="V710" s="7"/>
      <c r="W710" s="7"/>
      <c r="X710" s="7"/>
      <c r="Y710" s="7"/>
      <c r="Z710" s="7"/>
      <c r="AA710" s="7"/>
      <c r="AB710" s="7"/>
      <c r="AC710" s="7"/>
      <c r="AD710" s="7"/>
      <c r="AE710" s="7"/>
      <c r="AF710" s="7"/>
      <c r="AG710" s="7"/>
      <c r="AH710" s="7"/>
      <c r="AI710" s="7"/>
      <c r="AJ710" s="7"/>
    </row>
    <row r="711">
      <c r="A711" s="7"/>
      <c r="B711" s="7"/>
      <c r="C711" s="7"/>
      <c r="D711" s="6" t="str">
        <f>IF(NOT(ISBLANK(C711)), VLOOKUP(C711,'Dataset Descriptions'!$A$2:$B$10, 2, FALSE), "")</f>
        <v/>
      </c>
      <c r="E711" s="7"/>
      <c r="F711" s="7"/>
      <c r="G711" s="7"/>
      <c r="H711" s="7"/>
      <c r="I711" s="7"/>
      <c r="J711" s="7"/>
      <c r="K711" s="7"/>
      <c r="L711" s="7"/>
      <c r="M711" s="7"/>
      <c r="N711" s="7"/>
      <c r="O711" s="7"/>
      <c r="P711" s="7"/>
      <c r="Q711" s="7"/>
      <c r="R711" s="8"/>
      <c r="S711" s="6" t="str">
        <f>IF(NOT(ISBLANK(E711)), ROUND(((IF(E711="yes",1,0)*'Grading Scale'!E$2)+(IF(F711="yes",1,0)*'Grading Scale'!E$3)+(IF(G711="yes",1,0)*'Grading Scale'!E$4)+(IF(H711="yes",1,0)*'Grading Scale'!E$5)+(IF(I711="yes",1,0)*'Grading Scale'!E$6)+(IF(J711="yes",1,0)*'Grading Scale'!E$7)+(IF(K711="yes",1,0)*'Grading Scale'!E$8)+(IF(L711="yes",1,0)*'Grading Scale'!E$9)+(IF(M711="yes",1,0)*'Grading Scale'!E$10)+(IF(N711="yes",1,0)*'Grading Scale'!E$11)+(IF(O711="yes",1,0)*'Grading Scale'!E$12)+(IF(P711="yes",1,0)*'Grading Scale'!E$13))/'Grading Scale'!E$14*100,0), "")</f>
        <v/>
      </c>
      <c r="T711" s="6" t="str">
        <f>IF(ISNUMBER(S711),VLOOKUP(S711,'Grading Scale'!$A$2:$B$14, 2), "")</f>
        <v/>
      </c>
      <c r="U711" s="7"/>
      <c r="V711" s="7"/>
      <c r="W711" s="7"/>
      <c r="X711" s="7"/>
      <c r="Y711" s="7"/>
      <c r="Z711" s="7"/>
      <c r="AA711" s="7"/>
      <c r="AB711" s="7"/>
      <c r="AC711" s="7"/>
      <c r="AD711" s="7"/>
      <c r="AE711" s="7"/>
      <c r="AF711" s="7"/>
      <c r="AG711" s="7"/>
      <c r="AH711" s="7"/>
      <c r="AI711" s="7"/>
      <c r="AJ711" s="7"/>
    </row>
    <row r="712">
      <c r="A712" s="7"/>
      <c r="B712" s="7"/>
      <c r="C712" s="7"/>
      <c r="D712" s="6" t="str">
        <f>IF(NOT(ISBLANK(C712)), VLOOKUP(C712,'Dataset Descriptions'!$A$2:$B$10, 2, FALSE), "")</f>
        <v/>
      </c>
      <c r="E712" s="7"/>
      <c r="F712" s="7"/>
      <c r="G712" s="7"/>
      <c r="H712" s="7"/>
      <c r="I712" s="7"/>
      <c r="J712" s="7"/>
      <c r="K712" s="7"/>
      <c r="L712" s="7"/>
      <c r="M712" s="7"/>
      <c r="N712" s="7"/>
      <c r="O712" s="7"/>
      <c r="P712" s="7"/>
      <c r="Q712" s="7"/>
      <c r="R712" s="8"/>
      <c r="S712" s="6" t="str">
        <f>IF(NOT(ISBLANK(E712)), ROUND(((IF(E712="yes",1,0)*'Grading Scale'!E$2)+(IF(F712="yes",1,0)*'Grading Scale'!E$3)+(IF(G712="yes",1,0)*'Grading Scale'!E$4)+(IF(H712="yes",1,0)*'Grading Scale'!E$5)+(IF(I712="yes",1,0)*'Grading Scale'!E$6)+(IF(J712="yes",1,0)*'Grading Scale'!E$7)+(IF(K712="yes",1,0)*'Grading Scale'!E$8)+(IF(L712="yes",1,0)*'Grading Scale'!E$9)+(IF(M712="yes",1,0)*'Grading Scale'!E$10)+(IF(N712="yes",1,0)*'Grading Scale'!E$11)+(IF(O712="yes",1,0)*'Grading Scale'!E$12)+(IF(P712="yes",1,0)*'Grading Scale'!E$13))/'Grading Scale'!E$14*100,0), "")</f>
        <v/>
      </c>
      <c r="T712" s="6" t="str">
        <f>IF(ISNUMBER(S712),VLOOKUP(S712,'Grading Scale'!$A$2:$B$14, 2), "")</f>
        <v/>
      </c>
      <c r="U712" s="7"/>
      <c r="V712" s="7"/>
      <c r="W712" s="7"/>
      <c r="X712" s="7"/>
      <c r="Y712" s="7"/>
      <c r="Z712" s="7"/>
      <c r="AA712" s="7"/>
      <c r="AB712" s="7"/>
      <c r="AC712" s="7"/>
      <c r="AD712" s="7"/>
      <c r="AE712" s="7"/>
      <c r="AF712" s="7"/>
      <c r="AG712" s="7"/>
      <c r="AH712" s="7"/>
      <c r="AI712" s="7"/>
      <c r="AJ712" s="7"/>
    </row>
    <row r="713">
      <c r="A713" s="7"/>
      <c r="B713" s="7"/>
      <c r="C713" s="7"/>
      <c r="D713" s="6" t="str">
        <f>IF(NOT(ISBLANK(C713)), VLOOKUP(C713,'Dataset Descriptions'!$A$2:$B$10, 2, FALSE), "")</f>
        <v/>
      </c>
      <c r="E713" s="7"/>
      <c r="F713" s="7"/>
      <c r="G713" s="7"/>
      <c r="H713" s="7"/>
      <c r="I713" s="7"/>
      <c r="J713" s="7"/>
      <c r="K713" s="7"/>
      <c r="L713" s="7"/>
      <c r="M713" s="7"/>
      <c r="N713" s="7"/>
      <c r="O713" s="7"/>
      <c r="P713" s="7"/>
      <c r="Q713" s="7"/>
      <c r="R713" s="8"/>
      <c r="S713" s="6" t="str">
        <f>IF(NOT(ISBLANK(E713)), ROUND(((IF(E713="yes",1,0)*'Grading Scale'!E$2)+(IF(F713="yes",1,0)*'Grading Scale'!E$3)+(IF(G713="yes",1,0)*'Grading Scale'!E$4)+(IF(H713="yes",1,0)*'Grading Scale'!E$5)+(IF(I713="yes",1,0)*'Grading Scale'!E$6)+(IF(J713="yes",1,0)*'Grading Scale'!E$7)+(IF(K713="yes",1,0)*'Grading Scale'!E$8)+(IF(L713="yes",1,0)*'Grading Scale'!E$9)+(IF(M713="yes",1,0)*'Grading Scale'!E$10)+(IF(N713="yes",1,0)*'Grading Scale'!E$11)+(IF(O713="yes",1,0)*'Grading Scale'!E$12)+(IF(P713="yes",1,0)*'Grading Scale'!E$13))/'Grading Scale'!E$14*100,0), "")</f>
        <v/>
      </c>
      <c r="T713" s="6" t="str">
        <f>IF(ISNUMBER(S713),VLOOKUP(S713,'Grading Scale'!$A$2:$B$14, 2), "")</f>
        <v/>
      </c>
      <c r="U713" s="7"/>
      <c r="V713" s="7"/>
      <c r="W713" s="7"/>
      <c r="X713" s="7"/>
      <c r="Y713" s="7"/>
      <c r="Z713" s="7"/>
      <c r="AA713" s="7"/>
      <c r="AB713" s="7"/>
      <c r="AC713" s="7"/>
      <c r="AD713" s="7"/>
      <c r="AE713" s="7"/>
      <c r="AF713" s="7"/>
      <c r="AG713" s="7"/>
      <c r="AH713" s="7"/>
      <c r="AI713" s="7"/>
      <c r="AJ713" s="7"/>
    </row>
    <row r="714">
      <c r="A714" s="7"/>
      <c r="B714" s="7"/>
      <c r="C714" s="7"/>
      <c r="D714" s="6" t="str">
        <f>IF(NOT(ISBLANK(C714)), VLOOKUP(C714,'Dataset Descriptions'!$A$2:$B$10, 2, FALSE), "")</f>
        <v/>
      </c>
      <c r="E714" s="7"/>
      <c r="F714" s="7"/>
      <c r="G714" s="7"/>
      <c r="H714" s="7"/>
      <c r="I714" s="7"/>
      <c r="J714" s="7"/>
      <c r="K714" s="7"/>
      <c r="L714" s="7"/>
      <c r="M714" s="7"/>
      <c r="N714" s="7"/>
      <c r="O714" s="7"/>
      <c r="P714" s="7"/>
      <c r="Q714" s="7"/>
      <c r="R714" s="8"/>
      <c r="S714" s="6" t="str">
        <f>IF(NOT(ISBLANK(E714)), ROUND(((IF(E714="yes",1,0)*'Grading Scale'!E$2)+(IF(F714="yes",1,0)*'Grading Scale'!E$3)+(IF(G714="yes",1,0)*'Grading Scale'!E$4)+(IF(H714="yes",1,0)*'Grading Scale'!E$5)+(IF(I714="yes",1,0)*'Grading Scale'!E$6)+(IF(J714="yes",1,0)*'Grading Scale'!E$7)+(IF(K714="yes",1,0)*'Grading Scale'!E$8)+(IF(L714="yes",1,0)*'Grading Scale'!E$9)+(IF(M714="yes",1,0)*'Grading Scale'!E$10)+(IF(N714="yes",1,0)*'Grading Scale'!E$11)+(IF(O714="yes",1,0)*'Grading Scale'!E$12)+(IF(P714="yes",1,0)*'Grading Scale'!E$13))/'Grading Scale'!E$14*100,0), "")</f>
        <v/>
      </c>
      <c r="T714" s="6" t="str">
        <f>IF(ISNUMBER(S714),VLOOKUP(S714,'Grading Scale'!$A$2:$B$14, 2), "")</f>
        <v/>
      </c>
      <c r="U714" s="7"/>
      <c r="V714" s="7"/>
      <c r="W714" s="7"/>
      <c r="X714" s="7"/>
      <c r="Y714" s="7"/>
      <c r="Z714" s="7"/>
      <c r="AA714" s="7"/>
      <c r="AB714" s="7"/>
      <c r="AC714" s="7"/>
      <c r="AD714" s="7"/>
      <c r="AE714" s="7"/>
      <c r="AF714" s="7"/>
      <c r="AG714" s="7"/>
      <c r="AH714" s="7"/>
      <c r="AI714" s="7"/>
      <c r="AJ714" s="7"/>
    </row>
    <row r="715">
      <c r="A715" s="7"/>
      <c r="B715" s="7"/>
      <c r="C715" s="7"/>
      <c r="D715" s="6" t="str">
        <f>IF(NOT(ISBLANK(C715)), VLOOKUP(C715,'Dataset Descriptions'!$A$2:$B$10, 2, FALSE), "")</f>
        <v/>
      </c>
      <c r="E715" s="7"/>
      <c r="F715" s="7"/>
      <c r="G715" s="7"/>
      <c r="H715" s="7"/>
      <c r="I715" s="7"/>
      <c r="J715" s="7"/>
      <c r="K715" s="7"/>
      <c r="L715" s="7"/>
      <c r="M715" s="7"/>
      <c r="N715" s="7"/>
      <c r="O715" s="7"/>
      <c r="P715" s="7"/>
      <c r="Q715" s="7"/>
      <c r="R715" s="8"/>
      <c r="S715" s="6" t="str">
        <f>IF(NOT(ISBLANK(E715)), ROUND(((IF(E715="yes",1,0)*'Grading Scale'!E$2)+(IF(F715="yes",1,0)*'Grading Scale'!E$3)+(IF(G715="yes",1,0)*'Grading Scale'!E$4)+(IF(H715="yes",1,0)*'Grading Scale'!E$5)+(IF(I715="yes",1,0)*'Grading Scale'!E$6)+(IF(J715="yes",1,0)*'Grading Scale'!E$7)+(IF(K715="yes",1,0)*'Grading Scale'!E$8)+(IF(L715="yes",1,0)*'Grading Scale'!E$9)+(IF(M715="yes",1,0)*'Grading Scale'!E$10)+(IF(N715="yes",1,0)*'Grading Scale'!E$11)+(IF(O715="yes",1,0)*'Grading Scale'!E$12)+(IF(P715="yes",1,0)*'Grading Scale'!E$13))/'Grading Scale'!E$14*100,0), "")</f>
        <v/>
      </c>
      <c r="T715" s="6" t="str">
        <f>IF(ISNUMBER(S715),VLOOKUP(S715,'Grading Scale'!$A$2:$B$14, 2), "")</f>
        <v/>
      </c>
      <c r="U715" s="7"/>
      <c r="V715" s="7"/>
      <c r="W715" s="7"/>
      <c r="X715" s="7"/>
      <c r="Y715" s="7"/>
      <c r="Z715" s="7"/>
      <c r="AA715" s="7"/>
      <c r="AB715" s="7"/>
      <c r="AC715" s="7"/>
      <c r="AD715" s="7"/>
      <c r="AE715" s="7"/>
      <c r="AF715" s="7"/>
      <c r="AG715" s="7"/>
      <c r="AH715" s="7"/>
      <c r="AI715" s="7"/>
      <c r="AJ715" s="7"/>
    </row>
    <row r="716">
      <c r="A716" s="7"/>
      <c r="B716" s="7"/>
      <c r="C716" s="7"/>
      <c r="D716" s="6" t="str">
        <f>IF(NOT(ISBLANK(C716)), VLOOKUP(C716,'Dataset Descriptions'!$A$2:$B$10, 2, FALSE), "")</f>
        <v/>
      </c>
      <c r="E716" s="7"/>
      <c r="F716" s="7"/>
      <c r="G716" s="7"/>
      <c r="H716" s="7"/>
      <c r="I716" s="7"/>
      <c r="J716" s="7"/>
      <c r="K716" s="7"/>
      <c r="L716" s="7"/>
      <c r="M716" s="7"/>
      <c r="N716" s="7"/>
      <c r="O716" s="7"/>
      <c r="P716" s="7"/>
      <c r="Q716" s="7"/>
      <c r="R716" s="8"/>
      <c r="S716" s="6" t="str">
        <f>IF(NOT(ISBLANK(E716)), ROUND(((IF(E716="yes",1,0)*'Grading Scale'!E$2)+(IF(F716="yes",1,0)*'Grading Scale'!E$3)+(IF(G716="yes",1,0)*'Grading Scale'!E$4)+(IF(H716="yes",1,0)*'Grading Scale'!E$5)+(IF(I716="yes",1,0)*'Grading Scale'!E$6)+(IF(J716="yes",1,0)*'Grading Scale'!E$7)+(IF(K716="yes",1,0)*'Grading Scale'!E$8)+(IF(L716="yes",1,0)*'Grading Scale'!E$9)+(IF(M716="yes",1,0)*'Grading Scale'!E$10)+(IF(N716="yes",1,0)*'Grading Scale'!E$11)+(IF(O716="yes",1,0)*'Grading Scale'!E$12)+(IF(P716="yes",1,0)*'Grading Scale'!E$13))/'Grading Scale'!E$14*100,0), "")</f>
        <v/>
      </c>
      <c r="T716" s="6" t="str">
        <f>IF(ISNUMBER(S716),VLOOKUP(S716,'Grading Scale'!$A$2:$B$14, 2), "")</f>
        <v/>
      </c>
      <c r="U716" s="7"/>
      <c r="V716" s="7"/>
      <c r="W716" s="7"/>
      <c r="X716" s="7"/>
      <c r="Y716" s="7"/>
      <c r="Z716" s="7"/>
      <c r="AA716" s="7"/>
      <c r="AB716" s="7"/>
      <c r="AC716" s="7"/>
      <c r="AD716" s="7"/>
      <c r="AE716" s="7"/>
      <c r="AF716" s="7"/>
      <c r="AG716" s="7"/>
      <c r="AH716" s="7"/>
      <c r="AI716" s="7"/>
      <c r="AJ716" s="7"/>
    </row>
    <row r="717">
      <c r="A717" s="7"/>
      <c r="B717" s="7"/>
      <c r="C717" s="7"/>
      <c r="D717" s="6" t="str">
        <f>IF(NOT(ISBLANK(C717)), VLOOKUP(C717,'Dataset Descriptions'!$A$2:$B$10, 2, FALSE), "")</f>
        <v/>
      </c>
      <c r="E717" s="7"/>
      <c r="F717" s="7"/>
      <c r="G717" s="7"/>
      <c r="H717" s="7"/>
      <c r="I717" s="7"/>
      <c r="J717" s="7"/>
      <c r="K717" s="7"/>
      <c r="L717" s="7"/>
      <c r="M717" s="7"/>
      <c r="N717" s="7"/>
      <c r="O717" s="7"/>
      <c r="P717" s="7"/>
      <c r="Q717" s="7"/>
      <c r="R717" s="8"/>
      <c r="S717" s="6" t="str">
        <f>IF(NOT(ISBLANK(E717)), ROUND(((IF(E717="yes",1,0)*'Grading Scale'!E$2)+(IF(F717="yes",1,0)*'Grading Scale'!E$3)+(IF(G717="yes",1,0)*'Grading Scale'!E$4)+(IF(H717="yes",1,0)*'Grading Scale'!E$5)+(IF(I717="yes",1,0)*'Grading Scale'!E$6)+(IF(J717="yes",1,0)*'Grading Scale'!E$7)+(IF(K717="yes",1,0)*'Grading Scale'!E$8)+(IF(L717="yes",1,0)*'Grading Scale'!E$9)+(IF(M717="yes",1,0)*'Grading Scale'!E$10)+(IF(N717="yes",1,0)*'Grading Scale'!E$11)+(IF(O717="yes",1,0)*'Grading Scale'!E$12)+(IF(P717="yes",1,0)*'Grading Scale'!E$13))/'Grading Scale'!E$14*100,0), "")</f>
        <v/>
      </c>
      <c r="T717" s="6" t="str">
        <f>IF(ISNUMBER(S717),VLOOKUP(S717,'Grading Scale'!$A$2:$B$14, 2), "")</f>
        <v/>
      </c>
      <c r="U717" s="7"/>
      <c r="V717" s="7"/>
      <c r="W717" s="7"/>
      <c r="X717" s="7"/>
      <c r="Y717" s="7"/>
      <c r="Z717" s="7"/>
      <c r="AA717" s="7"/>
      <c r="AB717" s="7"/>
      <c r="AC717" s="7"/>
      <c r="AD717" s="7"/>
      <c r="AE717" s="7"/>
      <c r="AF717" s="7"/>
      <c r="AG717" s="7"/>
      <c r="AH717" s="7"/>
      <c r="AI717" s="7"/>
      <c r="AJ717" s="7"/>
    </row>
    <row r="718">
      <c r="A718" s="7"/>
      <c r="B718" s="7"/>
      <c r="C718" s="7"/>
      <c r="D718" s="6" t="str">
        <f>IF(NOT(ISBLANK(C718)), VLOOKUP(C718,'Dataset Descriptions'!$A$2:$B$10, 2, FALSE), "")</f>
        <v/>
      </c>
      <c r="E718" s="7"/>
      <c r="F718" s="7"/>
      <c r="G718" s="7"/>
      <c r="H718" s="7"/>
      <c r="I718" s="7"/>
      <c r="J718" s="7"/>
      <c r="K718" s="7"/>
      <c r="L718" s="7"/>
      <c r="M718" s="7"/>
      <c r="N718" s="7"/>
      <c r="O718" s="7"/>
      <c r="P718" s="7"/>
      <c r="Q718" s="7"/>
      <c r="R718" s="8"/>
      <c r="S718" s="6" t="str">
        <f>IF(NOT(ISBLANK(E718)), ROUND(((IF(E718="yes",1,0)*'Grading Scale'!E$2)+(IF(F718="yes",1,0)*'Grading Scale'!E$3)+(IF(G718="yes",1,0)*'Grading Scale'!E$4)+(IF(H718="yes",1,0)*'Grading Scale'!E$5)+(IF(I718="yes",1,0)*'Grading Scale'!E$6)+(IF(J718="yes",1,0)*'Grading Scale'!E$7)+(IF(K718="yes",1,0)*'Grading Scale'!E$8)+(IF(L718="yes",1,0)*'Grading Scale'!E$9)+(IF(M718="yes",1,0)*'Grading Scale'!E$10)+(IF(N718="yes",1,0)*'Grading Scale'!E$11)+(IF(O718="yes",1,0)*'Grading Scale'!E$12)+(IF(P718="yes",1,0)*'Grading Scale'!E$13))/'Grading Scale'!E$14*100,0), "")</f>
        <v/>
      </c>
      <c r="T718" s="6" t="str">
        <f>IF(ISNUMBER(S718),VLOOKUP(S718,'Grading Scale'!$A$2:$B$14, 2), "")</f>
        <v/>
      </c>
      <c r="U718" s="7"/>
      <c r="V718" s="7"/>
      <c r="W718" s="7"/>
      <c r="X718" s="7"/>
      <c r="Y718" s="7"/>
      <c r="Z718" s="7"/>
      <c r="AA718" s="7"/>
      <c r="AB718" s="7"/>
      <c r="AC718" s="7"/>
      <c r="AD718" s="7"/>
      <c r="AE718" s="7"/>
      <c r="AF718" s="7"/>
      <c r="AG718" s="7"/>
      <c r="AH718" s="7"/>
      <c r="AI718" s="7"/>
      <c r="AJ718" s="7"/>
    </row>
    <row r="719">
      <c r="A719" s="7"/>
      <c r="B719" s="7"/>
      <c r="C719" s="7"/>
      <c r="D719" s="6" t="str">
        <f>IF(NOT(ISBLANK(C719)), VLOOKUP(C719,'Dataset Descriptions'!$A$2:$B$10, 2, FALSE), "")</f>
        <v/>
      </c>
      <c r="E719" s="7"/>
      <c r="F719" s="7"/>
      <c r="G719" s="7"/>
      <c r="H719" s="7"/>
      <c r="I719" s="7"/>
      <c r="J719" s="7"/>
      <c r="K719" s="7"/>
      <c r="L719" s="7"/>
      <c r="M719" s="7"/>
      <c r="N719" s="7"/>
      <c r="O719" s="7"/>
      <c r="P719" s="7"/>
      <c r="Q719" s="7"/>
      <c r="R719" s="8"/>
      <c r="S719" s="6" t="str">
        <f>IF(NOT(ISBLANK(E719)), ROUND(((IF(E719="yes",1,0)*'Grading Scale'!E$2)+(IF(F719="yes",1,0)*'Grading Scale'!E$3)+(IF(G719="yes",1,0)*'Grading Scale'!E$4)+(IF(H719="yes",1,0)*'Grading Scale'!E$5)+(IF(I719="yes",1,0)*'Grading Scale'!E$6)+(IF(J719="yes",1,0)*'Grading Scale'!E$7)+(IF(K719="yes",1,0)*'Grading Scale'!E$8)+(IF(L719="yes",1,0)*'Grading Scale'!E$9)+(IF(M719="yes",1,0)*'Grading Scale'!E$10)+(IF(N719="yes",1,0)*'Grading Scale'!E$11)+(IF(O719="yes",1,0)*'Grading Scale'!E$12)+(IF(P719="yes",1,0)*'Grading Scale'!E$13))/'Grading Scale'!E$14*100,0), "")</f>
        <v/>
      </c>
      <c r="T719" s="6" t="str">
        <f>IF(ISNUMBER(S719),VLOOKUP(S719,'Grading Scale'!$A$2:$B$14, 2), "")</f>
        <v/>
      </c>
      <c r="U719" s="7"/>
      <c r="V719" s="7"/>
      <c r="W719" s="7"/>
      <c r="X719" s="7"/>
      <c r="Y719" s="7"/>
      <c r="Z719" s="7"/>
      <c r="AA719" s="7"/>
      <c r="AB719" s="7"/>
      <c r="AC719" s="7"/>
      <c r="AD719" s="7"/>
      <c r="AE719" s="7"/>
      <c r="AF719" s="7"/>
      <c r="AG719" s="7"/>
      <c r="AH719" s="7"/>
      <c r="AI719" s="7"/>
      <c r="AJ719" s="7"/>
    </row>
    <row r="720">
      <c r="A720" s="7"/>
      <c r="B720" s="7"/>
      <c r="C720" s="7"/>
      <c r="D720" s="6" t="str">
        <f>IF(NOT(ISBLANK(C720)), VLOOKUP(C720,'Dataset Descriptions'!$A$2:$B$10, 2, FALSE), "")</f>
        <v/>
      </c>
      <c r="E720" s="7"/>
      <c r="F720" s="7"/>
      <c r="G720" s="7"/>
      <c r="H720" s="7"/>
      <c r="I720" s="7"/>
      <c r="J720" s="7"/>
      <c r="K720" s="7"/>
      <c r="L720" s="7"/>
      <c r="M720" s="7"/>
      <c r="N720" s="7"/>
      <c r="O720" s="7"/>
      <c r="P720" s="7"/>
      <c r="Q720" s="7"/>
      <c r="R720" s="8"/>
      <c r="S720" s="6" t="str">
        <f>IF(NOT(ISBLANK(E720)), ROUND(((IF(E720="yes",1,0)*'Grading Scale'!E$2)+(IF(F720="yes",1,0)*'Grading Scale'!E$3)+(IF(G720="yes",1,0)*'Grading Scale'!E$4)+(IF(H720="yes",1,0)*'Grading Scale'!E$5)+(IF(I720="yes",1,0)*'Grading Scale'!E$6)+(IF(J720="yes",1,0)*'Grading Scale'!E$7)+(IF(K720="yes",1,0)*'Grading Scale'!E$8)+(IF(L720="yes",1,0)*'Grading Scale'!E$9)+(IF(M720="yes",1,0)*'Grading Scale'!E$10)+(IF(N720="yes",1,0)*'Grading Scale'!E$11)+(IF(O720="yes",1,0)*'Grading Scale'!E$12)+(IF(P720="yes",1,0)*'Grading Scale'!E$13))/'Grading Scale'!E$14*100,0), "")</f>
        <v/>
      </c>
      <c r="T720" s="6" t="str">
        <f>IF(ISNUMBER(S720),VLOOKUP(S720,'Grading Scale'!$A$2:$B$14, 2), "")</f>
        <v/>
      </c>
      <c r="U720" s="7"/>
      <c r="V720" s="7"/>
      <c r="W720" s="7"/>
      <c r="X720" s="7"/>
      <c r="Y720" s="7"/>
      <c r="Z720" s="7"/>
      <c r="AA720" s="7"/>
      <c r="AB720" s="7"/>
      <c r="AC720" s="7"/>
      <c r="AD720" s="7"/>
      <c r="AE720" s="7"/>
      <c r="AF720" s="7"/>
      <c r="AG720" s="7"/>
      <c r="AH720" s="7"/>
      <c r="AI720" s="7"/>
      <c r="AJ720" s="7"/>
    </row>
    <row r="721">
      <c r="A721" s="7"/>
      <c r="B721" s="7"/>
      <c r="C721" s="7"/>
      <c r="D721" s="6" t="str">
        <f>IF(NOT(ISBLANK(C721)), VLOOKUP(C721,'Dataset Descriptions'!$A$2:$B$10, 2, FALSE), "")</f>
        <v/>
      </c>
      <c r="E721" s="7"/>
      <c r="F721" s="7"/>
      <c r="G721" s="7"/>
      <c r="H721" s="7"/>
      <c r="I721" s="7"/>
      <c r="J721" s="7"/>
      <c r="K721" s="7"/>
      <c r="L721" s="7"/>
      <c r="M721" s="7"/>
      <c r="N721" s="7"/>
      <c r="O721" s="7"/>
      <c r="P721" s="7"/>
      <c r="Q721" s="7"/>
      <c r="R721" s="8"/>
      <c r="S721" s="6" t="str">
        <f>IF(NOT(ISBLANK(E721)), ROUND(((IF(E721="yes",1,0)*'Grading Scale'!E$2)+(IF(F721="yes",1,0)*'Grading Scale'!E$3)+(IF(G721="yes",1,0)*'Grading Scale'!E$4)+(IF(H721="yes",1,0)*'Grading Scale'!E$5)+(IF(I721="yes",1,0)*'Grading Scale'!E$6)+(IF(J721="yes",1,0)*'Grading Scale'!E$7)+(IF(K721="yes",1,0)*'Grading Scale'!E$8)+(IF(L721="yes",1,0)*'Grading Scale'!E$9)+(IF(M721="yes",1,0)*'Grading Scale'!E$10)+(IF(N721="yes",1,0)*'Grading Scale'!E$11)+(IF(O721="yes",1,0)*'Grading Scale'!E$12)+(IF(P721="yes",1,0)*'Grading Scale'!E$13))/'Grading Scale'!E$14*100,0), "")</f>
        <v/>
      </c>
      <c r="T721" s="6" t="str">
        <f>IF(ISNUMBER(S721),VLOOKUP(S721,'Grading Scale'!$A$2:$B$14, 2), "")</f>
        <v/>
      </c>
      <c r="U721" s="7"/>
      <c r="V721" s="7"/>
      <c r="W721" s="7"/>
      <c r="X721" s="7"/>
      <c r="Y721" s="7"/>
      <c r="Z721" s="7"/>
      <c r="AA721" s="7"/>
      <c r="AB721" s="7"/>
      <c r="AC721" s="7"/>
      <c r="AD721" s="7"/>
      <c r="AE721" s="7"/>
      <c r="AF721" s="7"/>
      <c r="AG721" s="7"/>
      <c r="AH721" s="7"/>
      <c r="AI721" s="7"/>
      <c r="AJ721" s="7"/>
    </row>
    <row r="722">
      <c r="A722" s="7"/>
      <c r="B722" s="7"/>
      <c r="C722" s="7"/>
      <c r="D722" s="6" t="str">
        <f>IF(NOT(ISBLANK(C722)), VLOOKUP(C722,'Dataset Descriptions'!$A$2:$B$10, 2, FALSE), "")</f>
        <v/>
      </c>
      <c r="E722" s="7"/>
      <c r="F722" s="7"/>
      <c r="G722" s="7"/>
      <c r="H722" s="7"/>
      <c r="I722" s="7"/>
      <c r="J722" s="7"/>
      <c r="K722" s="7"/>
      <c r="L722" s="7"/>
      <c r="M722" s="7"/>
      <c r="N722" s="7"/>
      <c r="O722" s="7"/>
      <c r="P722" s="7"/>
      <c r="Q722" s="7"/>
      <c r="R722" s="8"/>
      <c r="S722" s="6" t="str">
        <f>IF(NOT(ISBLANK(E722)), ROUND(((IF(E722="yes",1,0)*'Grading Scale'!E$2)+(IF(F722="yes",1,0)*'Grading Scale'!E$3)+(IF(G722="yes",1,0)*'Grading Scale'!E$4)+(IF(H722="yes",1,0)*'Grading Scale'!E$5)+(IF(I722="yes",1,0)*'Grading Scale'!E$6)+(IF(J722="yes",1,0)*'Grading Scale'!E$7)+(IF(K722="yes",1,0)*'Grading Scale'!E$8)+(IF(L722="yes",1,0)*'Grading Scale'!E$9)+(IF(M722="yes",1,0)*'Grading Scale'!E$10)+(IF(N722="yes",1,0)*'Grading Scale'!E$11)+(IF(O722="yes",1,0)*'Grading Scale'!E$12)+(IF(P722="yes",1,0)*'Grading Scale'!E$13))/'Grading Scale'!E$14*100,0), "")</f>
        <v/>
      </c>
      <c r="T722" s="6" t="str">
        <f>IF(ISNUMBER(S722),VLOOKUP(S722,'Grading Scale'!$A$2:$B$14, 2), "")</f>
        <v/>
      </c>
      <c r="U722" s="7"/>
      <c r="V722" s="7"/>
      <c r="W722" s="7"/>
      <c r="X722" s="7"/>
      <c r="Y722" s="7"/>
      <c r="Z722" s="7"/>
      <c r="AA722" s="7"/>
      <c r="AB722" s="7"/>
      <c r="AC722" s="7"/>
      <c r="AD722" s="7"/>
      <c r="AE722" s="7"/>
      <c r="AF722" s="7"/>
      <c r="AG722" s="7"/>
      <c r="AH722" s="7"/>
      <c r="AI722" s="7"/>
      <c r="AJ722" s="7"/>
    </row>
    <row r="723">
      <c r="A723" s="7"/>
      <c r="B723" s="7"/>
      <c r="C723" s="7"/>
      <c r="D723" s="6" t="str">
        <f>IF(NOT(ISBLANK(C723)), VLOOKUP(C723,'Dataset Descriptions'!$A$2:$B$10, 2, FALSE), "")</f>
        <v/>
      </c>
      <c r="E723" s="7"/>
      <c r="F723" s="7"/>
      <c r="G723" s="7"/>
      <c r="H723" s="7"/>
      <c r="I723" s="7"/>
      <c r="J723" s="7"/>
      <c r="K723" s="7"/>
      <c r="L723" s="7"/>
      <c r="M723" s="7"/>
      <c r="N723" s="7"/>
      <c r="O723" s="7"/>
      <c r="P723" s="7"/>
      <c r="Q723" s="7"/>
      <c r="R723" s="8"/>
      <c r="S723" s="6" t="str">
        <f>IF(NOT(ISBLANK(E723)), ROUND(((IF(E723="yes",1,0)*'Grading Scale'!E$2)+(IF(F723="yes",1,0)*'Grading Scale'!E$3)+(IF(G723="yes",1,0)*'Grading Scale'!E$4)+(IF(H723="yes",1,0)*'Grading Scale'!E$5)+(IF(I723="yes",1,0)*'Grading Scale'!E$6)+(IF(J723="yes",1,0)*'Grading Scale'!E$7)+(IF(K723="yes",1,0)*'Grading Scale'!E$8)+(IF(L723="yes",1,0)*'Grading Scale'!E$9)+(IF(M723="yes",1,0)*'Grading Scale'!E$10)+(IF(N723="yes",1,0)*'Grading Scale'!E$11)+(IF(O723="yes",1,0)*'Grading Scale'!E$12)+(IF(P723="yes",1,0)*'Grading Scale'!E$13))/'Grading Scale'!E$14*100,0), "")</f>
        <v/>
      </c>
      <c r="T723" s="6" t="str">
        <f>IF(ISNUMBER(S723),VLOOKUP(S723,'Grading Scale'!$A$2:$B$14, 2), "")</f>
        <v/>
      </c>
      <c r="U723" s="7"/>
      <c r="V723" s="7"/>
      <c r="W723" s="7"/>
      <c r="X723" s="7"/>
      <c r="Y723" s="7"/>
      <c r="Z723" s="7"/>
      <c r="AA723" s="7"/>
      <c r="AB723" s="7"/>
      <c r="AC723" s="7"/>
      <c r="AD723" s="7"/>
      <c r="AE723" s="7"/>
      <c r="AF723" s="7"/>
      <c r="AG723" s="7"/>
      <c r="AH723" s="7"/>
      <c r="AI723" s="7"/>
      <c r="AJ723" s="7"/>
    </row>
    <row r="724">
      <c r="A724" s="7"/>
      <c r="B724" s="7"/>
      <c r="C724" s="7"/>
      <c r="D724" s="6" t="str">
        <f>IF(NOT(ISBLANK(C724)), VLOOKUP(C724,'Dataset Descriptions'!$A$2:$B$10, 2, FALSE), "")</f>
        <v/>
      </c>
      <c r="E724" s="7"/>
      <c r="F724" s="7"/>
      <c r="G724" s="7"/>
      <c r="H724" s="7"/>
      <c r="I724" s="7"/>
      <c r="J724" s="7"/>
      <c r="K724" s="7"/>
      <c r="L724" s="7"/>
      <c r="M724" s="7"/>
      <c r="N724" s="7"/>
      <c r="O724" s="7"/>
      <c r="P724" s="7"/>
      <c r="Q724" s="7"/>
      <c r="R724" s="8"/>
      <c r="S724" s="6" t="str">
        <f>IF(NOT(ISBLANK(E724)), ROUND(((IF(E724="yes",1,0)*'Grading Scale'!E$2)+(IF(F724="yes",1,0)*'Grading Scale'!E$3)+(IF(G724="yes",1,0)*'Grading Scale'!E$4)+(IF(H724="yes",1,0)*'Grading Scale'!E$5)+(IF(I724="yes",1,0)*'Grading Scale'!E$6)+(IF(J724="yes",1,0)*'Grading Scale'!E$7)+(IF(K724="yes",1,0)*'Grading Scale'!E$8)+(IF(L724="yes",1,0)*'Grading Scale'!E$9)+(IF(M724="yes",1,0)*'Grading Scale'!E$10)+(IF(N724="yes",1,0)*'Grading Scale'!E$11)+(IF(O724="yes",1,0)*'Grading Scale'!E$12)+(IF(P724="yes",1,0)*'Grading Scale'!E$13))/'Grading Scale'!E$14*100,0), "")</f>
        <v/>
      </c>
      <c r="T724" s="6" t="str">
        <f>IF(ISNUMBER(S724),VLOOKUP(S724,'Grading Scale'!$A$2:$B$14, 2), "")</f>
        <v/>
      </c>
      <c r="U724" s="7"/>
      <c r="V724" s="7"/>
      <c r="W724" s="7"/>
      <c r="X724" s="7"/>
      <c r="Y724" s="7"/>
      <c r="Z724" s="7"/>
      <c r="AA724" s="7"/>
      <c r="AB724" s="7"/>
      <c r="AC724" s="7"/>
      <c r="AD724" s="7"/>
      <c r="AE724" s="7"/>
      <c r="AF724" s="7"/>
      <c r="AG724" s="7"/>
      <c r="AH724" s="7"/>
      <c r="AI724" s="7"/>
      <c r="AJ724" s="7"/>
    </row>
    <row r="725">
      <c r="A725" s="7"/>
      <c r="B725" s="7"/>
      <c r="C725" s="7"/>
      <c r="D725" s="6" t="str">
        <f>IF(NOT(ISBLANK(C725)), VLOOKUP(C725,'Dataset Descriptions'!$A$2:$B$10, 2, FALSE), "")</f>
        <v/>
      </c>
      <c r="E725" s="7"/>
      <c r="F725" s="7"/>
      <c r="G725" s="7"/>
      <c r="H725" s="7"/>
      <c r="I725" s="7"/>
      <c r="J725" s="7"/>
      <c r="K725" s="7"/>
      <c r="L725" s="7"/>
      <c r="M725" s="7"/>
      <c r="N725" s="7"/>
      <c r="O725" s="7"/>
      <c r="P725" s="7"/>
      <c r="Q725" s="7"/>
      <c r="R725" s="8"/>
      <c r="S725" s="6" t="str">
        <f>IF(NOT(ISBLANK(E725)), ROUND(((IF(E725="yes",1,0)*'Grading Scale'!E$2)+(IF(F725="yes",1,0)*'Grading Scale'!E$3)+(IF(G725="yes",1,0)*'Grading Scale'!E$4)+(IF(H725="yes",1,0)*'Grading Scale'!E$5)+(IF(I725="yes",1,0)*'Grading Scale'!E$6)+(IF(J725="yes",1,0)*'Grading Scale'!E$7)+(IF(K725="yes",1,0)*'Grading Scale'!E$8)+(IF(L725="yes",1,0)*'Grading Scale'!E$9)+(IF(M725="yes",1,0)*'Grading Scale'!E$10)+(IF(N725="yes",1,0)*'Grading Scale'!E$11)+(IF(O725="yes",1,0)*'Grading Scale'!E$12)+(IF(P725="yes",1,0)*'Grading Scale'!E$13))/'Grading Scale'!E$14*100,0), "")</f>
        <v/>
      </c>
      <c r="T725" s="6" t="str">
        <f>IF(ISNUMBER(S725),VLOOKUP(S725,'Grading Scale'!$A$2:$B$14, 2), "")</f>
        <v/>
      </c>
      <c r="U725" s="7"/>
      <c r="V725" s="7"/>
      <c r="W725" s="7"/>
      <c r="X725" s="7"/>
      <c r="Y725" s="7"/>
      <c r="Z725" s="7"/>
      <c r="AA725" s="7"/>
      <c r="AB725" s="7"/>
      <c r="AC725" s="7"/>
      <c r="AD725" s="7"/>
      <c r="AE725" s="7"/>
      <c r="AF725" s="7"/>
      <c r="AG725" s="7"/>
      <c r="AH725" s="7"/>
      <c r="AI725" s="7"/>
      <c r="AJ725" s="7"/>
    </row>
    <row r="726">
      <c r="A726" s="7"/>
      <c r="B726" s="7"/>
      <c r="C726" s="7"/>
      <c r="D726" s="6" t="str">
        <f>IF(NOT(ISBLANK(C726)), VLOOKUP(C726,'Dataset Descriptions'!$A$2:$B$10, 2, FALSE), "")</f>
        <v/>
      </c>
      <c r="E726" s="7"/>
      <c r="F726" s="7"/>
      <c r="G726" s="7"/>
      <c r="H726" s="7"/>
      <c r="I726" s="7"/>
      <c r="J726" s="7"/>
      <c r="K726" s="7"/>
      <c r="L726" s="7"/>
      <c r="M726" s="7"/>
      <c r="N726" s="7"/>
      <c r="O726" s="7"/>
      <c r="P726" s="7"/>
      <c r="Q726" s="7"/>
      <c r="R726" s="8"/>
      <c r="S726" s="6" t="str">
        <f>IF(NOT(ISBLANK(E726)), ROUND(((IF(E726="yes",1,0)*'Grading Scale'!E$2)+(IF(F726="yes",1,0)*'Grading Scale'!E$3)+(IF(G726="yes",1,0)*'Grading Scale'!E$4)+(IF(H726="yes",1,0)*'Grading Scale'!E$5)+(IF(I726="yes",1,0)*'Grading Scale'!E$6)+(IF(J726="yes",1,0)*'Grading Scale'!E$7)+(IF(K726="yes",1,0)*'Grading Scale'!E$8)+(IF(L726="yes",1,0)*'Grading Scale'!E$9)+(IF(M726="yes",1,0)*'Grading Scale'!E$10)+(IF(N726="yes",1,0)*'Grading Scale'!E$11)+(IF(O726="yes",1,0)*'Grading Scale'!E$12)+(IF(P726="yes",1,0)*'Grading Scale'!E$13))/'Grading Scale'!E$14*100,0), "")</f>
        <v/>
      </c>
      <c r="T726" s="6" t="str">
        <f>IF(ISNUMBER(S726),VLOOKUP(S726,'Grading Scale'!$A$2:$B$14, 2), "")</f>
        <v/>
      </c>
      <c r="U726" s="7"/>
      <c r="V726" s="7"/>
      <c r="W726" s="7"/>
      <c r="X726" s="7"/>
      <c r="Y726" s="7"/>
      <c r="Z726" s="7"/>
      <c r="AA726" s="7"/>
      <c r="AB726" s="7"/>
      <c r="AC726" s="7"/>
      <c r="AD726" s="7"/>
      <c r="AE726" s="7"/>
      <c r="AF726" s="7"/>
      <c r="AG726" s="7"/>
      <c r="AH726" s="7"/>
      <c r="AI726" s="7"/>
      <c r="AJ726" s="7"/>
    </row>
    <row r="727">
      <c r="A727" s="7"/>
      <c r="B727" s="7"/>
      <c r="C727" s="7"/>
      <c r="D727" s="6" t="str">
        <f>IF(NOT(ISBLANK(C727)), VLOOKUP(C727,'Dataset Descriptions'!$A$2:$B$10, 2, FALSE), "")</f>
        <v/>
      </c>
      <c r="E727" s="7"/>
      <c r="F727" s="7"/>
      <c r="G727" s="7"/>
      <c r="H727" s="7"/>
      <c r="I727" s="7"/>
      <c r="J727" s="7"/>
      <c r="K727" s="7"/>
      <c r="L727" s="7"/>
      <c r="M727" s="7"/>
      <c r="N727" s="7"/>
      <c r="O727" s="7"/>
      <c r="P727" s="7"/>
      <c r="Q727" s="7"/>
      <c r="R727" s="8"/>
      <c r="S727" s="6" t="str">
        <f>IF(NOT(ISBLANK(E727)), ROUND(((IF(E727="yes",1,0)*'Grading Scale'!E$2)+(IF(F727="yes",1,0)*'Grading Scale'!E$3)+(IF(G727="yes",1,0)*'Grading Scale'!E$4)+(IF(H727="yes",1,0)*'Grading Scale'!E$5)+(IF(I727="yes",1,0)*'Grading Scale'!E$6)+(IF(J727="yes",1,0)*'Grading Scale'!E$7)+(IF(K727="yes",1,0)*'Grading Scale'!E$8)+(IF(L727="yes",1,0)*'Grading Scale'!E$9)+(IF(M727="yes",1,0)*'Grading Scale'!E$10)+(IF(N727="yes",1,0)*'Grading Scale'!E$11)+(IF(O727="yes",1,0)*'Grading Scale'!E$12)+(IF(P727="yes",1,0)*'Grading Scale'!E$13))/'Grading Scale'!E$14*100,0), "")</f>
        <v/>
      </c>
      <c r="T727" s="6" t="str">
        <f>IF(ISNUMBER(S727),VLOOKUP(S727,'Grading Scale'!$A$2:$B$14, 2), "")</f>
        <v/>
      </c>
      <c r="U727" s="7"/>
      <c r="V727" s="7"/>
      <c r="W727" s="7"/>
      <c r="X727" s="7"/>
      <c r="Y727" s="7"/>
      <c r="Z727" s="7"/>
      <c r="AA727" s="7"/>
      <c r="AB727" s="7"/>
      <c r="AC727" s="7"/>
      <c r="AD727" s="7"/>
      <c r="AE727" s="7"/>
      <c r="AF727" s="7"/>
      <c r="AG727" s="7"/>
      <c r="AH727" s="7"/>
      <c r="AI727" s="7"/>
      <c r="AJ727" s="7"/>
    </row>
    <row r="728">
      <c r="A728" s="7"/>
      <c r="B728" s="7"/>
      <c r="C728" s="7"/>
      <c r="D728" s="6" t="str">
        <f>IF(NOT(ISBLANK(C728)), VLOOKUP(C728,'Dataset Descriptions'!$A$2:$B$10, 2, FALSE), "")</f>
        <v/>
      </c>
      <c r="E728" s="7"/>
      <c r="F728" s="7"/>
      <c r="G728" s="7"/>
      <c r="H728" s="7"/>
      <c r="I728" s="7"/>
      <c r="J728" s="7"/>
      <c r="K728" s="7"/>
      <c r="L728" s="7"/>
      <c r="M728" s="7"/>
      <c r="N728" s="7"/>
      <c r="O728" s="7"/>
      <c r="P728" s="7"/>
      <c r="Q728" s="7"/>
      <c r="R728" s="8"/>
      <c r="S728" s="6" t="str">
        <f>IF(NOT(ISBLANK(E728)), ROUND(((IF(E728="yes",1,0)*'Grading Scale'!E$2)+(IF(F728="yes",1,0)*'Grading Scale'!E$3)+(IF(G728="yes",1,0)*'Grading Scale'!E$4)+(IF(H728="yes",1,0)*'Grading Scale'!E$5)+(IF(I728="yes",1,0)*'Grading Scale'!E$6)+(IF(J728="yes",1,0)*'Grading Scale'!E$7)+(IF(K728="yes",1,0)*'Grading Scale'!E$8)+(IF(L728="yes",1,0)*'Grading Scale'!E$9)+(IF(M728="yes",1,0)*'Grading Scale'!E$10)+(IF(N728="yes",1,0)*'Grading Scale'!E$11)+(IF(O728="yes",1,0)*'Grading Scale'!E$12)+(IF(P728="yes",1,0)*'Grading Scale'!E$13))/'Grading Scale'!E$14*100,0), "")</f>
        <v/>
      </c>
      <c r="T728" s="6" t="str">
        <f>IF(ISNUMBER(S728),VLOOKUP(S728,'Grading Scale'!$A$2:$B$14, 2), "")</f>
        <v/>
      </c>
      <c r="U728" s="7"/>
      <c r="V728" s="7"/>
      <c r="W728" s="7"/>
      <c r="X728" s="7"/>
      <c r="Y728" s="7"/>
      <c r="Z728" s="7"/>
      <c r="AA728" s="7"/>
      <c r="AB728" s="7"/>
      <c r="AC728" s="7"/>
      <c r="AD728" s="7"/>
      <c r="AE728" s="7"/>
      <c r="AF728" s="7"/>
      <c r="AG728" s="7"/>
      <c r="AH728" s="7"/>
      <c r="AI728" s="7"/>
      <c r="AJ728" s="7"/>
    </row>
    <row r="729">
      <c r="A729" s="7"/>
      <c r="B729" s="7"/>
      <c r="C729" s="7"/>
      <c r="D729" s="6" t="str">
        <f>IF(NOT(ISBLANK(C729)), VLOOKUP(C729,'Dataset Descriptions'!$A$2:$B$10, 2, FALSE), "")</f>
        <v/>
      </c>
      <c r="E729" s="7"/>
      <c r="F729" s="7"/>
      <c r="G729" s="7"/>
      <c r="H729" s="7"/>
      <c r="I729" s="7"/>
      <c r="J729" s="7"/>
      <c r="K729" s="7"/>
      <c r="L729" s="7"/>
      <c r="M729" s="7"/>
      <c r="N729" s="7"/>
      <c r="O729" s="7"/>
      <c r="P729" s="7"/>
      <c r="Q729" s="7"/>
      <c r="R729" s="8"/>
      <c r="S729" s="6" t="str">
        <f>IF(NOT(ISBLANK(E729)), ROUND(((IF(E729="yes",1,0)*'Grading Scale'!E$2)+(IF(F729="yes",1,0)*'Grading Scale'!E$3)+(IF(G729="yes",1,0)*'Grading Scale'!E$4)+(IF(H729="yes",1,0)*'Grading Scale'!E$5)+(IF(I729="yes",1,0)*'Grading Scale'!E$6)+(IF(J729="yes",1,0)*'Grading Scale'!E$7)+(IF(K729="yes",1,0)*'Grading Scale'!E$8)+(IF(L729="yes",1,0)*'Grading Scale'!E$9)+(IF(M729="yes",1,0)*'Grading Scale'!E$10)+(IF(N729="yes",1,0)*'Grading Scale'!E$11)+(IF(O729="yes",1,0)*'Grading Scale'!E$12)+(IF(P729="yes",1,0)*'Grading Scale'!E$13))/'Grading Scale'!E$14*100,0), "")</f>
        <v/>
      </c>
      <c r="T729" s="6" t="str">
        <f>IF(ISNUMBER(S729),VLOOKUP(S729,'Grading Scale'!$A$2:$B$14, 2), "")</f>
        <v/>
      </c>
      <c r="U729" s="7"/>
      <c r="V729" s="7"/>
      <c r="W729" s="7"/>
      <c r="X729" s="7"/>
      <c r="Y729" s="7"/>
      <c r="Z729" s="7"/>
      <c r="AA729" s="7"/>
      <c r="AB729" s="7"/>
      <c r="AC729" s="7"/>
      <c r="AD729" s="7"/>
      <c r="AE729" s="7"/>
      <c r="AF729" s="7"/>
      <c r="AG729" s="7"/>
      <c r="AH729" s="7"/>
      <c r="AI729" s="7"/>
      <c r="AJ729" s="7"/>
    </row>
    <row r="730">
      <c r="A730" s="7"/>
      <c r="B730" s="7"/>
      <c r="C730" s="7"/>
      <c r="D730" s="6" t="str">
        <f>IF(NOT(ISBLANK(C730)), VLOOKUP(C730,'Dataset Descriptions'!$A$2:$B$10, 2, FALSE), "")</f>
        <v/>
      </c>
      <c r="E730" s="7"/>
      <c r="F730" s="7"/>
      <c r="G730" s="7"/>
      <c r="H730" s="7"/>
      <c r="I730" s="7"/>
      <c r="J730" s="7"/>
      <c r="K730" s="7"/>
      <c r="L730" s="7"/>
      <c r="M730" s="7"/>
      <c r="N730" s="7"/>
      <c r="O730" s="7"/>
      <c r="P730" s="7"/>
      <c r="Q730" s="7"/>
      <c r="R730" s="8"/>
      <c r="S730" s="6" t="str">
        <f>IF(NOT(ISBLANK(E730)), ROUND(((IF(E730="yes",1,0)*'Grading Scale'!E$2)+(IF(F730="yes",1,0)*'Grading Scale'!E$3)+(IF(G730="yes",1,0)*'Grading Scale'!E$4)+(IF(H730="yes",1,0)*'Grading Scale'!E$5)+(IF(I730="yes",1,0)*'Grading Scale'!E$6)+(IF(J730="yes",1,0)*'Grading Scale'!E$7)+(IF(K730="yes",1,0)*'Grading Scale'!E$8)+(IF(L730="yes",1,0)*'Grading Scale'!E$9)+(IF(M730="yes",1,0)*'Grading Scale'!E$10)+(IF(N730="yes",1,0)*'Grading Scale'!E$11)+(IF(O730="yes",1,0)*'Grading Scale'!E$12)+(IF(P730="yes",1,0)*'Grading Scale'!E$13))/'Grading Scale'!E$14*100,0), "")</f>
        <v/>
      </c>
      <c r="T730" s="6" t="str">
        <f>IF(ISNUMBER(S730),VLOOKUP(S730,'Grading Scale'!$A$2:$B$14, 2), "")</f>
        <v/>
      </c>
      <c r="U730" s="7"/>
      <c r="V730" s="7"/>
      <c r="W730" s="7"/>
      <c r="X730" s="7"/>
      <c r="Y730" s="7"/>
      <c r="Z730" s="7"/>
      <c r="AA730" s="7"/>
      <c r="AB730" s="7"/>
      <c r="AC730" s="7"/>
      <c r="AD730" s="7"/>
      <c r="AE730" s="7"/>
      <c r="AF730" s="7"/>
      <c r="AG730" s="7"/>
      <c r="AH730" s="7"/>
      <c r="AI730" s="7"/>
      <c r="AJ730" s="7"/>
    </row>
    <row r="731">
      <c r="A731" s="7"/>
      <c r="B731" s="7"/>
      <c r="C731" s="7"/>
      <c r="D731" s="6" t="str">
        <f>IF(NOT(ISBLANK(C731)), VLOOKUP(C731,'Dataset Descriptions'!$A$2:$B$10, 2, FALSE), "")</f>
        <v/>
      </c>
      <c r="E731" s="7"/>
      <c r="F731" s="7"/>
      <c r="G731" s="7"/>
      <c r="H731" s="7"/>
      <c r="I731" s="7"/>
      <c r="J731" s="7"/>
      <c r="K731" s="7"/>
      <c r="L731" s="7"/>
      <c r="M731" s="7"/>
      <c r="N731" s="7"/>
      <c r="O731" s="7"/>
      <c r="P731" s="7"/>
      <c r="Q731" s="7"/>
      <c r="R731" s="8"/>
      <c r="S731" s="6" t="str">
        <f>IF(NOT(ISBLANK(E731)), ROUND(((IF(E731="yes",1,0)*'Grading Scale'!E$2)+(IF(F731="yes",1,0)*'Grading Scale'!E$3)+(IF(G731="yes",1,0)*'Grading Scale'!E$4)+(IF(H731="yes",1,0)*'Grading Scale'!E$5)+(IF(I731="yes",1,0)*'Grading Scale'!E$6)+(IF(J731="yes",1,0)*'Grading Scale'!E$7)+(IF(K731="yes",1,0)*'Grading Scale'!E$8)+(IF(L731="yes",1,0)*'Grading Scale'!E$9)+(IF(M731="yes",1,0)*'Grading Scale'!E$10)+(IF(N731="yes",1,0)*'Grading Scale'!E$11)+(IF(O731="yes",1,0)*'Grading Scale'!E$12)+(IF(P731="yes",1,0)*'Grading Scale'!E$13))/'Grading Scale'!E$14*100,0), "")</f>
        <v/>
      </c>
      <c r="T731" s="6" t="str">
        <f>IF(ISNUMBER(S731),VLOOKUP(S731,'Grading Scale'!$A$2:$B$14, 2), "")</f>
        <v/>
      </c>
      <c r="U731" s="7"/>
      <c r="V731" s="7"/>
      <c r="W731" s="7"/>
      <c r="X731" s="7"/>
      <c r="Y731" s="7"/>
      <c r="Z731" s="7"/>
      <c r="AA731" s="7"/>
      <c r="AB731" s="7"/>
      <c r="AC731" s="7"/>
      <c r="AD731" s="7"/>
      <c r="AE731" s="7"/>
      <c r="AF731" s="7"/>
      <c r="AG731" s="7"/>
      <c r="AH731" s="7"/>
      <c r="AI731" s="7"/>
      <c r="AJ731" s="7"/>
    </row>
    <row r="732">
      <c r="A732" s="7"/>
      <c r="B732" s="7"/>
      <c r="C732" s="7"/>
      <c r="D732" s="6" t="str">
        <f>IF(NOT(ISBLANK(C732)), VLOOKUP(C732,'Dataset Descriptions'!$A$2:$B$10, 2, FALSE), "")</f>
        <v/>
      </c>
      <c r="E732" s="7"/>
      <c r="F732" s="7"/>
      <c r="G732" s="7"/>
      <c r="H732" s="7"/>
      <c r="I732" s="7"/>
      <c r="J732" s="7"/>
      <c r="K732" s="7"/>
      <c r="L732" s="7"/>
      <c r="M732" s="7"/>
      <c r="N732" s="7"/>
      <c r="O732" s="7"/>
      <c r="P732" s="7"/>
      <c r="Q732" s="7"/>
      <c r="R732" s="8"/>
      <c r="S732" s="6" t="str">
        <f>IF(NOT(ISBLANK(E732)), ROUND(((IF(E732="yes",1,0)*'Grading Scale'!E$2)+(IF(F732="yes",1,0)*'Grading Scale'!E$3)+(IF(G732="yes",1,0)*'Grading Scale'!E$4)+(IF(H732="yes",1,0)*'Grading Scale'!E$5)+(IF(I732="yes",1,0)*'Grading Scale'!E$6)+(IF(J732="yes",1,0)*'Grading Scale'!E$7)+(IF(K732="yes",1,0)*'Grading Scale'!E$8)+(IF(L732="yes",1,0)*'Grading Scale'!E$9)+(IF(M732="yes",1,0)*'Grading Scale'!E$10)+(IF(N732="yes",1,0)*'Grading Scale'!E$11)+(IF(O732="yes",1,0)*'Grading Scale'!E$12)+(IF(P732="yes",1,0)*'Grading Scale'!E$13))/'Grading Scale'!E$14*100,0), "")</f>
        <v/>
      </c>
      <c r="T732" s="6" t="str">
        <f>IF(ISNUMBER(S732),VLOOKUP(S732,'Grading Scale'!$A$2:$B$14, 2), "")</f>
        <v/>
      </c>
      <c r="U732" s="7"/>
      <c r="V732" s="7"/>
      <c r="W732" s="7"/>
      <c r="X732" s="7"/>
      <c r="Y732" s="7"/>
      <c r="Z732" s="7"/>
      <c r="AA732" s="7"/>
      <c r="AB732" s="7"/>
      <c r="AC732" s="7"/>
      <c r="AD732" s="7"/>
      <c r="AE732" s="7"/>
      <c r="AF732" s="7"/>
      <c r="AG732" s="7"/>
      <c r="AH732" s="7"/>
      <c r="AI732" s="7"/>
      <c r="AJ732" s="7"/>
    </row>
    <row r="733">
      <c r="A733" s="7"/>
      <c r="B733" s="7"/>
      <c r="C733" s="7"/>
      <c r="D733" s="6" t="str">
        <f>IF(NOT(ISBLANK(C733)), VLOOKUP(C733,'Dataset Descriptions'!$A$2:$B$10, 2, FALSE), "")</f>
        <v/>
      </c>
      <c r="E733" s="7"/>
      <c r="F733" s="7"/>
      <c r="G733" s="7"/>
      <c r="H733" s="7"/>
      <c r="I733" s="7"/>
      <c r="J733" s="7"/>
      <c r="K733" s="7"/>
      <c r="L733" s="7"/>
      <c r="M733" s="7"/>
      <c r="N733" s="7"/>
      <c r="O733" s="7"/>
      <c r="P733" s="7"/>
      <c r="Q733" s="7"/>
      <c r="R733" s="8"/>
      <c r="S733" s="6" t="str">
        <f>IF(NOT(ISBLANK(E733)), ROUND(((IF(E733="yes",1,0)*'Grading Scale'!E$2)+(IF(F733="yes",1,0)*'Grading Scale'!E$3)+(IF(G733="yes",1,0)*'Grading Scale'!E$4)+(IF(H733="yes",1,0)*'Grading Scale'!E$5)+(IF(I733="yes",1,0)*'Grading Scale'!E$6)+(IF(J733="yes",1,0)*'Grading Scale'!E$7)+(IF(K733="yes",1,0)*'Grading Scale'!E$8)+(IF(L733="yes",1,0)*'Grading Scale'!E$9)+(IF(M733="yes",1,0)*'Grading Scale'!E$10)+(IF(N733="yes",1,0)*'Grading Scale'!E$11)+(IF(O733="yes",1,0)*'Grading Scale'!E$12)+(IF(P733="yes",1,0)*'Grading Scale'!E$13))/'Grading Scale'!E$14*100,0), "")</f>
        <v/>
      </c>
      <c r="T733" s="6" t="str">
        <f>IF(ISNUMBER(S733),VLOOKUP(S733,'Grading Scale'!$A$2:$B$14, 2), "")</f>
        <v/>
      </c>
      <c r="U733" s="7"/>
      <c r="V733" s="7"/>
      <c r="W733" s="7"/>
      <c r="X733" s="7"/>
      <c r="Y733" s="7"/>
      <c r="Z733" s="7"/>
      <c r="AA733" s="7"/>
      <c r="AB733" s="7"/>
      <c r="AC733" s="7"/>
      <c r="AD733" s="7"/>
      <c r="AE733" s="7"/>
      <c r="AF733" s="7"/>
      <c r="AG733" s="7"/>
      <c r="AH733" s="7"/>
      <c r="AI733" s="7"/>
      <c r="AJ733" s="7"/>
    </row>
    <row r="734">
      <c r="A734" s="7"/>
      <c r="B734" s="7"/>
      <c r="C734" s="7"/>
      <c r="D734" s="6" t="str">
        <f>IF(NOT(ISBLANK(C734)), VLOOKUP(C734,'Dataset Descriptions'!$A$2:$B$10, 2, FALSE), "")</f>
        <v/>
      </c>
      <c r="E734" s="7"/>
      <c r="F734" s="7"/>
      <c r="G734" s="7"/>
      <c r="H734" s="7"/>
      <c r="I734" s="7"/>
      <c r="J734" s="7"/>
      <c r="K734" s="7"/>
      <c r="L734" s="7"/>
      <c r="M734" s="7"/>
      <c r="N734" s="7"/>
      <c r="O734" s="7"/>
      <c r="P734" s="7"/>
      <c r="Q734" s="7"/>
      <c r="R734" s="8"/>
      <c r="S734" s="6" t="str">
        <f>IF(NOT(ISBLANK(E734)), ROUND(((IF(E734="yes",1,0)*'Grading Scale'!E$2)+(IF(F734="yes",1,0)*'Grading Scale'!E$3)+(IF(G734="yes",1,0)*'Grading Scale'!E$4)+(IF(H734="yes",1,0)*'Grading Scale'!E$5)+(IF(I734="yes",1,0)*'Grading Scale'!E$6)+(IF(J734="yes",1,0)*'Grading Scale'!E$7)+(IF(K734="yes",1,0)*'Grading Scale'!E$8)+(IF(L734="yes",1,0)*'Grading Scale'!E$9)+(IF(M734="yes",1,0)*'Grading Scale'!E$10)+(IF(N734="yes",1,0)*'Grading Scale'!E$11)+(IF(O734="yes",1,0)*'Grading Scale'!E$12)+(IF(P734="yes",1,0)*'Grading Scale'!E$13))/'Grading Scale'!E$14*100,0), "")</f>
        <v/>
      </c>
      <c r="T734" s="6" t="str">
        <f>IF(ISNUMBER(S734),VLOOKUP(S734,'Grading Scale'!$A$2:$B$14, 2), "")</f>
        <v/>
      </c>
      <c r="U734" s="7"/>
      <c r="V734" s="7"/>
      <c r="W734" s="7"/>
      <c r="X734" s="7"/>
      <c r="Y734" s="7"/>
      <c r="Z734" s="7"/>
      <c r="AA734" s="7"/>
      <c r="AB734" s="7"/>
      <c r="AC734" s="7"/>
      <c r="AD734" s="7"/>
      <c r="AE734" s="7"/>
      <c r="AF734" s="7"/>
      <c r="AG734" s="7"/>
      <c r="AH734" s="7"/>
      <c r="AI734" s="7"/>
      <c r="AJ734" s="7"/>
    </row>
    <row r="735">
      <c r="A735" s="7"/>
      <c r="B735" s="7"/>
      <c r="C735" s="7"/>
      <c r="D735" s="6" t="str">
        <f>IF(NOT(ISBLANK(C735)), VLOOKUP(C735,'Dataset Descriptions'!$A$2:$B$10, 2, FALSE), "")</f>
        <v/>
      </c>
      <c r="E735" s="7"/>
      <c r="F735" s="7"/>
      <c r="G735" s="7"/>
      <c r="H735" s="7"/>
      <c r="I735" s="7"/>
      <c r="J735" s="7"/>
      <c r="K735" s="7"/>
      <c r="L735" s="7"/>
      <c r="M735" s="7"/>
      <c r="N735" s="7"/>
      <c r="O735" s="7"/>
      <c r="P735" s="7"/>
      <c r="Q735" s="7"/>
      <c r="R735" s="8"/>
      <c r="S735" s="6" t="str">
        <f>IF(NOT(ISBLANK(E735)), ROUND(((IF(E735="yes",1,0)*'Grading Scale'!E$2)+(IF(F735="yes",1,0)*'Grading Scale'!E$3)+(IF(G735="yes",1,0)*'Grading Scale'!E$4)+(IF(H735="yes",1,0)*'Grading Scale'!E$5)+(IF(I735="yes",1,0)*'Grading Scale'!E$6)+(IF(J735="yes",1,0)*'Grading Scale'!E$7)+(IF(K735="yes",1,0)*'Grading Scale'!E$8)+(IF(L735="yes",1,0)*'Grading Scale'!E$9)+(IF(M735="yes",1,0)*'Grading Scale'!E$10)+(IF(N735="yes",1,0)*'Grading Scale'!E$11)+(IF(O735="yes",1,0)*'Grading Scale'!E$12)+(IF(P735="yes",1,0)*'Grading Scale'!E$13))/'Grading Scale'!E$14*100,0), "")</f>
        <v/>
      </c>
      <c r="T735" s="6" t="str">
        <f>IF(ISNUMBER(S735),VLOOKUP(S735,'Grading Scale'!$A$2:$B$14, 2), "")</f>
        <v/>
      </c>
      <c r="U735" s="7"/>
      <c r="V735" s="7"/>
      <c r="W735" s="7"/>
      <c r="X735" s="7"/>
      <c r="Y735" s="7"/>
      <c r="Z735" s="7"/>
      <c r="AA735" s="7"/>
      <c r="AB735" s="7"/>
      <c r="AC735" s="7"/>
      <c r="AD735" s="7"/>
      <c r="AE735" s="7"/>
      <c r="AF735" s="7"/>
      <c r="AG735" s="7"/>
      <c r="AH735" s="7"/>
      <c r="AI735" s="7"/>
      <c r="AJ735" s="7"/>
    </row>
    <row r="736">
      <c r="A736" s="7"/>
      <c r="B736" s="7"/>
      <c r="C736" s="7"/>
      <c r="D736" s="6" t="str">
        <f>IF(NOT(ISBLANK(C736)), VLOOKUP(C736,'Dataset Descriptions'!$A$2:$B$10, 2, FALSE), "")</f>
        <v/>
      </c>
      <c r="E736" s="7"/>
      <c r="F736" s="7"/>
      <c r="G736" s="7"/>
      <c r="H736" s="7"/>
      <c r="I736" s="7"/>
      <c r="J736" s="7"/>
      <c r="K736" s="7"/>
      <c r="L736" s="7"/>
      <c r="M736" s="7"/>
      <c r="N736" s="7"/>
      <c r="O736" s="7"/>
      <c r="P736" s="7"/>
      <c r="Q736" s="7"/>
      <c r="R736" s="8"/>
      <c r="S736" s="6" t="str">
        <f>IF(NOT(ISBLANK(E736)), ROUND(((IF(E736="yes",1,0)*'Grading Scale'!E$2)+(IF(F736="yes",1,0)*'Grading Scale'!E$3)+(IF(G736="yes",1,0)*'Grading Scale'!E$4)+(IF(H736="yes",1,0)*'Grading Scale'!E$5)+(IF(I736="yes",1,0)*'Grading Scale'!E$6)+(IF(J736="yes",1,0)*'Grading Scale'!E$7)+(IF(K736="yes",1,0)*'Grading Scale'!E$8)+(IF(L736="yes",1,0)*'Grading Scale'!E$9)+(IF(M736="yes",1,0)*'Grading Scale'!E$10)+(IF(N736="yes",1,0)*'Grading Scale'!E$11)+(IF(O736="yes",1,0)*'Grading Scale'!E$12)+(IF(P736="yes",1,0)*'Grading Scale'!E$13))/'Grading Scale'!E$14*100,0), "")</f>
        <v/>
      </c>
      <c r="T736" s="6" t="str">
        <f>IF(ISNUMBER(S736),VLOOKUP(S736,'Grading Scale'!$A$2:$B$14, 2), "")</f>
        <v/>
      </c>
      <c r="U736" s="7"/>
      <c r="V736" s="7"/>
      <c r="W736" s="7"/>
      <c r="X736" s="7"/>
      <c r="Y736" s="7"/>
      <c r="Z736" s="7"/>
      <c r="AA736" s="7"/>
      <c r="AB736" s="7"/>
      <c r="AC736" s="7"/>
      <c r="AD736" s="7"/>
      <c r="AE736" s="7"/>
      <c r="AF736" s="7"/>
      <c r="AG736" s="7"/>
      <c r="AH736" s="7"/>
      <c r="AI736" s="7"/>
      <c r="AJ736" s="7"/>
    </row>
    <row r="737">
      <c r="A737" s="7"/>
      <c r="B737" s="7"/>
      <c r="C737" s="7"/>
      <c r="D737" s="6" t="str">
        <f>IF(NOT(ISBLANK(C737)), VLOOKUP(C737,'Dataset Descriptions'!$A$2:$B$10, 2, FALSE), "")</f>
        <v/>
      </c>
      <c r="E737" s="7"/>
      <c r="F737" s="7"/>
      <c r="G737" s="7"/>
      <c r="H737" s="7"/>
      <c r="I737" s="7"/>
      <c r="J737" s="7"/>
      <c r="K737" s="7"/>
      <c r="L737" s="7"/>
      <c r="M737" s="7"/>
      <c r="N737" s="7"/>
      <c r="O737" s="7"/>
      <c r="P737" s="7"/>
      <c r="Q737" s="7"/>
      <c r="R737" s="8"/>
      <c r="S737" s="6" t="str">
        <f>IF(NOT(ISBLANK(E737)), ROUND(((IF(E737="yes",1,0)*'Grading Scale'!E$2)+(IF(F737="yes",1,0)*'Grading Scale'!E$3)+(IF(G737="yes",1,0)*'Grading Scale'!E$4)+(IF(H737="yes",1,0)*'Grading Scale'!E$5)+(IF(I737="yes",1,0)*'Grading Scale'!E$6)+(IF(J737="yes",1,0)*'Grading Scale'!E$7)+(IF(K737="yes",1,0)*'Grading Scale'!E$8)+(IF(L737="yes",1,0)*'Grading Scale'!E$9)+(IF(M737="yes",1,0)*'Grading Scale'!E$10)+(IF(N737="yes",1,0)*'Grading Scale'!E$11)+(IF(O737="yes",1,0)*'Grading Scale'!E$12)+(IF(P737="yes",1,0)*'Grading Scale'!E$13))/'Grading Scale'!E$14*100,0), "")</f>
        <v/>
      </c>
      <c r="T737" s="6" t="str">
        <f>IF(ISNUMBER(S737),VLOOKUP(S737,'Grading Scale'!$A$2:$B$14, 2), "")</f>
        <v/>
      </c>
      <c r="U737" s="7"/>
      <c r="V737" s="7"/>
      <c r="W737" s="7"/>
      <c r="X737" s="7"/>
      <c r="Y737" s="7"/>
      <c r="Z737" s="7"/>
      <c r="AA737" s="7"/>
      <c r="AB737" s="7"/>
      <c r="AC737" s="7"/>
      <c r="AD737" s="7"/>
      <c r="AE737" s="7"/>
      <c r="AF737" s="7"/>
      <c r="AG737" s="7"/>
      <c r="AH737" s="7"/>
      <c r="AI737" s="7"/>
      <c r="AJ737" s="7"/>
    </row>
    <row r="738">
      <c r="A738" s="7"/>
      <c r="B738" s="7"/>
      <c r="C738" s="7"/>
      <c r="D738" s="6" t="str">
        <f>IF(NOT(ISBLANK(C738)), VLOOKUP(C738,'Dataset Descriptions'!$A$2:$B$10, 2, FALSE), "")</f>
        <v/>
      </c>
      <c r="E738" s="7"/>
      <c r="F738" s="7"/>
      <c r="G738" s="7"/>
      <c r="H738" s="7"/>
      <c r="I738" s="7"/>
      <c r="J738" s="7"/>
      <c r="K738" s="7"/>
      <c r="L738" s="7"/>
      <c r="M738" s="7"/>
      <c r="N738" s="7"/>
      <c r="O738" s="7"/>
      <c r="P738" s="7"/>
      <c r="Q738" s="7"/>
      <c r="R738" s="8"/>
      <c r="S738" s="6" t="str">
        <f>IF(NOT(ISBLANK(E738)), ROUND(((IF(E738="yes",1,0)*'Grading Scale'!E$2)+(IF(F738="yes",1,0)*'Grading Scale'!E$3)+(IF(G738="yes",1,0)*'Grading Scale'!E$4)+(IF(H738="yes",1,0)*'Grading Scale'!E$5)+(IF(I738="yes",1,0)*'Grading Scale'!E$6)+(IF(J738="yes",1,0)*'Grading Scale'!E$7)+(IF(K738="yes",1,0)*'Grading Scale'!E$8)+(IF(L738="yes",1,0)*'Grading Scale'!E$9)+(IF(M738="yes",1,0)*'Grading Scale'!E$10)+(IF(N738="yes",1,0)*'Grading Scale'!E$11)+(IF(O738="yes",1,0)*'Grading Scale'!E$12)+(IF(P738="yes",1,0)*'Grading Scale'!E$13))/'Grading Scale'!E$14*100,0), "")</f>
        <v/>
      </c>
      <c r="T738" s="6" t="str">
        <f>IF(ISNUMBER(S738),VLOOKUP(S738,'Grading Scale'!$A$2:$B$14, 2), "")</f>
        <v/>
      </c>
      <c r="U738" s="7"/>
      <c r="V738" s="7"/>
      <c r="W738" s="7"/>
      <c r="X738" s="7"/>
      <c r="Y738" s="7"/>
      <c r="Z738" s="7"/>
      <c r="AA738" s="7"/>
      <c r="AB738" s="7"/>
      <c r="AC738" s="7"/>
      <c r="AD738" s="7"/>
      <c r="AE738" s="7"/>
      <c r="AF738" s="7"/>
      <c r="AG738" s="7"/>
      <c r="AH738" s="7"/>
      <c r="AI738" s="7"/>
      <c r="AJ738" s="7"/>
    </row>
    <row r="739">
      <c r="A739" s="7"/>
      <c r="B739" s="7"/>
      <c r="C739" s="7"/>
      <c r="D739" s="6" t="str">
        <f>IF(NOT(ISBLANK(C739)), VLOOKUP(C739,'Dataset Descriptions'!$A$2:$B$10, 2, FALSE), "")</f>
        <v/>
      </c>
      <c r="E739" s="7"/>
      <c r="F739" s="7"/>
      <c r="G739" s="7"/>
      <c r="H739" s="7"/>
      <c r="I739" s="7"/>
      <c r="J739" s="7"/>
      <c r="K739" s="7"/>
      <c r="L739" s="7"/>
      <c r="M739" s="7"/>
      <c r="N739" s="7"/>
      <c r="O739" s="7"/>
      <c r="P739" s="7"/>
      <c r="Q739" s="7"/>
      <c r="R739" s="8"/>
      <c r="S739" s="6" t="str">
        <f>IF(NOT(ISBLANK(E739)), ROUND(((IF(E739="yes",1,0)*'Grading Scale'!E$2)+(IF(F739="yes",1,0)*'Grading Scale'!E$3)+(IF(G739="yes",1,0)*'Grading Scale'!E$4)+(IF(H739="yes",1,0)*'Grading Scale'!E$5)+(IF(I739="yes",1,0)*'Grading Scale'!E$6)+(IF(J739="yes",1,0)*'Grading Scale'!E$7)+(IF(K739="yes",1,0)*'Grading Scale'!E$8)+(IF(L739="yes",1,0)*'Grading Scale'!E$9)+(IF(M739="yes",1,0)*'Grading Scale'!E$10)+(IF(N739="yes",1,0)*'Grading Scale'!E$11)+(IF(O739="yes",1,0)*'Grading Scale'!E$12)+(IF(P739="yes",1,0)*'Grading Scale'!E$13))/'Grading Scale'!E$14*100,0), "")</f>
        <v/>
      </c>
      <c r="T739" s="6" t="str">
        <f>IF(ISNUMBER(S739),VLOOKUP(S739,'Grading Scale'!$A$2:$B$14, 2), "")</f>
        <v/>
      </c>
      <c r="U739" s="7"/>
      <c r="V739" s="7"/>
      <c r="W739" s="7"/>
      <c r="X739" s="7"/>
      <c r="Y739" s="7"/>
      <c r="Z739" s="7"/>
      <c r="AA739" s="7"/>
      <c r="AB739" s="7"/>
      <c r="AC739" s="7"/>
      <c r="AD739" s="7"/>
      <c r="AE739" s="7"/>
      <c r="AF739" s="7"/>
      <c r="AG739" s="7"/>
      <c r="AH739" s="7"/>
      <c r="AI739" s="7"/>
      <c r="AJ739" s="7"/>
    </row>
    <row r="740">
      <c r="A740" s="7"/>
      <c r="B740" s="7"/>
      <c r="C740" s="7"/>
      <c r="D740" s="6" t="str">
        <f>IF(NOT(ISBLANK(C740)), VLOOKUP(C740,'Dataset Descriptions'!$A$2:$B$10, 2, FALSE), "")</f>
        <v/>
      </c>
      <c r="E740" s="7"/>
      <c r="F740" s="7"/>
      <c r="G740" s="7"/>
      <c r="H740" s="7"/>
      <c r="I740" s="7"/>
      <c r="J740" s="7"/>
      <c r="K740" s="7"/>
      <c r="L740" s="7"/>
      <c r="M740" s="7"/>
      <c r="N740" s="7"/>
      <c r="O740" s="7"/>
      <c r="P740" s="7"/>
      <c r="Q740" s="7"/>
      <c r="R740" s="8"/>
      <c r="S740" s="6" t="str">
        <f>IF(NOT(ISBLANK(E740)), ROUND(((IF(E740="yes",1,0)*'Grading Scale'!E$2)+(IF(F740="yes",1,0)*'Grading Scale'!E$3)+(IF(G740="yes",1,0)*'Grading Scale'!E$4)+(IF(H740="yes",1,0)*'Grading Scale'!E$5)+(IF(I740="yes",1,0)*'Grading Scale'!E$6)+(IF(J740="yes",1,0)*'Grading Scale'!E$7)+(IF(K740="yes",1,0)*'Grading Scale'!E$8)+(IF(L740="yes",1,0)*'Grading Scale'!E$9)+(IF(M740="yes",1,0)*'Grading Scale'!E$10)+(IF(N740="yes",1,0)*'Grading Scale'!E$11)+(IF(O740="yes",1,0)*'Grading Scale'!E$12)+(IF(P740="yes",1,0)*'Grading Scale'!E$13))/'Grading Scale'!E$14*100,0), "")</f>
        <v/>
      </c>
      <c r="T740" s="6" t="str">
        <f>IF(ISNUMBER(S740),VLOOKUP(S740,'Grading Scale'!$A$2:$B$14, 2), "")</f>
        <v/>
      </c>
      <c r="U740" s="7"/>
      <c r="V740" s="7"/>
      <c r="W740" s="7"/>
      <c r="X740" s="7"/>
      <c r="Y740" s="7"/>
      <c r="Z740" s="7"/>
      <c r="AA740" s="7"/>
      <c r="AB740" s="7"/>
      <c r="AC740" s="7"/>
      <c r="AD740" s="7"/>
      <c r="AE740" s="7"/>
      <c r="AF740" s="7"/>
      <c r="AG740" s="7"/>
      <c r="AH740" s="7"/>
      <c r="AI740" s="7"/>
      <c r="AJ740" s="7"/>
    </row>
    <row r="741">
      <c r="A741" s="7"/>
      <c r="B741" s="7"/>
      <c r="C741" s="7"/>
      <c r="D741" s="6" t="str">
        <f>IF(NOT(ISBLANK(C741)), VLOOKUP(C741,'Dataset Descriptions'!$A$2:$B$10, 2, FALSE), "")</f>
        <v/>
      </c>
      <c r="E741" s="7"/>
      <c r="F741" s="7"/>
      <c r="G741" s="7"/>
      <c r="H741" s="7"/>
      <c r="I741" s="7"/>
      <c r="J741" s="7"/>
      <c r="K741" s="7"/>
      <c r="L741" s="7"/>
      <c r="M741" s="7"/>
      <c r="N741" s="7"/>
      <c r="O741" s="7"/>
      <c r="P741" s="7"/>
      <c r="Q741" s="7"/>
      <c r="R741" s="8"/>
      <c r="S741" s="6" t="str">
        <f>IF(NOT(ISBLANK(E741)), ROUND(((IF(E741="yes",1,0)*'Grading Scale'!E$2)+(IF(F741="yes",1,0)*'Grading Scale'!E$3)+(IF(G741="yes",1,0)*'Grading Scale'!E$4)+(IF(H741="yes",1,0)*'Grading Scale'!E$5)+(IF(I741="yes",1,0)*'Grading Scale'!E$6)+(IF(J741="yes",1,0)*'Grading Scale'!E$7)+(IF(K741="yes",1,0)*'Grading Scale'!E$8)+(IF(L741="yes",1,0)*'Grading Scale'!E$9)+(IF(M741="yes",1,0)*'Grading Scale'!E$10)+(IF(N741="yes",1,0)*'Grading Scale'!E$11)+(IF(O741="yes",1,0)*'Grading Scale'!E$12)+(IF(P741="yes",1,0)*'Grading Scale'!E$13))/'Grading Scale'!E$14*100,0), "")</f>
        <v/>
      </c>
      <c r="T741" s="6" t="str">
        <f>IF(ISNUMBER(S741),VLOOKUP(S741,'Grading Scale'!$A$2:$B$14, 2), "")</f>
        <v/>
      </c>
      <c r="U741" s="7"/>
      <c r="V741" s="7"/>
      <c r="W741" s="7"/>
      <c r="X741" s="7"/>
      <c r="Y741" s="7"/>
      <c r="Z741" s="7"/>
      <c r="AA741" s="7"/>
      <c r="AB741" s="7"/>
      <c r="AC741" s="7"/>
      <c r="AD741" s="7"/>
      <c r="AE741" s="7"/>
      <c r="AF741" s="7"/>
      <c r="AG741" s="7"/>
      <c r="AH741" s="7"/>
      <c r="AI741" s="7"/>
      <c r="AJ741" s="7"/>
    </row>
    <row r="742">
      <c r="A742" s="7"/>
      <c r="B742" s="7"/>
      <c r="C742" s="7"/>
      <c r="D742" s="6" t="str">
        <f>IF(NOT(ISBLANK(C742)), VLOOKUP(C742,'Dataset Descriptions'!$A$2:$B$10, 2, FALSE), "")</f>
        <v/>
      </c>
      <c r="E742" s="7"/>
      <c r="F742" s="7"/>
      <c r="G742" s="7"/>
      <c r="H742" s="7"/>
      <c r="I742" s="7"/>
      <c r="J742" s="7"/>
      <c r="K742" s="7"/>
      <c r="L742" s="7"/>
      <c r="M742" s="7"/>
      <c r="N742" s="7"/>
      <c r="O742" s="7"/>
      <c r="P742" s="7"/>
      <c r="Q742" s="7"/>
      <c r="R742" s="8"/>
      <c r="S742" s="6" t="str">
        <f>IF(NOT(ISBLANK(E742)), ROUND(((IF(E742="yes",1,0)*'Grading Scale'!E$2)+(IF(F742="yes",1,0)*'Grading Scale'!E$3)+(IF(G742="yes",1,0)*'Grading Scale'!E$4)+(IF(H742="yes",1,0)*'Grading Scale'!E$5)+(IF(I742="yes",1,0)*'Grading Scale'!E$6)+(IF(J742="yes",1,0)*'Grading Scale'!E$7)+(IF(K742="yes",1,0)*'Grading Scale'!E$8)+(IF(L742="yes",1,0)*'Grading Scale'!E$9)+(IF(M742="yes",1,0)*'Grading Scale'!E$10)+(IF(N742="yes",1,0)*'Grading Scale'!E$11)+(IF(O742="yes",1,0)*'Grading Scale'!E$12)+(IF(P742="yes",1,0)*'Grading Scale'!E$13))/'Grading Scale'!E$14*100,0), "")</f>
        <v/>
      </c>
      <c r="T742" s="6" t="str">
        <f>IF(ISNUMBER(S742),VLOOKUP(S742,'Grading Scale'!$A$2:$B$14, 2), "")</f>
        <v/>
      </c>
      <c r="U742" s="7"/>
      <c r="V742" s="7"/>
      <c r="W742" s="7"/>
      <c r="X742" s="7"/>
      <c r="Y742" s="7"/>
      <c r="Z742" s="7"/>
      <c r="AA742" s="7"/>
      <c r="AB742" s="7"/>
      <c r="AC742" s="7"/>
      <c r="AD742" s="7"/>
      <c r="AE742" s="7"/>
      <c r="AF742" s="7"/>
      <c r="AG742" s="7"/>
      <c r="AH742" s="7"/>
      <c r="AI742" s="7"/>
      <c r="AJ742" s="7"/>
    </row>
    <row r="743">
      <c r="A743" s="7"/>
      <c r="B743" s="7"/>
      <c r="C743" s="7"/>
      <c r="D743" s="6" t="str">
        <f>IF(NOT(ISBLANK(C743)), VLOOKUP(C743,'Dataset Descriptions'!$A$2:$B$10, 2, FALSE), "")</f>
        <v/>
      </c>
      <c r="E743" s="7"/>
      <c r="F743" s="7"/>
      <c r="G743" s="7"/>
      <c r="H743" s="7"/>
      <c r="I743" s="7"/>
      <c r="J743" s="7"/>
      <c r="K743" s="7"/>
      <c r="L743" s="7"/>
      <c r="M743" s="7"/>
      <c r="N743" s="7"/>
      <c r="O743" s="7"/>
      <c r="P743" s="7"/>
      <c r="Q743" s="7"/>
      <c r="R743" s="8"/>
      <c r="S743" s="6" t="str">
        <f>IF(NOT(ISBLANK(E743)), ROUND(((IF(E743="yes",1,0)*'Grading Scale'!E$2)+(IF(F743="yes",1,0)*'Grading Scale'!E$3)+(IF(G743="yes",1,0)*'Grading Scale'!E$4)+(IF(H743="yes",1,0)*'Grading Scale'!E$5)+(IF(I743="yes",1,0)*'Grading Scale'!E$6)+(IF(J743="yes",1,0)*'Grading Scale'!E$7)+(IF(K743="yes",1,0)*'Grading Scale'!E$8)+(IF(L743="yes",1,0)*'Grading Scale'!E$9)+(IF(M743="yes",1,0)*'Grading Scale'!E$10)+(IF(N743="yes",1,0)*'Grading Scale'!E$11)+(IF(O743="yes",1,0)*'Grading Scale'!E$12)+(IF(P743="yes",1,0)*'Grading Scale'!E$13))/'Grading Scale'!E$14*100,0), "")</f>
        <v/>
      </c>
      <c r="T743" s="6" t="str">
        <f>IF(ISNUMBER(S743),VLOOKUP(S743,'Grading Scale'!$A$2:$B$14, 2), "")</f>
        <v/>
      </c>
      <c r="U743" s="7"/>
      <c r="V743" s="7"/>
      <c r="W743" s="7"/>
      <c r="X743" s="7"/>
      <c r="Y743" s="7"/>
      <c r="Z743" s="7"/>
      <c r="AA743" s="7"/>
      <c r="AB743" s="7"/>
      <c r="AC743" s="7"/>
      <c r="AD743" s="7"/>
      <c r="AE743" s="7"/>
      <c r="AF743" s="7"/>
      <c r="AG743" s="7"/>
      <c r="AH743" s="7"/>
      <c r="AI743" s="7"/>
      <c r="AJ743" s="7"/>
    </row>
    <row r="744">
      <c r="A744" s="7"/>
      <c r="B744" s="7"/>
      <c r="C744" s="7"/>
      <c r="D744" s="6" t="str">
        <f>IF(NOT(ISBLANK(C744)), VLOOKUP(C744,'Dataset Descriptions'!$A$2:$B$10, 2, FALSE), "")</f>
        <v/>
      </c>
      <c r="E744" s="7"/>
      <c r="F744" s="7"/>
      <c r="G744" s="7"/>
      <c r="H744" s="7"/>
      <c r="I744" s="7"/>
      <c r="J744" s="7"/>
      <c r="K744" s="7"/>
      <c r="L744" s="7"/>
      <c r="M744" s="7"/>
      <c r="N744" s="7"/>
      <c r="O744" s="7"/>
      <c r="P744" s="7"/>
      <c r="Q744" s="7"/>
      <c r="R744" s="8"/>
      <c r="S744" s="6" t="str">
        <f>IF(NOT(ISBLANK(E744)), ROUND(((IF(E744="yes",1,0)*'Grading Scale'!E$2)+(IF(F744="yes",1,0)*'Grading Scale'!E$3)+(IF(G744="yes",1,0)*'Grading Scale'!E$4)+(IF(H744="yes",1,0)*'Grading Scale'!E$5)+(IF(I744="yes",1,0)*'Grading Scale'!E$6)+(IF(J744="yes",1,0)*'Grading Scale'!E$7)+(IF(K744="yes",1,0)*'Grading Scale'!E$8)+(IF(L744="yes",1,0)*'Grading Scale'!E$9)+(IF(M744="yes",1,0)*'Grading Scale'!E$10)+(IF(N744="yes",1,0)*'Grading Scale'!E$11)+(IF(O744="yes",1,0)*'Grading Scale'!E$12)+(IF(P744="yes",1,0)*'Grading Scale'!E$13))/'Grading Scale'!E$14*100,0), "")</f>
        <v/>
      </c>
      <c r="T744" s="6" t="str">
        <f>IF(ISNUMBER(S744),VLOOKUP(S744,'Grading Scale'!$A$2:$B$14, 2), "")</f>
        <v/>
      </c>
      <c r="U744" s="7"/>
      <c r="V744" s="7"/>
      <c r="W744" s="7"/>
      <c r="X744" s="7"/>
      <c r="Y744" s="7"/>
      <c r="Z744" s="7"/>
      <c r="AA744" s="7"/>
      <c r="AB744" s="7"/>
      <c r="AC744" s="7"/>
      <c r="AD744" s="7"/>
      <c r="AE744" s="7"/>
      <c r="AF744" s="7"/>
      <c r="AG744" s="7"/>
      <c r="AH744" s="7"/>
      <c r="AI744" s="7"/>
      <c r="AJ744" s="7"/>
    </row>
    <row r="745">
      <c r="A745" s="7"/>
      <c r="B745" s="7"/>
      <c r="C745" s="7"/>
      <c r="D745" s="6" t="str">
        <f>IF(NOT(ISBLANK(C745)), VLOOKUP(C745,'Dataset Descriptions'!$A$2:$B$10, 2, FALSE), "")</f>
        <v/>
      </c>
      <c r="E745" s="7"/>
      <c r="F745" s="7"/>
      <c r="G745" s="7"/>
      <c r="H745" s="7"/>
      <c r="I745" s="7"/>
      <c r="J745" s="7"/>
      <c r="K745" s="7"/>
      <c r="L745" s="7"/>
      <c r="M745" s="7"/>
      <c r="N745" s="7"/>
      <c r="O745" s="7"/>
      <c r="P745" s="7"/>
      <c r="Q745" s="7"/>
      <c r="R745" s="8"/>
      <c r="S745" s="6" t="str">
        <f>IF(NOT(ISBLANK(E745)), ROUND(((IF(E745="yes",1,0)*'Grading Scale'!E$2)+(IF(F745="yes",1,0)*'Grading Scale'!E$3)+(IF(G745="yes",1,0)*'Grading Scale'!E$4)+(IF(H745="yes",1,0)*'Grading Scale'!E$5)+(IF(I745="yes",1,0)*'Grading Scale'!E$6)+(IF(J745="yes",1,0)*'Grading Scale'!E$7)+(IF(K745="yes",1,0)*'Grading Scale'!E$8)+(IF(L745="yes",1,0)*'Grading Scale'!E$9)+(IF(M745="yes",1,0)*'Grading Scale'!E$10)+(IF(N745="yes",1,0)*'Grading Scale'!E$11)+(IF(O745="yes",1,0)*'Grading Scale'!E$12)+(IF(P745="yes",1,0)*'Grading Scale'!E$13))/'Grading Scale'!E$14*100,0), "")</f>
        <v/>
      </c>
      <c r="T745" s="6" t="str">
        <f>IF(ISNUMBER(S745),VLOOKUP(S745,'Grading Scale'!$A$2:$B$14, 2), "")</f>
        <v/>
      </c>
      <c r="U745" s="7"/>
      <c r="V745" s="7"/>
      <c r="W745" s="7"/>
      <c r="X745" s="7"/>
      <c r="Y745" s="7"/>
      <c r="Z745" s="7"/>
      <c r="AA745" s="7"/>
      <c r="AB745" s="7"/>
      <c r="AC745" s="7"/>
      <c r="AD745" s="7"/>
      <c r="AE745" s="7"/>
      <c r="AF745" s="7"/>
      <c r="AG745" s="7"/>
      <c r="AH745" s="7"/>
      <c r="AI745" s="7"/>
      <c r="AJ745" s="7"/>
    </row>
    <row r="746">
      <c r="A746" s="7"/>
      <c r="B746" s="7"/>
      <c r="C746" s="7"/>
      <c r="D746" s="6" t="str">
        <f>IF(NOT(ISBLANK(C746)), VLOOKUP(C746,'Dataset Descriptions'!$A$2:$B$10, 2, FALSE), "")</f>
        <v/>
      </c>
      <c r="E746" s="7"/>
      <c r="F746" s="7"/>
      <c r="G746" s="7"/>
      <c r="H746" s="7"/>
      <c r="I746" s="7"/>
      <c r="J746" s="7"/>
      <c r="K746" s="7"/>
      <c r="L746" s="7"/>
      <c r="M746" s="7"/>
      <c r="N746" s="7"/>
      <c r="O746" s="7"/>
      <c r="P746" s="7"/>
      <c r="Q746" s="7"/>
      <c r="R746" s="8"/>
      <c r="S746" s="6" t="str">
        <f>IF(NOT(ISBLANK(E746)), ROUND(((IF(E746="yes",1,0)*'Grading Scale'!E$2)+(IF(F746="yes",1,0)*'Grading Scale'!E$3)+(IF(G746="yes",1,0)*'Grading Scale'!E$4)+(IF(H746="yes",1,0)*'Grading Scale'!E$5)+(IF(I746="yes",1,0)*'Grading Scale'!E$6)+(IF(J746="yes",1,0)*'Grading Scale'!E$7)+(IF(K746="yes",1,0)*'Grading Scale'!E$8)+(IF(L746="yes",1,0)*'Grading Scale'!E$9)+(IF(M746="yes",1,0)*'Grading Scale'!E$10)+(IF(N746="yes",1,0)*'Grading Scale'!E$11)+(IF(O746="yes",1,0)*'Grading Scale'!E$12)+(IF(P746="yes",1,0)*'Grading Scale'!E$13))/'Grading Scale'!E$14*100,0), "")</f>
        <v/>
      </c>
      <c r="T746" s="6" t="str">
        <f>IF(ISNUMBER(S746),VLOOKUP(S746,'Grading Scale'!$A$2:$B$14, 2), "")</f>
        <v/>
      </c>
      <c r="U746" s="7"/>
      <c r="V746" s="7"/>
      <c r="W746" s="7"/>
      <c r="X746" s="7"/>
      <c r="Y746" s="7"/>
      <c r="Z746" s="7"/>
      <c r="AA746" s="7"/>
      <c r="AB746" s="7"/>
      <c r="AC746" s="7"/>
      <c r="AD746" s="7"/>
      <c r="AE746" s="7"/>
      <c r="AF746" s="7"/>
      <c r="AG746" s="7"/>
      <c r="AH746" s="7"/>
      <c r="AI746" s="7"/>
      <c r="AJ746" s="7"/>
    </row>
    <row r="747">
      <c r="A747" s="7"/>
      <c r="B747" s="7"/>
      <c r="C747" s="7"/>
      <c r="D747" s="6" t="str">
        <f>IF(NOT(ISBLANK(C747)), VLOOKUP(C747,'Dataset Descriptions'!$A$2:$B$10, 2, FALSE), "")</f>
        <v/>
      </c>
      <c r="E747" s="7"/>
      <c r="F747" s="7"/>
      <c r="G747" s="7"/>
      <c r="H747" s="7"/>
      <c r="I747" s="7"/>
      <c r="J747" s="7"/>
      <c r="K747" s="7"/>
      <c r="L747" s="7"/>
      <c r="M747" s="7"/>
      <c r="N747" s="7"/>
      <c r="O747" s="7"/>
      <c r="P747" s="7"/>
      <c r="Q747" s="7"/>
      <c r="R747" s="8"/>
      <c r="S747" s="6" t="str">
        <f>IF(NOT(ISBLANK(E747)), ROUND(((IF(E747="yes",1,0)*'Grading Scale'!E$2)+(IF(F747="yes",1,0)*'Grading Scale'!E$3)+(IF(G747="yes",1,0)*'Grading Scale'!E$4)+(IF(H747="yes",1,0)*'Grading Scale'!E$5)+(IF(I747="yes",1,0)*'Grading Scale'!E$6)+(IF(J747="yes",1,0)*'Grading Scale'!E$7)+(IF(K747="yes",1,0)*'Grading Scale'!E$8)+(IF(L747="yes",1,0)*'Grading Scale'!E$9)+(IF(M747="yes",1,0)*'Grading Scale'!E$10)+(IF(N747="yes",1,0)*'Grading Scale'!E$11)+(IF(O747="yes",1,0)*'Grading Scale'!E$12)+(IF(P747="yes",1,0)*'Grading Scale'!E$13))/'Grading Scale'!E$14*100,0), "")</f>
        <v/>
      </c>
      <c r="T747" s="6" t="str">
        <f>IF(ISNUMBER(S747),VLOOKUP(S747,'Grading Scale'!$A$2:$B$14, 2), "")</f>
        <v/>
      </c>
      <c r="U747" s="7"/>
      <c r="V747" s="7"/>
      <c r="W747" s="7"/>
      <c r="X747" s="7"/>
      <c r="Y747" s="7"/>
      <c r="Z747" s="7"/>
      <c r="AA747" s="7"/>
      <c r="AB747" s="7"/>
      <c r="AC747" s="7"/>
      <c r="AD747" s="7"/>
      <c r="AE747" s="7"/>
      <c r="AF747" s="7"/>
      <c r="AG747" s="7"/>
      <c r="AH747" s="7"/>
      <c r="AI747" s="7"/>
      <c r="AJ747" s="7"/>
    </row>
    <row r="748">
      <c r="A748" s="7"/>
      <c r="B748" s="7"/>
      <c r="C748" s="7"/>
      <c r="D748" s="6" t="str">
        <f>IF(NOT(ISBLANK(C748)), VLOOKUP(C748,'Dataset Descriptions'!$A$2:$B$10, 2, FALSE), "")</f>
        <v/>
      </c>
      <c r="E748" s="7"/>
      <c r="F748" s="7"/>
      <c r="G748" s="7"/>
      <c r="H748" s="7"/>
      <c r="I748" s="7"/>
      <c r="J748" s="7"/>
      <c r="K748" s="7"/>
      <c r="L748" s="7"/>
      <c r="M748" s="7"/>
      <c r="N748" s="7"/>
      <c r="O748" s="7"/>
      <c r="P748" s="7"/>
      <c r="Q748" s="7"/>
      <c r="R748" s="8"/>
      <c r="S748" s="6" t="str">
        <f>IF(NOT(ISBLANK(E748)), ROUND(((IF(E748="yes",1,0)*'Grading Scale'!E$2)+(IF(F748="yes",1,0)*'Grading Scale'!E$3)+(IF(G748="yes",1,0)*'Grading Scale'!E$4)+(IF(H748="yes",1,0)*'Grading Scale'!E$5)+(IF(I748="yes",1,0)*'Grading Scale'!E$6)+(IF(J748="yes",1,0)*'Grading Scale'!E$7)+(IF(K748="yes",1,0)*'Grading Scale'!E$8)+(IF(L748="yes",1,0)*'Grading Scale'!E$9)+(IF(M748="yes",1,0)*'Grading Scale'!E$10)+(IF(N748="yes",1,0)*'Grading Scale'!E$11)+(IF(O748="yes",1,0)*'Grading Scale'!E$12)+(IF(P748="yes",1,0)*'Grading Scale'!E$13))/'Grading Scale'!E$14*100,0), "")</f>
        <v/>
      </c>
      <c r="T748" s="6" t="str">
        <f>IF(ISNUMBER(S748),VLOOKUP(S748,'Grading Scale'!$A$2:$B$14, 2), "")</f>
        <v/>
      </c>
      <c r="U748" s="7"/>
      <c r="V748" s="7"/>
      <c r="W748" s="7"/>
      <c r="X748" s="7"/>
      <c r="Y748" s="7"/>
      <c r="Z748" s="7"/>
      <c r="AA748" s="7"/>
      <c r="AB748" s="7"/>
      <c r="AC748" s="7"/>
      <c r="AD748" s="7"/>
      <c r="AE748" s="7"/>
      <c r="AF748" s="7"/>
      <c r="AG748" s="7"/>
      <c r="AH748" s="7"/>
      <c r="AI748" s="7"/>
      <c r="AJ748" s="7"/>
    </row>
    <row r="749">
      <c r="A749" s="7"/>
      <c r="B749" s="7"/>
      <c r="C749" s="7"/>
      <c r="D749" s="6" t="str">
        <f>IF(NOT(ISBLANK(C749)), VLOOKUP(C749,'Dataset Descriptions'!$A$2:$B$10, 2, FALSE), "")</f>
        <v/>
      </c>
      <c r="E749" s="7"/>
      <c r="F749" s="7"/>
      <c r="G749" s="7"/>
      <c r="H749" s="7"/>
      <c r="I749" s="7"/>
      <c r="J749" s="7"/>
      <c r="K749" s="7"/>
      <c r="L749" s="7"/>
      <c r="M749" s="7"/>
      <c r="N749" s="7"/>
      <c r="O749" s="7"/>
      <c r="P749" s="7"/>
      <c r="Q749" s="7"/>
      <c r="R749" s="8"/>
      <c r="S749" s="6" t="str">
        <f>IF(NOT(ISBLANK(E749)), ROUND(((IF(E749="yes",1,0)*'Grading Scale'!E$2)+(IF(F749="yes",1,0)*'Grading Scale'!E$3)+(IF(G749="yes",1,0)*'Grading Scale'!E$4)+(IF(H749="yes",1,0)*'Grading Scale'!E$5)+(IF(I749="yes",1,0)*'Grading Scale'!E$6)+(IF(J749="yes",1,0)*'Grading Scale'!E$7)+(IF(K749="yes",1,0)*'Grading Scale'!E$8)+(IF(L749="yes",1,0)*'Grading Scale'!E$9)+(IF(M749="yes",1,0)*'Grading Scale'!E$10)+(IF(N749="yes",1,0)*'Grading Scale'!E$11)+(IF(O749="yes",1,0)*'Grading Scale'!E$12)+(IF(P749="yes",1,0)*'Grading Scale'!E$13))/'Grading Scale'!E$14*100,0), "")</f>
        <v/>
      </c>
      <c r="T749" s="6" t="str">
        <f>IF(ISNUMBER(S749),VLOOKUP(S749,'Grading Scale'!$A$2:$B$14, 2), "")</f>
        <v/>
      </c>
      <c r="U749" s="7"/>
      <c r="V749" s="7"/>
      <c r="W749" s="7"/>
      <c r="X749" s="7"/>
      <c r="Y749" s="7"/>
      <c r="Z749" s="7"/>
      <c r="AA749" s="7"/>
      <c r="AB749" s="7"/>
      <c r="AC749" s="7"/>
      <c r="AD749" s="7"/>
      <c r="AE749" s="7"/>
      <c r="AF749" s="7"/>
      <c r="AG749" s="7"/>
      <c r="AH749" s="7"/>
      <c r="AI749" s="7"/>
      <c r="AJ749" s="7"/>
    </row>
    <row r="750">
      <c r="A750" s="7"/>
      <c r="B750" s="7"/>
      <c r="C750" s="7"/>
      <c r="D750" s="6" t="str">
        <f>IF(NOT(ISBLANK(C750)), VLOOKUP(C750,'Dataset Descriptions'!$A$2:$B$10, 2, FALSE), "")</f>
        <v/>
      </c>
      <c r="E750" s="7"/>
      <c r="F750" s="7"/>
      <c r="G750" s="7"/>
      <c r="H750" s="7"/>
      <c r="I750" s="7"/>
      <c r="J750" s="7"/>
      <c r="K750" s="7"/>
      <c r="L750" s="7"/>
      <c r="M750" s="7"/>
      <c r="N750" s="7"/>
      <c r="O750" s="7"/>
      <c r="P750" s="7"/>
      <c r="Q750" s="7"/>
      <c r="R750" s="8"/>
      <c r="S750" s="6" t="str">
        <f>IF(NOT(ISBLANK(E750)), ROUND(((IF(E750="yes",1,0)*'Grading Scale'!E$2)+(IF(F750="yes",1,0)*'Grading Scale'!E$3)+(IF(G750="yes",1,0)*'Grading Scale'!E$4)+(IF(H750="yes",1,0)*'Grading Scale'!E$5)+(IF(I750="yes",1,0)*'Grading Scale'!E$6)+(IF(J750="yes",1,0)*'Grading Scale'!E$7)+(IF(K750="yes",1,0)*'Grading Scale'!E$8)+(IF(L750="yes",1,0)*'Grading Scale'!E$9)+(IF(M750="yes",1,0)*'Grading Scale'!E$10)+(IF(N750="yes",1,0)*'Grading Scale'!E$11)+(IF(O750="yes",1,0)*'Grading Scale'!E$12)+(IF(P750="yes",1,0)*'Grading Scale'!E$13))/'Grading Scale'!E$14*100,0), "")</f>
        <v/>
      </c>
      <c r="T750" s="6" t="str">
        <f>IF(ISNUMBER(S750),VLOOKUP(S750,'Grading Scale'!$A$2:$B$14, 2), "")</f>
        <v/>
      </c>
      <c r="U750" s="7"/>
      <c r="V750" s="7"/>
      <c r="W750" s="7"/>
      <c r="X750" s="7"/>
      <c r="Y750" s="7"/>
      <c r="Z750" s="7"/>
      <c r="AA750" s="7"/>
      <c r="AB750" s="7"/>
      <c r="AC750" s="7"/>
      <c r="AD750" s="7"/>
      <c r="AE750" s="7"/>
      <c r="AF750" s="7"/>
      <c r="AG750" s="7"/>
      <c r="AH750" s="7"/>
      <c r="AI750" s="7"/>
      <c r="AJ750" s="7"/>
    </row>
    <row r="751">
      <c r="A751" s="7"/>
      <c r="B751" s="7"/>
      <c r="C751" s="7"/>
      <c r="D751" s="6" t="str">
        <f>IF(NOT(ISBLANK(C751)), VLOOKUP(C751,'Dataset Descriptions'!$A$2:$B$10, 2, FALSE), "")</f>
        <v/>
      </c>
      <c r="E751" s="7"/>
      <c r="F751" s="7"/>
      <c r="G751" s="7"/>
      <c r="H751" s="7"/>
      <c r="I751" s="7"/>
      <c r="J751" s="7"/>
      <c r="K751" s="7"/>
      <c r="L751" s="7"/>
      <c r="M751" s="7"/>
      <c r="N751" s="7"/>
      <c r="O751" s="7"/>
      <c r="P751" s="7"/>
      <c r="Q751" s="7"/>
      <c r="R751" s="8"/>
      <c r="S751" s="6" t="str">
        <f>IF(NOT(ISBLANK(E751)), ROUND(((IF(E751="yes",1,0)*'Grading Scale'!E$2)+(IF(F751="yes",1,0)*'Grading Scale'!E$3)+(IF(G751="yes",1,0)*'Grading Scale'!E$4)+(IF(H751="yes",1,0)*'Grading Scale'!E$5)+(IF(I751="yes",1,0)*'Grading Scale'!E$6)+(IF(J751="yes",1,0)*'Grading Scale'!E$7)+(IF(K751="yes",1,0)*'Grading Scale'!E$8)+(IF(L751="yes",1,0)*'Grading Scale'!E$9)+(IF(M751="yes",1,0)*'Grading Scale'!E$10)+(IF(N751="yes",1,0)*'Grading Scale'!E$11)+(IF(O751="yes",1,0)*'Grading Scale'!E$12)+(IF(P751="yes",1,0)*'Grading Scale'!E$13))/'Grading Scale'!E$14*100,0), "")</f>
        <v/>
      </c>
      <c r="T751" s="6" t="str">
        <f>IF(ISNUMBER(S751),VLOOKUP(S751,'Grading Scale'!$A$2:$B$14, 2), "")</f>
        <v/>
      </c>
      <c r="U751" s="7"/>
      <c r="V751" s="7"/>
      <c r="W751" s="7"/>
      <c r="X751" s="7"/>
      <c r="Y751" s="7"/>
      <c r="Z751" s="7"/>
      <c r="AA751" s="7"/>
      <c r="AB751" s="7"/>
      <c r="AC751" s="7"/>
      <c r="AD751" s="7"/>
      <c r="AE751" s="7"/>
      <c r="AF751" s="7"/>
      <c r="AG751" s="7"/>
      <c r="AH751" s="7"/>
      <c r="AI751" s="7"/>
      <c r="AJ751" s="7"/>
    </row>
    <row r="752">
      <c r="A752" s="7"/>
      <c r="B752" s="7"/>
      <c r="C752" s="7"/>
      <c r="D752" s="6" t="str">
        <f>IF(NOT(ISBLANK(C752)), VLOOKUP(C752,'Dataset Descriptions'!$A$2:$B$10, 2, FALSE), "")</f>
        <v/>
      </c>
      <c r="E752" s="7"/>
      <c r="F752" s="7"/>
      <c r="G752" s="7"/>
      <c r="H752" s="7"/>
      <c r="I752" s="7"/>
      <c r="J752" s="7"/>
      <c r="K752" s="7"/>
      <c r="L752" s="7"/>
      <c r="M752" s="7"/>
      <c r="N752" s="7"/>
      <c r="O752" s="7"/>
      <c r="P752" s="7"/>
      <c r="Q752" s="7"/>
      <c r="R752" s="8"/>
      <c r="S752" s="6" t="str">
        <f>IF(NOT(ISBLANK(E752)), ROUND(((IF(E752="yes",1,0)*'Grading Scale'!E$2)+(IF(F752="yes",1,0)*'Grading Scale'!E$3)+(IF(G752="yes",1,0)*'Grading Scale'!E$4)+(IF(H752="yes",1,0)*'Grading Scale'!E$5)+(IF(I752="yes",1,0)*'Grading Scale'!E$6)+(IF(J752="yes",1,0)*'Grading Scale'!E$7)+(IF(K752="yes",1,0)*'Grading Scale'!E$8)+(IF(L752="yes",1,0)*'Grading Scale'!E$9)+(IF(M752="yes",1,0)*'Grading Scale'!E$10)+(IF(N752="yes",1,0)*'Grading Scale'!E$11)+(IF(O752="yes",1,0)*'Grading Scale'!E$12)+(IF(P752="yes",1,0)*'Grading Scale'!E$13))/'Grading Scale'!E$14*100,0), "")</f>
        <v/>
      </c>
      <c r="T752" s="6" t="str">
        <f>IF(ISNUMBER(S752),VLOOKUP(S752,'Grading Scale'!$A$2:$B$14, 2), "")</f>
        <v/>
      </c>
      <c r="U752" s="7"/>
      <c r="V752" s="7"/>
      <c r="W752" s="7"/>
      <c r="X752" s="7"/>
      <c r="Y752" s="7"/>
      <c r="Z752" s="7"/>
      <c r="AA752" s="7"/>
      <c r="AB752" s="7"/>
      <c r="AC752" s="7"/>
      <c r="AD752" s="7"/>
      <c r="AE752" s="7"/>
      <c r="AF752" s="7"/>
      <c r="AG752" s="7"/>
      <c r="AH752" s="7"/>
      <c r="AI752" s="7"/>
      <c r="AJ752" s="7"/>
    </row>
    <row r="753">
      <c r="A753" s="7"/>
      <c r="B753" s="7"/>
      <c r="C753" s="7"/>
      <c r="D753" s="6" t="str">
        <f>IF(NOT(ISBLANK(C753)), VLOOKUP(C753,'Dataset Descriptions'!$A$2:$B$10, 2, FALSE), "")</f>
        <v/>
      </c>
      <c r="E753" s="7"/>
      <c r="F753" s="7"/>
      <c r="G753" s="7"/>
      <c r="H753" s="7"/>
      <c r="I753" s="7"/>
      <c r="J753" s="7"/>
      <c r="K753" s="7"/>
      <c r="L753" s="7"/>
      <c r="M753" s="7"/>
      <c r="N753" s="7"/>
      <c r="O753" s="7"/>
      <c r="P753" s="7"/>
      <c r="Q753" s="7"/>
      <c r="R753" s="8"/>
      <c r="S753" s="6" t="str">
        <f>IF(NOT(ISBLANK(E753)), ROUND(((IF(E753="yes",1,0)*'Grading Scale'!E$2)+(IF(F753="yes",1,0)*'Grading Scale'!E$3)+(IF(G753="yes",1,0)*'Grading Scale'!E$4)+(IF(H753="yes",1,0)*'Grading Scale'!E$5)+(IF(I753="yes",1,0)*'Grading Scale'!E$6)+(IF(J753="yes",1,0)*'Grading Scale'!E$7)+(IF(K753="yes",1,0)*'Grading Scale'!E$8)+(IF(L753="yes",1,0)*'Grading Scale'!E$9)+(IF(M753="yes",1,0)*'Grading Scale'!E$10)+(IF(N753="yes",1,0)*'Grading Scale'!E$11)+(IF(O753="yes",1,0)*'Grading Scale'!E$12)+(IF(P753="yes",1,0)*'Grading Scale'!E$13))/'Grading Scale'!E$14*100,0), "")</f>
        <v/>
      </c>
      <c r="T753" s="6" t="str">
        <f>IF(ISNUMBER(S753),VLOOKUP(S753,'Grading Scale'!$A$2:$B$14, 2), "")</f>
        <v/>
      </c>
      <c r="U753" s="7"/>
      <c r="V753" s="7"/>
      <c r="W753" s="7"/>
      <c r="X753" s="7"/>
      <c r="Y753" s="7"/>
      <c r="Z753" s="7"/>
      <c r="AA753" s="7"/>
      <c r="AB753" s="7"/>
      <c r="AC753" s="7"/>
      <c r="AD753" s="7"/>
      <c r="AE753" s="7"/>
      <c r="AF753" s="7"/>
      <c r="AG753" s="7"/>
      <c r="AH753" s="7"/>
      <c r="AI753" s="7"/>
      <c r="AJ753" s="7"/>
    </row>
    <row r="754">
      <c r="A754" s="7"/>
      <c r="B754" s="7"/>
      <c r="C754" s="7"/>
      <c r="D754" s="6" t="str">
        <f>IF(NOT(ISBLANK(C754)), VLOOKUP(C754,'Dataset Descriptions'!$A$2:$B$10, 2, FALSE), "")</f>
        <v/>
      </c>
      <c r="E754" s="7"/>
      <c r="F754" s="7"/>
      <c r="G754" s="7"/>
      <c r="H754" s="7"/>
      <c r="I754" s="7"/>
      <c r="J754" s="7"/>
      <c r="K754" s="7"/>
      <c r="L754" s="7"/>
      <c r="M754" s="7"/>
      <c r="N754" s="7"/>
      <c r="O754" s="7"/>
      <c r="P754" s="7"/>
      <c r="Q754" s="7"/>
      <c r="R754" s="8"/>
      <c r="S754" s="6" t="str">
        <f>IF(NOT(ISBLANK(E754)), ROUND(((IF(E754="yes",1,0)*'Grading Scale'!E$2)+(IF(F754="yes",1,0)*'Grading Scale'!E$3)+(IF(G754="yes",1,0)*'Grading Scale'!E$4)+(IF(H754="yes",1,0)*'Grading Scale'!E$5)+(IF(I754="yes",1,0)*'Grading Scale'!E$6)+(IF(J754="yes",1,0)*'Grading Scale'!E$7)+(IF(K754="yes",1,0)*'Grading Scale'!E$8)+(IF(L754="yes",1,0)*'Grading Scale'!E$9)+(IF(M754="yes",1,0)*'Grading Scale'!E$10)+(IF(N754="yes",1,0)*'Grading Scale'!E$11)+(IF(O754="yes",1,0)*'Grading Scale'!E$12)+(IF(P754="yes",1,0)*'Grading Scale'!E$13))/'Grading Scale'!E$14*100,0), "")</f>
        <v/>
      </c>
      <c r="T754" s="6" t="str">
        <f>IF(ISNUMBER(S754),VLOOKUP(S754,'Grading Scale'!$A$2:$B$14, 2), "")</f>
        <v/>
      </c>
      <c r="U754" s="7"/>
      <c r="V754" s="7"/>
      <c r="W754" s="7"/>
      <c r="X754" s="7"/>
      <c r="Y754" s="7"/>
      <c r="Z754" s="7"/>
      <c r="AA754" s="7"/>
      <c r="AB754" s="7"/>
      <c r="AC754" s="7"/>
      <c r="AD754" s="7"/>
      <c r="AE754" s="7"/>
      <c r="AF754" s="7"/>
      <c r="AG754" s="7"/>
      <c r="AH754" s="7"/>
      <c r="AI754" s="7"/>
      <c r="AJ754" s="7"/>
    </row>
    <row r="755">
      <c r="A755" s="7"/>
      <c r="B755" s="7"/>
      <c r="C755" s="7"/>
      <c r="D755" s="6" t="str">
        <f>IF(NOT(ISBLANK(C755)), VLOOKUP(C755,'Dataset Descriptions'!$A$2:$B$10, 2, FALSE), "")</f>
        <v/>
      </c>
      <c r="E755" s="7"/>
      <c r="F755" s="7"/>
      <c r="G755" s="7"/>
      <c r="H755" s="7"/>
      <c r="I755" s="7"/>
      <c r="J755" s="7"/>
      <c r="K755" s="7"/>
      <c r="L755" s="7"/>
      <c r="M755" s="7"/>
      <c r="N755" s="7"/>
      <c r="O755" s="7"/>
      <c r="P755" s="7"/>
      <c r="Q755" s="7"/>
      <c r="R755" s="8"/>
      <c r="S755" s="6" t="str">
        <f>IF(NOT(ISBLANK(E755)), ROUND(((IF(E755="yes",1,0)*'Grading Scale'!E$2)+(IF(F755="yes",1,0)*'Grading Scale'!E$3)+(IF(G755="yes",1,0)*'Grading Scale'!E$4)+(IF(H755="yes",1,0)*'Grading Scale'!E$5)+(IF(I755="yes",1,0)*'Grading Scale'!E$6)+(IF(J755="yes",1,0)*'Grading Scale'!E$7)+(IF(K755="yes",1,0)*'Grading Scale'!E$8)+(IF(L755="yes",1,0)*'Grading Scale'!E$9)+(IF(M755="yes",1,0)*'Grading Scale'!E$10)+(IF(N755="yes",1,0)*'Grading Scale'!E$11)+(IF(O755="yes",1,0)*'Grading Scale'!E$12)+(IF(P755="yes",1,0)*'Grading Scale'!E$13))/'Grading Scale'!E$14*100,0), "")</f>
        <v/>
      </c>
      <c r="T755" s="6" t="str">
        <f>IF(ISNUMBER(S755),VLOOKUP(S755,'Grading Scale'!$A$2:$B$14, 2), "")</f>
        <v/>
      </c>
      <c r="U755" s="7"/>
      <c r="V755" s="7"/>
      <c r="W755" s="7"/>
      <c r="X755" s="7"/>
      <c r="Y755" s="7"/>
      <c r="Z755" s="7"/>
      <c r="AA755" s="7"/>
      <c r="AB755" s="7"/>
      <c r="AC755" s="7"/>
      <c r="AD755" s="7"/>
      <c r="AE755" s="7"/>
      <c r="AF755" s="7"/>
      <c r="AG755" s="7"/>
      <c r="AH755" s="7"/>
      <c r="AI755" s="7"/>
      <c r="AJ755" s="7"/>
    </row>
    <row r="756">
      <c r="A756" s="7"/>
      <c r="B756" s="7"/>
      <c r="C756" s="7"/>
      <c r="D756" s="6" t="str">
        <f>IF(NOT(ISBLANK(C756)), VLOOKUP(C756,'Dataset Descriptions'!$A$2:$B$10, 2, FALSE), "")</f>
        <v/>
      </c>
      <c r="E756" s="7"/>
      <c r="F756" s="7"/>
      <c r="G756" s="7"/>
      <c r="H756" s="7"/>
      <c r="I756" s="7"/>
      <c r="J756" s="7"/>
      <c r="K756" s="7"/>
      <c r="L756" s="7"/>
      <c r="M756" s="7"/>
      <c r="N756" s="7"/>
      <c r="O756" s="7"/>
      <c r="P756" s="7"/>
      <c r="Q756" s="7"/>
      <c r="R756" s="8"/>
      <c r="S756" s="6" t="str">
        <f>IF(NOT(ISBLANK(E756)), ROUND(((IF(E756="yes",1,0)*'Grading Scale'!E$2)+(IF(F756="yes",1,0)*'Grading Scale'!E$3)+(IF(G756="yes",1,0)*'Grading Scale'!E$4)+(IF(H756="yes",1,0)*'Grading Scale'!E$5)+(IF(I756="yes",1,0)*'Grading Scale'!E$6)+(IF(J756="yes",1,0)*'Grading Scale'!E$7)+(IF(K756="yes",1,0)*'Grading Scale'!E$8)+(IF(L756="yes",1,0)*'Grading Scale'!E$9)+(IF(M756="yes",1,0)*'Grading Scale'!E$10)+(IF(N756="yes",1,0)*'Grading Scale'!E$11)+(IF(O756="yes",1,0)*'Grading Scale'!E$12)+(IF(P756="yes",1,0)*'Grading Scale'!E$13))/'Grading Scale'!E$14*100,0), "")</f>
        <v/>
      </c>
      <c r="T756" s="6" t="str">
        <f>IF(ISNUMBER(S756),VLOOKUP(S756,'Grading Scale'!$A$2:$B$14, 2), "")</f>
        <v/>
      </c>
      <c r="U756" s="7"/>
      <c r="V756" s="7"/>
      <c r="W756" s="7"/>
      <c r="X756" s="7"/>
      <c r="Y756" s="7"/>
      <c r="Z756" s="7"/>
      <c r="AA756" s="7"/>
      <c r="AB756" s="7"/>
      <c r="AC756" s="7"/>
      <c r="AD756" s="7"/>
      <c r="AE756" s="7"/>
      <c r="AF756" s="7"/>
      <c r="AG756" s="7"/>
      <c r="AH756" s="7"/>
      <c r="AI756" s="7"/>
      <c r="AJ756" s="7"/>
    </row>
    <row r="757">
      <c r="A757" s="7"/>
      <c r="B757" s="7"/>
      <c r="C757" s="7"/>
      <c r="D757" s="6" t="str">
        <f>IF(NOT(ISBLANK(C757)), VLOOKUP(C757,'Dataset Descriptions'!$A$2:$B$10, 2, FALSE), "")</f>
        <v/>
      </c>
      <c r="E757" s="7"/>
      <c r="F757" s="7"/>
      <c r="G757" s="7"/>
      <c r="H757" s="7"/>
      <c r="I757" s="7"/>
      <c r="J757" s="7"/>
      <c r="K757" s="7"/>
      <c r="L757" s="7"/>
      <c r="M757" s="7"/>
      <c r="N757" s="7"/>
      <c r="O757" s="7"/>
      <c r="P757" s="7"/>
      <c r="Q757" s="7"/>
      <c r="R757" s="8"/>
      <c r="S757" s="6" t="str">
        <f>IF(NOT(ISBLANK(E757)), ROUND(((IF(E757="yes",1,0)*'Grading Scale'!E$2)+(IF(F757="yes",1,0)*'Grading Scale'!E$3)+(IF(G757="yes",1,0)*'Grading Scale'!E$4)+(IF(H757="yes",1,0)*'Grading Scale'!E$5)+(IF(I757="yes",1,0)*'Grading Scale'!E$6)+(IF(J757="yes",1,0)*'Grading Scale'!E$7)+(IF(K757="yes",1,0)*'Grading Scale'!E$8)+(IF(L757="yes",1,0)*'Grading Scale'!E$9)+(IF(M757="yes",1,0)*'Grading Scale'!E$10)+(IF(N757="yes",1,0)*'Grading Scale'!E$11)+(IF(O757="yes",1,0)*'Grading Scale'!E$12)+(IF(P757="yes",1,0)*'Grading Scale'!E$13))/'Grading Scale'!E$14*100,0), "")</f>
        <v/>
      </c>
      <c r="T757" s="6" t="str">
        <f>IF(ISNUMBER(S757),VLOOKUP(S757,'Grading Scale'!$A$2:$B$14, 2), "")</f>
        <v/>
      </c>
      <c r="U757" s="7"/>
      <c r="V757" s="7"/>
      <c r="W757" s="7"/>
      <c r="X757" s="7"/>
      <c r="Y757" s="7"/>
      <c r="Z757" s="7"/>
      <c r="AA757" s="7"/>
      <c r="AB757" s="7"/>
      <c r="AC757" s="7"/>
      <c r="AD757" s="7"/>
      <c r="AE757" s="7"/>
      <c r="AF757" s="7"/>
      <c r="AG757" s="7"/>
      <c r="AH757" s="7"/>
      <c r="AI757" s="7"/>
      <c r="AJ757" s="7"/>
    </row>
    <row r="758">
      <c r="A758" s="7"/>
      <c r="B758" s="7"/>
      <c r="C758" s="7"/>
      <c r="D758" s="6" t="str">
        <f>IF(NOT(ISBLANK(C758)), VLOOKUP(C758,'Dataset Descriptions'!$A$2:$B$10, 2, FALSE), "")</f>
        <v/>
      </c>
      <c r="E758" s="7"/>
      <c r="F758" s="7"/>
      <c r="G758" s="7"/>
      <c r="H758" s="7"/>
      <c r="I758" s="7"/>
      <c r="J758" s="7"/>
      <c r="K758" s="7"/>
      <c r="L758" s="7"/>
      <c r="M758" s="7"/>
      <c r="N758" s="7"/>
      <c r="O758" s="7"/>
      <c r="P758" s="7"/>
      <c r="Q758" s="7"/>
      <c r="R758" s="8"/>
      <c r="S758" s="6" t="str">
        <f>IF(NOT(ISBLANK(E758)), ROUND(((IF(E758="yes",1,0)*'Grading Scale'!E$2)+(IF(F758="yes",1,0)*'Grading Scale'!E$3)+(IF(G758="yes",1,0)*'Grading Scale'!E$4)+(IF(H758="yes",1,0)*'Grading Scale'!E$5)+(IF(I758="yes",1,0)*'Grading Scale'!E$6)+(IF(J758="yes",1,0)*'Grading Scale'!E$7)+(IF(K758="yes",1,0)*'Grading Scale'!E$8)+(IF(L758="yes",1,0)*'Grading Scale'!E$9)+(IF(M758="yes",1,0)*'Grading Scale'!E$10)+(IF(N758="yes",1,0)*'Grading Scale'!E$11)+(IF(O758="yes",1,0)*'Grading Scale'!E$12)+(IF(P758="yes",1,0)*'Grading Scale'!E$13))/'Grading Scale'!E$14*100,0), "")</f>
        <v/>
      </c>
      <c r="T758" s="6" t="str">
        <f>IF(ISNUMBER(S758),VLOOKUP(S758,'Grading Scale'!$A$2:$B$14, 2), "")</f>
        <v/>
      </c>
      <c r="U758" s="7"/>
      <c r="V758" s="7"/>
      <c r="W758" s="7"/>
      <c r="X758" s="7"/>
      <c r="Y758" s="7"/>
      <c r="Z758" s="7"/>
      <c r="AA758" s="7"/>
      <c r="AB758" s="7"/>
      <c r="AC758" s="7"/>
      <c r="AD758" s="7"/>
      <c r="AE758" s="7"/>
      <c r="AF758" s="7"/>
      <c r="AG758" s="7"/>
      <c r="AH758" s="7"/>
      <c r="AI758" s="7"/>
      <c r="AJ758" s="7"/>
    </row>
    <row r="759">
      <c r="A759" s="7"/>
      <c r="B759" s="7"/>
      <c r="C759" s="7"/>
      <c r="D759" s="6" t="str">
        <f>IF(NOT(ISBLANK(C759)), VLOOKUP(C759,'Dataset Descriptions'!$A$2:$B$10, 2, FALSE), "")</f>
        <v/>
      </c>
      <c r="E759" s="7"/>
      <c r="F759" s="7"/>
      <c r="G759" s="7"/>
      <c r="H759" s="7"/>
      <c r="I759" s="7"/>
      <c r="J759" s="7"/>
      <c r="K759" s="7"/>
      <c r="L759" s="7"/>
      <c r="M759" s="7"/>
      <c r="N759" s="7"/>
      <c r="O759" s="7"/>
      <c r="P759" s="7"/>
      <c r="Q759" s="7"/>
      <c r="R759" s="8"/>
      <c r="S759" s="6" t="str">
        <f>IF(NOT(ISBLANK(E759)), ROUND(((IF(E759="yes",1,0)*'Grading Scale'!E$2)+(IF(F759="yes",1,0)*'Grading Scale'!E$3)+(IF(G759="yes",1,0)*'Grading Scale'!E$4)+(IF(H759="yes",1,0)*'Grading Scale'!E$5)+(IF(I759="yes",1,0)*'Grading Scale'!E$6)+(IF(J759="yes",1,0)*'Grading Scale'!E$7)+(IF(K759="yes",1,0)*'Grading Scale'!E$8)+(IF(L759="yes",1,0)*'Grading Scale'!E$9)+(IF(M759="yes",1,0)*'Grading Scale'!E$10)+(IF(N759="yes",1,0)*'Grading Scale'!E$11)+(IF(O759="yes",1,0)*'Grading Scale'!E$12)+(IF(P759="yes",1,0)*'Grading Scale'!E$13))/'Grading Scale'!E$14*100,0), "")</f>
        <v/>
      </c>
      <c r="T759" s="6" t="str">
        <f>IF(ISNUMBER(S759),VLOOKUP(S759,'Grading Scale'!$A$2:$B$14, 2), "")</f>
        <v/>
      </c>
      <c r="U759" s="7"/>
      <c r="V759" s="7"/>
      <c r="W759" s="7"/>
      <c r="X759" s="7"/>
      <c r="Y759" s="7"/>
      <c r="Z759" s="7"/>
      <c r="AA759" s="7"/>
      <c r="AB759" s="7"/>
      <c r="AC759" s="7"/>
      <c r="AD759" s="7"/>
      <c r="AE759" s="7"/>
      <c r="AF759" s="7"/>
      <c r="AG759" s="7"/>
      <c r="AH759" s="7"/>
      <c r="AI759" s="7"/>
      <c r="AJ759" s="7"/>
    </row>
    <row r="760">
      <c r="A760" s="7"/>
      <c r="B760" s="7"/>
      <c r="C760" s="7"/>
      <c r="D760" s="6" t="str">
        <f>IF(NOT(ISBLANK(C760)), VLOOKUP(C760,'Dataset Descriptions'!$A$2:$B$10, 2, FALSE), "")</f>
        <v/>
      </c>
      <c r="E760" s="7"/>
      <c r="F760" s="7"/>
      <c r="G760" s="7"/>
      <c r="H760" s="7"/>
      <c r="I760" s="7"/>
      <c r="J760" s="7"/>
      <c r="K760" s="7"/>
      <c r="L760" s="7"/>
      <c r="M760" s="7"/>
      <c r="N760" s="7"/>
      <c r="O760" s="7"/>
      <c r="P760" s="7"/>
      <c r="Q760" s="7"/>
      <c r="R760" s="8"/>
      <c r="S760" s="6" t="str">
        <f>IF(NOT(ISBLANK(E760)), ROUND(((IF(E760="yes",1,0)*'Grading Scale'!E$2)+(IF(F760="yes",1,0)*'Grading Scale'!E$3)+(IF(G760="yes",1,0)*'Grading Scale'!E$4)+(IF(H760="yes",1,0)*'Grading Scale'!E$5)+(IF(I760="yes",1,0)*'Grading Scale'!E$6)+(IF(J760="yes",1,0)*'Grading Scale'!E$7)+(IF(K760="yes",1,0)*'Grading Scale'!E$8)+(IF(L760="yes",1,0)*'Grading Scale'!E$9)+(IF(M760="yes",1,0)*'Grading Scale'!E$10)+(IF(N760="yes",1,0)*'Grading Scale'!E$11)+(IF(O760="yes",1,0)*'Grading Scale'!E$12)+(IF(P760="yes",1,0)*'Grading Scale'!E$13))/'Grading Scale'!E$14*100,0), "")</f>
        <v/>
      </c>
      <c r="T760" s="6" t="str">
        <f>IF(ISNUMBER(S760),VLOOKUP(S760,'Grading Scale'!$A$2:$B$14, 2), "")</f>
        <v/>
      </c>
      <c r="U760" s="7"/>
      <c r="V760" s="7"/>
      <c r="W760" s="7"/>
      <c r="X760" s="7"/>
      <c r="Y760" s="7"/>
      <c r="Z760" s="7"/>
      <c r="AA760" s="7"/>
      <c r="AB760" s="7"/>
      <c r="AC760" s="7"/>
      <c r="AD760" s="7"/>
      <c r="AE760" s="7"/>
      <c r="AF760" s="7"/>
      <c r="AG760" s="7"/>
      <c r="AH760" s="7"/>
      <c r="AI760" s="7"/>
      <c r="AJ760" s="7"/>
    </row>
    <row r="761">
      <c r="A761" s="7"/>
      <c r="B761" s="7"/>
      <c r="C761" s="7"/>
      <c r="D761" s="6" t="str">
        <f>IF(NOT(ISBLANK(C761)), VLOOKUP(C761,'Dataset Descriptions'!$A$2:$B$10, 2, FALSE), "")</f>
        <v/>
      </c>
      <c r="E761" s="7"/>
      <c r="F761" s="7"/>
      <c r="G761" s="7"/>
      <c r="H761" s="7"/>
      <c r="I761" s="7"/>
      <c r="J761" s="7"/>
      <c r="K761" s="7"/>
      <c r="L761" s="7"/>
      <c r="M761" s="7"/>
      <c r="N761" s="7"/>
      <c r="O761" s="7"/>
      <c r="P761" s="7"/>
      <c r="Q761" s="7"/>
      <c r="R761" s="8"/>
      <c r="S761" s="6" t="str">
        <f>IF(NOT(ISBLANK(E761)), ROUND(((IF(E761="yes",1,0)*'Grading Scale'!E$2)+(IF(F761="yes",1,0)*'Grading Scale'!E$3)+(IF(G761="yes",1,0)*'Grading Scale'!E$4)+(IF(H761="yes",1,0)*'Grading Scale'!E$5)+(IF(I761="yes",1,0)*'Grading Scale'!E$6)+(IF(J761="yes",1,0)*'Grading Scale'!E$7)+(IF(K761="yes",1,0)*'Grading Scale'!E$8)+(IF(L761="yes",1,0)*'Grading Scale'!E$9)+(IF(M761="yes",1,0)*'Grading Scale'!E$10)+(IF(N761="yes",1,0)*'Grading Scale'!E$11)+(IF(O761="yes",1,0)*'Grading Scale'!E$12)+(IF(P761="yes",1,0)*'Grading Scale'!E$13))/'Grading Scale'!E$14*100,0), "")</f>
        <v/>
      </c>
      <c r="T761" s="6" t="str">
        <f>IF(ISNUMBER(S761),VLOOKUP(S761,'Grading Scale'!$A$2:$B$14, 2), "")</f>
        <v/>
      </c>
      <c r="U761" s="7"/>
      <c r="V761" s="7"/>
      <c r="W761" s="7"/>
      <c r="X761" s="7"/>
      <c r="Y761" s="7"/>
      <c r="Z761" s="7"/>
      <c r="AA761" s="7"/>
      <c r="AB761" s="7"/>
      <c r="AC761" s="7"/>
      <c r="AD761" s="7"/>
      <c r="AE761" s="7"/>
      <c r="AF761" s="7"/>
      <c r="AG761" s="7"/>
      <c r="AH761" s="7"/>
      <c r="AI761" s="7"/>
      <c r="AJ761" s="7"/>
    </row>
    <row r="762">
      <c r="A762" s="7"/>
      <c r="B762" s="7"/>
      <c r="C762" s="7"/>
      <c r="D762" s="6" t="str">
        <f>IF(NOT(ISBLANK(C762)), VLOOKUP(C762,'Dataset Descriptions'!$A$2:$B$10, 2, FALSE), "")</f>
        <v/>
      </c>
      <c r="E762" s="7"/>
      <c r="F762" s="7"/>
      <c r="G762" s="7"/>
      <c r="H762" s="7"/>
      <c r="I762" s="7"/>
      <c r="J762" s="7"/>
      <c r="K762" s="7"/>
      <c r="L762" s="7"/>
      <c r="M762" s="7"/>
      <c r="N762" s="7"/>
      <c r="O762" s="7"/>
      <c r="P762" s="7"/>
      <c r="Q762" s="7"/>
      <c r="R762" s="8"/>
      <c r="S762" s="6" t="str">
        <f>IF(NOT(ISBLANK(E762)), ROUND(((IF(E762="yes",1,0)*'Grading Scale'!E$2)+(IF(F762="yes",1,0)*'Grading Scale'!E$3)+(IF(G762="yes",1,0)*'Grading Scale'!E$4)+(IF(H762="yes",1,0)*'Grading Scale'!E$5)+(IF(I762="yes",1,0)*'Grading Scale'!E$6)+(IF(J762="yes",1,0)*'Grading Scale'!E$7)+(IF(K762="yes",1,0)*'Grading Scale'!E$8)+(IF(L762="yes",1,0)*'Grading Scale'!E$9)+(IF(M762="yes",1,0)*'Grading Scale'!E$10)+(IF(N762="yes",1,0)*'Grading Scale'!E$11)+(IF(O762="yes",1,0)*'Grading Scale'!E$12)+(IF(P762="yes",1,0)*'Grading Scale'!E$13))/'Grading Scale'!E$14*100,0), "")</f>
        <v/>
      </c>
      <c r="T762" s="6" t="str">
        <f>IF(ISNUMBER(S762),VLOOKUP(S762,'Grading Scale'!$A$2:$B$14, 2), "")</f>
        <v/>
      </c>
      <c r="U762" s="7"/>
      <c r="V762" s="7"/>
      <c r="W762" s="7"/>
      <c r="X762" s="7"/>
      <c r="Y762" s="7"/>
      <c r="Z762" s="7"/>
      <c r="AA762" s="7"/>
      <c r="AB762" s="7"/>
      <c r="AC762" s="7"/>
      <c r="AD762" s="7"/>
      <c r="AE762" s="7"/>
      <c r="AF762" s="7"/>
      <c r="AG762" s="7"/>
      <c r="AH762" s="7"/>
      <c r="AI762" s="7"/>
      <c r="AJ762" s="7"/>
    </row>
    <row r="763">
      <c r="A763" s="7"/>
      <c r="B763" s="7"/>
      <c r="C763" s="7"/>
      <c r="D763" s="6" t="str">
        <f>IF(NOT(ISBLANK(C763)), VLOOKUP(C763,'Dataset Descriptions'!$A$2:$B$10, 2, FALSE), "")</f>
        <v/>
      </c>
      <c r="E763" s="7"/>
      <c r="F763" s="7"/>
      <c r="G763" s="7"/>
      <c r="H763" s="7"/>
      <c r="I763" s="7"/>
      <c r="J763" s="7"/>
      <c r="K763" s="7"/>
      <c r="L763" s="7"/>
      <c r="M763" s="7"/>
      <c r="N763" s="7"/>
      <c r="O763" s="7"/>
      <c r="P763" s="7"/>
      <c r="Q763" s="7"/>
      <c r="R763" s="8"/>
      <c r="S763" s="6" t="str">
        <f>IF(NOT(ISBLANK(E763)), ROUND(((IF(E763="yes",1,0)*'Grading Scale'!E$2)+(IF(F763="yes",1,0)*'Grading Scale'!E$3)+(IF(G763="yes",1,0)*'Grading Scale'!E$4)+(IF(H763="yes",1,0)*'Grading Scale'!E$5)+(IF(I763="yes",1,0)*'Grading Scale'!E$6)+(IF(J763="yes",1,0)*'Grading Scale'!E$7)+(IF(K763="yes",1,0)*'Grading Scale'!E$8)+(IF(L763="yes",1,0)*'Grading Scale'!E$9)+(IF(M763="yes",1,0)*'Grading Scale'!E$10)+(IF(N763="yes",1,0)*'Grading Scale'!E$11)+(IF(O763="yes",1,0)*'Grading Scale'!E$12)+(IF(P763="yes",1,0)*'Grading Scale'!E$13))/'Grading Scale'!E$14*100,0), "")</f>
        <v/>
      </c>
      <c r="T763" s="6" t="str">
        <f>IF(ISNUMBER(S763),VLOOKUP(S763,'Grading Scale'!$A$2:$B$14, 2), "")</f>
        <v/>
      </c>
      <c r="U763" s="7"/>
      <c r="V763" s="7"/>
      <c r="W763" s="7"/>
      <c r="X763" s="7"/>
      <c r="Y763" s="7"/>
      <c r="Z763" s="7"/>
      <c r="AA763" s="7"/>
      <c r="AB763" s="7"/>
      <c r="AC763" s="7"/>
      <c r="AD763" s="7"/>
      <c r="AE763" s="7"/>
      <c r="AF763" s="7"/>
      <c r="AG763" s="7"/>
      <c r="AH763" s="7"/>
      <c r="AI763" s="7"/>
      <c r="AJ763" s="7"/>
    </row>
    <row r="764">
      <c r="A764" s="7"/>
      <c r="B764" s="7"/>
      <c r="C764" s="7"/>
      <c r="D764" s="6" t="str">
        <f>IF(NOT(ISBLANK(C764)), VLOOKUP(C764,'Dataset Descriptions'!$A$2:$B$10, 2, FALSE), "")</f>
        <v/>
      </c>
      <c r="E764" s="7"/>
      <c r="F764" s="7"/>
      <c r="G764" s="7"/>
      <c r="H764" s="7"/>
      <c r="I764" s="7"/>
      <c r="J764" s="7"/>
      <c r="K764" s="7"/>
      <c r="L764" s="7"/>
      <c r="M764" s="7"/>
      <c r="N764" s="7"/>
      <c r="O764" s="7"/>
      <c r="P764" s="7"/>
      <c r="Q764" s="7"/>
      <c r="R764" s="8"/>
      <c r="S764" s="6" t="str">
        <f>IF(NOT(ISBLANK(E764)), ROUND(((IF(E764="yes",1,0)*'Grading Scale'!E$2)+(IF(F764="yes",1,0)*'Grading Scale'!E$3)+(IF(G764="yes",1,0)*'Grading Scale'!E$4)+(IF(H764="yes",1,0)*'Grading Scale'!E$5)+(IF(I764="yes",1,0)*'Grading Scale'!E$6)+(IF(J764="yes",1,0)*'Grading Scale'!E$7)+(IF(K764="yes",1,0)*'Grading Scale'!E$8)+(IF(L764="yes",1,0)*'Grading Scale'!E$9)+(IF(M764="yes",1,0)*'Grading Scale'!E$10)+(IF(N764="yes",1,0)*'Grading Scale'!E$11)+(IF(O764="yes",1,0)*'Grading Scale'!E$12)+(IF(P764="yes",1,0)*'Grading Scale'!E$13))/'Grading Scale'!E$14*100,0), "")</f>
        <v/>
      </c>
      <c r="T764" s="6" t="str">
        <f>IF(ISNUMBER(S764),VLOOKUP(S764,'Grading Scale'!$A$2:$B$14, 2), "")</f>
        <v/>
      </c>
      <c r="U764" s="7"/>
      <c r="V764" s="7"/>
      <c r="W764" s="7"/>
      <c r="X764" s="7"/>
      <c r="Y764" s="7"/>
      <c r="Z764" s="7"/>
      <c r="AA764" s="7"/>
      <c r="AB764" s="7"/>
      <c r="AC764" s="7"/>
      <c r="AD764" s="7"/>
      <c r="AE764" s="7"/>
      <c r="AF764" s="7"/>
      <c r="AG764" s="7"/>
      <c r="AH764" s="7"/>
      <c r="AI764" s="7"/>
      <c r="AJ764" s="7"/>
    </row>
    <row r="765">
      <c r="A765" s="7"/>
      <c r="B765" s="7"/>
      <c r="C765" s="7"/>
      <c r="D765" s="6" t="str">
        <f>IF(NOT(ISBLANK(C765)), VLOOKUP(C765,'Dataset Descriptions'!$A$2:$B$10, 2, FALSE), "")</f>
        <v/>
      </c>
      <c r="E765" s="7"/>
      <c r="F765" s="7"/>
      <c r="G765" s="7"/>
      <c r="H765" s="7"/>
      <c r="I765" s="7"/>
      <c r="J765" s="7"/>
      <c r="K765" s="7"/>
      <c r="L765" s="7"/>
      <c r="M765" s="7"/>
      <c r="N765" s="7"/>
      <c r="O765" s="7"/>
      <c r="P765" s="7"/>
      <c r="Q765" s="7"/>
      <c r="R765" s="8"/>
      <c r="S765" s="6" t="str">
        <f>IF(NOT(ISBLANK(E765)), ROUND(((IF(E765="yes",1,0)*'Grading Scale'!E$2)+(IF(F765="yes",1,0)*'Grading Scale'!E$3)+(IF(G765="yes",1,0)*'Grading Scale'!E$4)+(IF(H765="yes",1,0)*'Grading Scale'!E$5)+(IF(I765="yes",1,0)*'Grading Scale'!E$6)+(IF(J765="yes",1,0)*'Grading Scale'!E$7)+(IF(K765="yes",1,0)*'Grading Scale'!E$8)+(IF(L765="yes",1,0)*'Grading Scale'!E$9)+(IF(M765="yes",1,0)*'Grading Scale'!E$10)+(IF(N765="yes",1,0)*'Grading Scale'!E$11)+(IF(O765="yes",1,0)*'Grading Scale'!E$12)+(IF(P765="yes",1,0)*'Grading Scale'!E$13))/'Grading Scale'!E$14*100,0), "")</f>
        <v/>
      </c>
      <c r="T765" s="6" t="str">
        <f>IF(ISNUMBER(S765),VLOOKUP(S765,'Grading Scale'!$A$2:$B$14, 2), "")</f>
        <v/>
      </c>
      <c r="U765" s="7"/>
      <c r="V765" s="7"/>
      <c r="W765" s="7"/>
      <c r="X765" s="7"/>
      <c r="Y765" s="7"/>
      <c r="Z765" s="7"/>
      <c r="AA765" s="7"/>
      <c r="AB765" s="7"/>
      <c r="AC765" s="7"/>
      <c r="AD765" s="7"/>
      <c r="AE765" s="7"/>
      <c r="AF765" s="7"/>
      <c r="AG765" s="7"/>
      <c r="AH765" s="7"/>
      <c r="AI765" s="7"/>
      <c r="AJ765" s="7"/>
    </row>
    <row r="766">
      <c r="A766" s="7"/>
      <c r="B766" s="7"/>
      <c r="C766" s="7"/>
      <c r="D766" s="6" t="str">
        <f>IF(NOT(ISBLANK(C766)), VLOOKUP(C766,'Dataset Descriptions'!$A$2:$B$10, 2, FALSE), "")</f>
        <v/>
      </c>
      <c r="E766" s="7"/>
      <c r="F766" s="7"/>
      <c r="G766" s="7"/>
      <c r="H766" s="7"/>
      <c r="I766" s="7"/>
      <c r="J766" s="7"/>
      <c r="K766" s="7"/>
      <c r="L766" s="7"/>
      <c r="M766" s="7"/>
      <c r="N766" s="7"/>
      <c r="O766" s="7"/>
      <c r="P766" s="7"/>
      <c r="Q766" s="7"/>
      <c r="R766" s="8"/>
      <c r="S766" s="6" t="str">
        <f>IF(NOT(ISBLANK(E766)), ROUND(((IF(E766="yes",1,0)*'Grading Scale'!E$2)+(IF(F766="yes",1,0)*'Grading Scale'!E$3)+(IF(G766="yes",1,0)*'Grading Scale'!E$4)+(IF(H766="yes",1,0)*'Grading Scale'!E$5)+(IF(I766="yes",1,0)*'Grading Scale'!E$6)+(IF(J766="yes",1,0)*'Grading Scale'!E$7)+(IF(K766="yes",1,0)*'Grading Scale'!E$8)+(IF(L766="yes",1,0)*'Grading Scale'!E$9)+(IF(M766="yes",1,0)*'Grading Scale'!E$10)+(IF(N766="yes",1,0)*'Grading Scale'!E$11)+(IF(O766="yes",1,0)*'Grading Scale'!E$12)+(IF(P766="yes",1,0)*'Grading Scale'!E$13))/'Grading Scale'!E$14*100,0), "")</f>
        <v/>
      </c>
      <c r="T766" s="6" t="str">
        <f>IF(ISNUMBER(S766),VLOOKUP(S766,'Grading Scale'!$A$2:$B$14, 2), "")</f>
        <v/>
      </c>
      <c r="U766" s="7"/>
      <c r="V766" s="7"/>
      <c r="W766" s="7"/>
      <c r="X766" s="7"/>
      <c r="Y766" s="7"/>
      <c r="Z766" s="7"/>
      <c r="AA766" s="7"/>
      <c r="AB766" s="7"/>
      <c r="AC766" s="7"/>
      <c r="AD766" s="7"/>
      <c r="AE766" s="7"/>
      <c r="AF766" s="7"/>
      <c r="AG766" s="7"/>
      <c r="AH766" s="7"/>
      <c r="AI766" s="7"/>
      <c r="AJ766" s="7"/>
    </row>
    <row r="767">
      <c r="A767" s="7"/>
      <c r="B767" s="7"/>
      <c r="C767" s="7"/>
      <c r="D767" s="6" t="str">
        <f>IF(NOT(ISBLANK(C767)), VLOOKUP(C767,'Dataset Descriptions'!$A$2:$B$10, 2, FALSE), "")</f>
        <v/>
      </c>
      <c r="E767" s="7"/>
      <c r="F767" s="7"/>
      <c r="G767" s="7"/>
      <c r="H767" s="7"/>
      <c r="I767" s="7"/>
      <c r="J767" s="7"/>
      <c r="K767" s="7"/>
      <c r="L767" s="7"/>
      <c r="M767" s="7"/>
      <c r="N767" s="7"/>
      <c r="O767" s="7"/>
      <c r="P767" s="7"/>
      <c r="Q767" s="7"/>
      <c r="R767" s="8"/>
      <c r="S767" s="6" t="str">
        <f>IF(NOT(ISBLANK(E767)), ROUND(((IF(E767="yes",1,0)*'Grading Scale'!E$2)+(IF(F767="yes",1,0)*'Grading Scale'!E$3)+(IF(G767="yes",1,0)*'Grading Scale'!E$4)+(IF(H767="yes",1,0)*'Grading Scale'!E$5)+(IF(I767="yes",1,0)*'Grading Scale'!E$6)+(IF(J767="yes",1,0)*'Grading Scale'!E$7)+(IF(K767="yes",1,0)*'Grading Scale'!E$8)+(IF(L767="yes",1,0)*'Grading Scale'!E$9)+(IF(M767="yes",1,0)*'Grading Scale'!E$10)+(IF(N767="yes",1,0)*'Grading Scale'!E$11)+(IF(O767="yes",1,0)*'Grading Scale'!E$12)+(IF(P767="yes",1,0)*'Grading Scale'!E$13))/'Grading Scale'!E$14*100,0), "")</f>
        <v/>
      </c>
      <c r="T767" s="6" t="str">
        <f>IF(ISNUMBER(S767),VLOOKUP(S767,'Grading Scale'!$A$2:$B$14, 2), "")</f>
        <v/>
      </c>
      <c r="U767" s="7"/>
      <c r="V767" s="7"/>
      <c r="W767" s="7"/>
      <c r="X767" s="7"/>
      <c r="Y767" s="7"/>
      <c r="Z767" s="7"/>
      <c r="AA767" s="7"/>
      <c r="AB767" s="7"/>
      <c r="AC767" s="7"/>
      <c r="AD767" s="7"/>
      <c r="AE767" s="7"/>
      <c r="AF767" s="7"/>
      <c r="AG767" s="7"/>
      <c r="AH767" s="7"/>
      <c r="AI767" s="7"/>
      <c r="AJ767" s="7"/>
    </row>
    <row r="768">
      <c r="A768" s="7"/>
      <c r="B768" s="7"/>
      <c r="C768" s="7"/>
      <c r="D768" s="6" t="str">
        <f>IF(NOT(ISBLANK(C768)), VLOOKUP(C768,'Dataset Descriptions'!$A$2:$B$10, 2, FALSE), "")</f>
        <v/>
      </c>
      <c r="E768" s="7"/>
      <c r="F768" s="7"/>
      <c r="G768" s="7"/>
      <c r="H768" s="7"/>
      <c r="I768" s="7"/>
      <c r="J768" s="7"/>
      <c r="K768" s="7"/>
      <c r="L768" s="7"/>
      <c r="M768" s="7"/>
      <c r="N768" s="7"/>
      <c r="O768" s="7"/>
      <c r="P768" s="7"/>
      <c r="Q768" s="7"/>
      <c r="R768" s="8"/>
      <c r="S768" s="6" t="str">
        <f>IF(NOT(ISBLANK(E768)), ROUND(((IF(E768="yes",1,0)*'Grading Scale'!E$2)+(IF(F768="yes",1,0)*'Grading Scale'!E$3)+(IF(G768="yes",1,0)*'Grading Scale'!E$4)+(IF(H768="yes",1,0)*'Grading Scale'!E$5)+(IF(I768="yes",1,0)*'Grading Scale'!E$6)+(IF(J768="yes",1,0)*'Grading Scale'!E$7)+(IF(K768="yes",1,0)*'Grading Scale'!E$8)+(IF(L768="yes",1,0)*'Grading Scale'!E$9)+(IF(M768="yes",1,0)*'Grading Scale'!E$10)+(IF(N768="yes",1,0)*'Grading Scale'!E$11)+(IF(O768="yes",1,0)*'Grading Scale'!E$12)+(IF(P768="yes",1,0)*'Grading Scale'!E$13))/'Grading Scale'!E$14*100,0), "")</f>
        <v/>
      </c>
      <c r="T768" s="6" t="str">
        <f>IF(ISNUMBER(S768),VLOOKUP(S768,'Grading Scale'!$A$2:$B$14, 2), "")</f>
        <v/>
      </c>
      <c r="U768" s="7"/>
      <c r="V768" s="7"/>
      <c r="W768" s="7"/>
      <c r="X768" s="7"/>
      <c r="Y768" s="7"/>
      <c r="Z768" s="7"/>
      <c r="AA768" s="7"/>
      <c r="AB768" s="7"/>
      <c r="AC768" s="7"/>
      <c r="AD768" s="7"/>
      <c r="AE768" s="7"/>
      <c r="AF768" s="7"/>
      <c r="AG768" s="7"/>
      <c r="AH768" s="7"/>
      <c r="AI768" s="7"/>
      <c r="AJ768" s="7"/>
    </row>
    <row r="769">
      <c r="A769" s="7"/>
      <c r="B769" s="7"/>
      <c r="C769" s="7"/>
      <c r="D769" s="6" t="str">
        <f>IF(NOT(ISBLANK(C769)), VLOOKUP(C769,'Dataset Descriptions'!$A$2:$B$10, 2, FALSE), "")</f>
        <v/>
      </c>
      <c r="E769" s="7"/>
      <c r="F769" s="7"/>
      <c r="G769" s="7"/>
      <c r="H769" s="7"/>
      <c r="I769" s="7"/>
      <c r="J769" s="7"/>
      <c r="K769" s="7"/>
      <c r="L769" s="7"/>
      <c r="M769" s="7"/>
      <c r="N769" s="7"/>
      <c r="O769" s="7"/>
      <c r="P769" s="7"/>
      <c r="Q769" s="7"/>
      <c r="R769" s="8"/>
      <c r="S769" s="6" t="str">
        <f>IF(NOT(ISBLANK(E769)), ROUND(((IF(E769="yes",1,0)*'Grading Scale'!E$2)+(IF(F769="yes",1,0)*'Grading Scale'!E$3)+(IF(G769="yes",1,0)*'Grading Scale'!E$4)+(IF(H769="yes",1,0)*'Grading Scale'!E$5)+(IF(I769="yes",1,0)*'Grading Scale'!E$6)+(IF(J769="yes",1,0)*'Grading Scale'!E$7)+(IF(K769="yes",1,0)*'Grading Scale'!E$8)+(IF(L769="yes",1,0)*'Grading Scale'!E$9)+(IF(M769="yes",1,0)*'Grading Scale'!E$10)+(IF(N769="yes",1,0)*'Grading Scale'!E$11)+(IF(O769="yes",1,0)*'Grading Scale'!E$12)+(IF(P769="yes",1,0)*'Grading Scale'!E$13))/'Grading Scale'!E$14*100,0), "")</f>
        <v/>
      </c>
      <c r="T769" s="6" t="str">
        <f>IF(ISNUMBER(S769),VLOOKUP(S769,'Grading Scale'!$A$2:$B$14, 2), "")</f>
        <v/>
      </c>
      <c r="U769" s="7"/>
      <c r="V769" s="7"/>
      <c r="W769" s="7"/>
      <c r="X769" s="7"/>
      <c r="Y769" s="7"/>
      <c r="Z769" s="7"/>
      <c r="AA769" s="7"/>
      <c r="AB769" s="7"/>
      <c r="AC769" s="7"/>
      <c r="AD769" s="7"/>
      <c r="AE769" s="7"/>
      <c r="AF769" s="7"/>
      <c r="AG769" s="7"/>
      <c r="AH769" s="7"/>
      <c r="AI769" s="7"/>
      <c r="AJ769" s="7"/>
    </row>
    <row r="770">
      <c r="A770" s="7"/>
      <c r="B770" s="7"/>
      <c r="C770" s="7"/>
      <c r="D770" s="6" t="str">
        <f>IF(NOT(ISBLANK(C770)), VLOOKUP(C770,'Dataset Descriptions'!$A$2:$B$10, 2, FALSE), "")</f>
        <v/>
      </c>
      <c r="E770" s="7"/>
      <c r="F770" s="7"/>
      <c r="G770" s="7"/>
      <c r="H770" s="7"/>
      <c r="I770" s="7"/>
      <c r="J770" s="7"/>
      <c r="K770" s="7"/>
      <c r="L770" s="7"/>
      <c r="M770" s="7"/>
      <c r="N770" s="7"/>
      <c r="O770" s="7"/>
      <c r="P770" s="7"/>
      <c r="Q770" s="7"/>
      <c r="R770" s="8"/>
      <c r="S770" s="6" t="str">
        <f>IF(NOT(ISBLANK(E770)), ROUND(((IF(E770="yes",1,0)*'Grading Scale'!E$2)+(IF(F770="yes",1,0)*'Grading Scale'!E$3)+(IF(G770="yes",1,0)*'Grading Scale'!E$4)+(IF(H770="yes",1,0)*'Grading Scale'!E$5)+(IF(I770="yes",1,0)*'Grading Scale'!E$6)+(IF(J770="yes",1,0)*'Grading Scale'!E$7)+(IF(K770="yes",1,0)*'Grading Scale'!E$8)+(IF(L770="yes",1,0)*'Grading Scale'!E$9)+(IF(M770="yes",1,0)*'Grading Scale'!E$10)+(IF(N770="yes",1,0)*'Grading Scale'!E$11)+(IF(O770="yes",1,0)*'Grading Scale'!E$12)+(IF(P770="yes",1,0)*'Grading Scale'!E$13))/'Grading Scale'!E$14*100,0), "")</f>
        <v/>
      </c>
      <c r="T770" s="6" t="str">
        <f>IF(ISNUMBER(S770),VLOOKUP(S770,'Grading Scale'!$A$2:$B$14, 2), "")</f>
        <v/>
      </c>
      <c r="U770" s="7"/>
      <c r="V770" s="7"/>
      <c r="W770" s="7"/>
      <c r="X770" s="7"/>
      <c r="Y770" s="7"/>
      <c r="Z770" s="7"/>
      <c r="AA770" s="7"/>
      <c r="AB770" s="7"/>
      <c r="AC770" s="7"/>
      <c r="AD770" s="7"/>
      <c r="AE770" s="7"/>
      <c r="AF770" s="7"/>
      <c r="AG770" s="7"/>
      <c r="AH770" s="7"/>
      <c r="AI770" s="7"/>
      <c r="AJ770" s="7"/>
    </row>
    <row r="771">
      <c r="A771" s="7"/>
      <c r="B771" s="7"/>
      <c r="C771" s="7"/>
      <c r="D771" s="6" t="str">
        <f>IF(NOT(ISBLANK(C771)), VLOOKUP(C771,'Dataset Descriptions'!$A$2:$B$10, 2, FALSE), "")</f>
        <v/>
      </c>
      <c r="E771" s="7"/>
      <c r="F771" s="7"/>
      <c r="G771" s="7"/>
      <c r="H771" s="7"/>
      <c r="I771" s="7"/>
      <c r="J771" s="7"/>
      <c r="K771" s="7"/>
      <c r="L771" s="7"/>
      <c r="M771" s="7"/>
      <c r="N771" s="7"/>
      <c r="O771" s="7"/>
      <c r="P771" s="7"/>
      <c r="Q771" s="7"/>
      <c r="R771" s="8"/>
      <c r="S771" s="6" t="str">
        <f>IF(NOT(ISBLANK(E771)), ROUND(((IF(E771="yes",1,0)*'Grading Scale'!E$2)+(IF(F771="yes",1,0)*'Grading Scale'!E$3)+(IF(G771="yes",1,0)*'Grading Scale'!E$4)+(IF(H771="yes",1,0)*'Grading Scale'!E$5)+(IF(I771="yes",1,0)*'Grading Scale'!E$6)+(IF(J771="yes",1,0)*'Grading Scale'!E$7)+(IF(K771="yes",1,0)*'Grading Scale'!E$8)+(IF(L771="yes",1,0)*'Grading Scale'!E$9)+(IF(M771="yes",1,0)*'Grading Scale'!E$10)+(IF(N771="yes",1,0)*'Grading Scale'!E$11)+(IF(O771="yes",1,0)*'Grading Scale'!E$12)+(IF(P771="yes",1,0)*'Grading Scale'!E$13))/'Grading Scale'!E$14*100,0), "")</f>
        <v/>
      </c>
      <c r="T771" s="6" t="str">
        <f>IF(ISNUMBER(S771),VLOOKUP(S771,'Grading Scale'!$A$2:$B$14, 2), "")</f>
        <v/>
      </c>
      <c r="U771" s="7"/>
      <c r="V771" s="7"/>
      <c r="W771" s="7"/>
      <c r="X771" s="7"/>
      <c r="Y771" s="7"/>
      <c r="Z771" s="7"/>
      <c r="AA771" s="7"/>
      <c r="AB771" s="7"/>
      <c r="AC771" s="7"/>
      <c r="AD771" s="7"/>
      <c r="AE771" s="7"/>
      <c r="AF771" s="7"/>
      <c r="AG771" s="7"/>
      <c r="AH771" s="7"/>
      <c r="AI771" s="7"/>
      <c r="AJ771" s="7"/>
    </row>
    <row r="772">
      <c r="A772" s="7"/>
      <c r="B772" s="7"/>
      <c r="C772" s="7"/>
      <c r="D772" s="6" t="str">
        <f>IF(NOT(ISBLANK(C772)), VLOOKUP(C772,'Dataset Descriptions'!$A$2:$B$10, 2, FALSE), "")</f>
        <v/>
      </c>
      <c r="E772" s="7"/>
      <c r="F772" s="7"/>
      <c r="G772" s="7"/>
      <c r="H772" s="7"/>
      <c r="I772" s="7"/>
      <c r="J772" s="7"/>
      <c r="K772" s="7"/>
      <c r="L772" s="7"/>
      <c r="M772" s="7"/>
      <c r="N772" s="7"/>
      <c r="O772" s="7"/>
      <c r="P772" s="7"/>
      <c r="Q772" s="7"/>
      <c r="R772" s="8"/>
      <c r="S772" s="6" t="str">
        <f>IF(NOT(ISBLANK(E772)), ROUND(((IF(E772="yes",1,0)*'Grading Scale'!E$2)+(IF(F772="yes",1,0)*'Grading Scale'!E$3)+(IF(G772="yes",1,0)*'Grading Scale'!E$4)+(IF(H772="yes",1,0)*'Grading Scale'!E$5)+(IF(I772="yes",1,0)*'Grading Scale'!E$6)+(IF(J772="yes",1,0)*'Grading Scale'!E$7)+(IF(K772="yes",1,0)*'Grading Scale'!E$8)+(IF(L772="yes",1,0)*'Grading Scale'!E$9)+(IF(M772="yes",1,0)*'Grading Scale'!E$10)+(IF(N772="yes",1,0)*'Grading Scale'!E$11)+(IF(O772="yes",1,0)*'Grading Scale'!E$12)+(IF(P772="yes",1,0)*'Grading Scale'!E$13))/'Grading Scale'!E$14*100,0), "")</f>
        <v/>
      </c>
      <c r="T772" s="6" t="str">
        <f>IF(ISNUMBER(S772),VLOOKUP(S772,'Grading Scale'!$A$2:$B$14, 2), "")</f>
        <v/>
      </c>
      <c r="U772" s="7"/>
      <c r="V772" s="7"/>
      <c r="W772" s="7"/>
      <c r="X772" s="7"/>
      <c r="Y772" s="7"/>
      <c r="Z772" s="7"/>
      <c r="AA772" s="7"/>
      <c r="AB772" s="7"/>
      <c r="AC772" s="7"/>
      <c r="AD772" s="7"/>
      <c r="AE772" s="7"/>
      <c r="AF772" s="7"/>
      <c r="AG772" s="7"/>
      <c r="AH772" s="7"/>
      <c r="AI772" s="7"/>
      <c r="AJ772" s="7"/>
    </row>
    <row r="773">
      <c r="A773" s="7"/>
      <c r="B773" s="7"/>
      <c r="C773" s="7"/>
      <c r="D773" s="6" t="str">
        <f>IF(NOT(ISBLANK(C773)), VLOOKUP(C773,'Dataset Descriptions'!$A$2:$B$10, 2, FALSE), "")</f>
        <v/>
      </c>
      <c r="E773" s="7"/>
      <c r="F773" s="7"/>
      <c r="G773" s="7"/>
      <c r="H773" s="7"/>
      <c r="I773" s="7"/>
      <c r="J773" s="7"/>
      <c r="K773" s="7"/>
      <c r="L773" s="7"/>
      <c r="M773" s="7"/>
      <c r="N773" s="7"/>
      <c r="O773" s="7"/>
      <c r="P773" s="7"/>
      <c r="Q773" s="7"/>
      <c r="R773" s="8"/>
      <c r="S773" s="6" t="str">
        <f>IF(NOT(ISBLANK(E773)), ROUND(((IF(E773="yes",1,0)*'Grading Scale'!E$2)+(IF(F773="yes",1,0)*'Grading Scale'!E$3)+(IF(G773="yes",1,0)*'Grading Scale'!E$4)+(IF(H773="yes",1,0)*'Grading Scale'!E$5)+(IF(I773="yes",1,0)*'Grading Scale'!E$6)+(IF(J773="yes",1,0)*'Grading Scale'!E$7)+(IF(K773="yes",1,0)*'Grading Scale'!E$8)+(IF(L773="yes",1,0)*'Grading Scale'!E$9)+(IF(M773="yes",1,0)*'Grading Scale'!E$10)+(IF(N773="yes",1,0)*'Grading Scale'!E$11)+(IF(O773="yes",1,0)*'Grading Scale'!E$12)+(IF(P773="yes",1,0)*'Grading Scale'!E$13))/'Grading Scale'!E$14*100,0), "")</f>
        <v/>
      </c>
      <c r="T773" s="6" t="str">
        <f>IF(ISNUMBER(S773),VLOOKUP(S773,'Grading Scale'!$A$2:$B$14, 2), "")</f>
        <v/>
      </c>
      <c r="U773" s="7"/>
      <c r="V773" s="7"/>
      <c r="W773" s="7"/>
      <c r="X773" s="7"/>
      <c r="Y773" s="7"/>
      <c r="Z773" s="7"/>
      <c r="AA773" s="7"/>
      <c r="AB773" s="7"/>
      <c r="AC773" s="7"/>
      <c r="AD773" s="7"/>
      <c r="AE773" s="7"/>
      <c r="AF773" s="7"/>
      <c r="AG773" s="7"/>
      <c r="AH773" s="7"/>
      <c r="AI773" s="7"/>
      <c r="AJ773" s="7"/>
    </row>
    <row r="774">
      <c r="A774" s="7"/>
      <c r="B774" s="7"/>
      <c r="C774" s="7"/>
      <c r="D774" s="6" t="str">
        <f>IF(NOT(ISBLANK(C774)), VLOOKUP(C774,'Dataset Descriptions'!$A$2:$B$10, 2, FALSE), "")</f>
        <v/>
      </c>
      <c r="E774" s="7"/>
      <c r="F774" s="7"/>
      <c r="G774" s="7"/>
      <c r="H774" s="7"/>
      <c r="I774" s="7"/>
      <c r="J774" s="7"/>
      <c r="K774" s="7"/>
      <c r="L774" s="7"/>
      <c r="M774" s="7"/>
      <c r="N774" s="7"/>
      <c r="O774" s="7"/>
      <c r="P774" s="7"/>
      <c r="Q774" s="7"/>
      <c r="R774" s="8"/>
      <c r="S774" s="6" t="str">
        <f>IF(NOT(ISBLANK(E774)), ROUND(((IF(E774="yes",1,0)*'Grading Scale'!E$2)+(IF(F774="yes",1,0)*'Grading Scale'!E$3)+(IF(G774="yes",1,0)*'Grading Scale'!E$4)+(IF(H774="yes",1,0)*'Grading Scale'!E$5)+(IF(I774="yes",1,0)*'Grading Scale'!E$6)+(IF(J774="yes",1,0)*'Grading Scale'!E$7)+(IF(K774="yes",1,0)*'Grading Scale'!E$8)+(IF(L774="yes",1,0)*'Grading Scale'!E$9)+(IF(M774="yes",1,0)*'Grading Scale'!E$10)+(IF(N774="yes",1,0)*'Grading Scale'!E$11)+(IF(O774="yes",1,0)*'Grading Scale'!E$12)+(IF(P774="yes",1,0)*'Grading Scale'!E$13))/'Grading Scale'!E$14*100,0), "")</f>
        <v/>
      </c>
      <c r="T774" s="6" t="str">
        <f>IF(ISNUMBER(S774),VLOOKUP(S774,'Grading Scale'!$A$2:$B$14, 2), "")</f>
        <v/>
      </c>
      <c r="U774" s="7"/>
      <c r="V774" s="7"/>
      <c r="W774" s="7"/>
      <c r="X774" s="7"/>
      <c r="Y774" s="7"/>
      <c r="Z774" s="7"/>
      <c r="AA774" s="7"/>
      <c r="AB774" s="7"/>
      <c r="AC774" s="7"/>
      <c r="AD774" s="7"/>
      <c r="AE774" s="7"/>
      <c r="AF774" s="7"/>
      <c r="AG774" s="7"/>
      <c r="AH774" s="7"/>
      <c r="AI774" s="7"/>
      <c r="AJ774" s="7"/>
    </row>
    <row r="775">
      <c r="A775" s="7"/>
      <c r="B775" s="7"/>
      <c r="C775" s="7"/>
      <c r="D775" s="6" t="str">
        <f>IF(NOT(ISBLANK(C775)), VLOOKUP(C775,'Dataset Descriptions'!$A$2:$B$10, 2, FALSE), "")</f>
        <v/>
      </c>
      <c r="E775" s="7"/>
      <c r="F775" s="7"/>
      <c r="G775" s="7"/>
      <c r="H775" s="7"/>
      <c r="I775" s="7"/>
      <c r="J775" s="7"/>
      <c r="K775" s="7"/>
      <c r="L775" s="7"/>
      <c r="M775" s="7"/>
      <c r="N775" s="7"/>
      <c r="O775" s="7"/>
      <c r="P775" s="7"/>
      <c r="Q775" s="7"/>
      <c r="R775" s="8"/>
      <c r="S775" s="6" t="str">
        <f>IF(NOT(ISBLANK(E775)), ROUND(((IF(E775="yes",1,0)*'Grading Scale'!E$2)+(IF(F775="yes",1,0)*'Grading Scale'!E$3)+(IF(G775="yes",1,0)*'Grading Scale'!E$4)+(IF(H775="yes",1,0)*'Grading Scale'!E$5)+(IF(I775="yes",1,0)*'Grading Scale'!E$6)+(IF(J775="yes",1,0)*'Grading Scale'!E$7)+(IF(K775="yes",1,0)*'Grading Scale'!E$8)+(IF(L775="yes",1,0)*'Grading Scale'!E$9)+(IF(M775="yes",1,0)*'Grading Scale'!E$10)+(IF(N775="yes",1,0)*'Grading Scale'!E$11)+(IF(O775="yes",1,0)*'Grading Scale'!E$12)+(IF(P775="yes",1,0)*'Grading Scale'!E$13))/'Grading Scale'!E$14*100,0), "")</f>
        <v/>
      </c>
      <c r="T775" s="6" t="str">
        <f>IF(ISNUMBER(S775),VLOOKUP(S775,'Grading Scale'!$A$2:$B$14, 2), "")</f>
        <v/>
      </c>
      <c r="U775" s="7"/>
      <c r="V775" s="7"/>
      <c r="W775" s="7"/>
      <c r="X775" s="7"/>
      <c r="Y775" s="7"/>
      <c r="Z775" s="7"/>
      <c r="AA775" s="7"/>
      <c r="AB775" s="7"/>
      <c r="AC775" s="7"/>
      <c r="AD775" s="7"/>
      <c r="AE775" s="7"/>
      <c r="AF775" s="7"/>
      <c r="AG775" s="7"/>
      <c r="AH775" s="7"/>
      <c r="AI775" s="7"/>
      <c r="AJ775" s="7"/>
    </row>
    <row r="776">
      <c r="A776" s="7"/>
      <c r="B776" s="7"/>
      <c r="C776" s="7"/>
      <c r="D776" s="6" t="str">
        <f>IF(NOT(ISBLANK(C776)), VLOOKUP(C776,'Dataset Descriptions'!$A$2:$B$10, 2, FALSE), "")</f>
        <v/>
      </c>
      <c r="E776" s="7"/>
      <c r="F776" s="7"/>
      <c r="G776" s="7"/>
      <c r="H776" s="7"/>
      <c r="I776" s="7"/>
      <c r="J776" s="7"/>
      <c r="K776" s="7"/>
      <c r="L776" s="7"/>
      <c r="M776" s="7"/>
      <c r="N776" s="7"/>
      <c r="O776" s="7"/>
      <c r="P776" s="7"/>
      <c r="Q776" s="7"/>
      <c r="R776" s="8"/>
      <c r="S776" s="6" t="str">
        <f>IF(NOT(ISBLANK(E776)), ROUND(((IF(E776="yes",1,0)*'Grading Scale'!E$2)+(IF(F776="yes",1,0)*'Grading Scale'!E$3)+(IF(G776="yes",1,0)*'Grading Scale'!E$4)+(IF(H776="yes",1,0)*'Grading Scale'!E$5)+(IF(I776="yes",1,0)*'Grading Scale'!E$6)+(IF(J776="yes",1,0)*'Grading Scale'!E$7)+(IF(K776="yes",1,0)*'Grading Scale'!E$8)+(IF(L776="yes",1,0)*'Grading Scale'!E$9)+(IF(M776="yes",1,0)*'Grading Scale'!E$10)+(IF(N776="yes",1,0)*'Grading Scale'!E$11)+(IF(O776="yes",1,0)*'Grading Scale'!E$12)+(IF(P776="yes",1,0)*'Grading Scale'!E$13))/'Grading Scale'!E$14*100,0), "")</f>
        <v/>
      </c>
      <c r="T776" s="6" t="str">
        <f>IF(ISNUMBER(S776),VLOOKUP(S776,'Grading Scale'!$A$2:$B$14, 2), "")</f>
        <v/>
      </c>
      <c r="U776" s="7"/>
      <c r="V776" s="7"/>
      <c r="W776" s="7"/>
      <c r="X776" s="7"/>
      <c r="Y776" s="7"/>
      <c r="Z776" s="7"/>
      <c r="AA776" s="7"/>
      <c r="AB776" s="7"/>
      <c r="AC776" s="7"/>
      <c r="AD776" s="7"/>
      <c r="AE776" s="7"/>
      <c r="AF776" s="7"/>
      <c r="AG776" s="7"/>
      <c r="AH776" s="7"/>
      <c r="AI776" s="7"/>
      <c r="AJ776" s="7"/>
    </row>
    <row r="777">
      <c r="A777" s="7"/>
      <c r="B777" s="7"/>
      <c r="C777" s="7"/>
      <c r="D777" s="6" t="str">
        <f>IF(NOT(ISBLANK(C777)), VLOOKUP(C777,'Dataset Descriptions'!$A$2:$B$10, 2, FALSE), "")</f>
        <v/>
      </c>
      <c r="E777" s="7"/>
      <c r="F777" s="7"/>
      <c r="G777" s="7"/>
      <c r="H777" s="7"/>
      <c r="I777" s="7"/>
      <c r="J777" s="7"/>
      <c r="K777" s="7"/>
      <c r="L777" s="7"/>
      <c r="M777" s="7"/>
      <c r="N777" s="7"/>
      <c r="O777" s="7"/>
      <c r="P777" s="7"/>
      <c r="Q777" s="7"/>
      <c r="R777" s="8"/>
      <c r="S777" s="6" t="str">
        <f>IF(NOT(ISBLANK(E777)), ROUND(((IF(E777="yes",1,0)*'Grading Scale'!E$2)+(IF(F777="yes",1,0)*'Grading Scale'!E$3)+(IF(G777="yes",1,0)*'Grading Scale'!E$4)+(IF(H777="yes",1,0)*'Grading Scale'!E$5)+(IF(I777="yes",1,0)*'Grading Scale'!E$6)+(IF(J777="yes",1,0)*'Grading Scale'!E$7)+(IF(K777="yes",1,0)*'Grading Scale'!E$8)+(IF(L777="yes",1,0)*'Grading Scale'!E$9)+(IF(M777="yes",1,0)*'Grading Scale'!E$10)+(IF(N777="yes",1,0)*'Grading Scale'!E$11)+(IF(O777="yes",1,0)*'Grading Scale'!E$12)+(IF(P777="yes",1,0)*'Grading Scale'!E$13))/'Grading Scale'!E$14*100,0), "")</f>
        <v/>
      </c>
      <c r="T777" s="6" t="str">
        <f>IF(ISNUMBER(S777),VLOOKUP(S777,'Grading Scale'!$A$2:$B$14, 2), "")</f>
        <v/>
      </c>
      <c r="U777" s="7"/>
      <c r="V777" s="7"/>
      <c r="W777" s="7"/>
      <c r="X777" s="7"/>
      <c r="Y777" s="7"/>
      <c r="Z777" s="7"/>
      <c r="AA777" s="7"/>
      <c r="AB777" s="7"/>
      <c r="AC777" s="7"/>
      <c r="AD777" s="7"/>
      <c r="AE777" s="7"/>
      <c r="AF777" s="7"/>
      <c r="AG777" s="7"/>
      <c r="AH777" s="7"/>
      <c r="AI777" s="7"/>
      <c r="AJ777" s="7"/>
    </row>
    <row r="778">
      <c r="A778" s="7"/>
      <c r="B778" s="7"/>
      <c r="C778" s="7"/>
      <c r="D778" s="6" t="str">
        <f>IF(NOT(ISBLANK(C778)), VLOOKUP(C778,'Dataset Descriptions'!$A$2:$B$10, 2, FALSE), "")</f>
        <v/>
      </c>
      <c r="E778" s="7"/>
      <c r="F778" s="7"/>
      <c r="G778" s="7"/>
      <c r="H778" s="7"/>
      <c r="I778" s="7"/>
      <c r="J778" s="7"/>
      <c r="K778" s="7"/>
      <c r="L778" s="7"/>
      <c r="M778" s="7"/>
      <c r="N778" s="7"/>
      <c r="O778" s="7"/>
      <c r="P778" s="7"/>
      <c r="Q778" s="7"/>
      <c r="R778" s="8"/>
      <c r="S778" s="6" t="str">
        <f>IF(NOT(ISBLANK(E778)), ROUND(((IF(E778="yes",1,0)*'Grading Scale'!E$2)+(IF(F778="yes",1,0)*'Grading Scale'!E$3)+(IF(G778="yes",1,0)*'Grading Scale'!E$4)+(IF(H778="yes",1,0)*'Grading Scale'!E$5)+(IF(I778="yes",1,0)*'Grading Scale'!E$6)+(IF(J778="yes",1,0)*'Grading Scale'!E$7)+(IF(K778="yes",1,0)*'Grading Scale'!E$8)+(IF(L778="yes",1,0)*'Grading Scale'!E$9)+(IF(M778="yes",1,0)*'Grading Scale'!E$10)+(IF(N778="yes",1,0)*'Grading Scale'!E$11)+(IF(O778="yes",1,0)*'Grading Scale'!E$12)+(IF(P778="yes",1,0)*'Grading Scale'!E$13))/'Grading Scale'!E$14*100,0), "")</f>
        <v/>
      </c>
      <c r="T778" s="6" t="str">
        <f>IF(ISNUMBER(S778),VLOOKUP(S778,'Grading Scale'!$A$2:$B$14, 2), "")</f>
        <v/>
      </c>
      <c r="U778" s="7"/>
      <c r="V778" s="7"/>
      <c r="W778" s="7"/>
      <c r="X778" s="7"/>
      <c r="Y778" s="7"/>
      <c r="Z778" s="7"/>
      <c r="AA778" s="7"/>
      <c r="AB778" s="7"/>
      <c r="AC778" s="7"/>
      <c r="AD778" s="7"/>
      <c r="AE778" s="7"/>
      <c r="AF778" s="7"/>
      <c r="AG778" s="7"/>
      <c r="AH778" s="7"/>
      <c r="AI778" s="7"/>
      <c r="AJ778" s="7"/>
    </row>
    <row r="779">
      <c r="A779" s="7"/>
      <c r="B779" s="7"/>
      <c r="C779" s="7"/>
      <c r="D779" s="6" t="str">
        <f>IF(NOT(ISBLANK(C779)), VLOOKUP(C779,'Dataset Descriptions'!$A$2:$B$10, 2, FALSE), "")</f>
        <v/>
      </c>
      <c r="E779" s="7"/>
      <c r="F779" s="7"/>
      <c r="G779" s="7"/>
      <c r="H779" s="7"/>
      <c r="I779" s="7"/>
      <c r="J779" s="7"/>
      <c r="K779" s="7"/>
      <c r="L779" s="7"/>
      <c r="M779" s="7"/>
      <c r="N779" s="7"/>
      <c r="O779" s="7"/>
      <c r="P779" s="7"/>
      <c r="Q779" s="7"/>
      <c r="R779" s="8"/>
      <c r="S779" s="6" t="str">
        <f>IF(NOT(ISBLANK(E779)), ROUND(((IF(E779="yes",1,0)*'Grading Scale'!E$2)+(IF(F779="yes",1,0)*'Grading Scale'!E$3)+(IF(G779="yes",1,0)*'Grading Scale'!E$4)+(IF(H779="yes",1,0)*'Grading Scale'!E$5)+(IF(I779="yes",1,0)*'Grading Scale'!E$6)+(IF(J779="yes",1,0)*'Grading Scale'!E$7)+(IF(K779="yes",1,0)*'Grading Scale'!E$8)+(IF(L779="yes",1,0)*'Grading Scale'!E$9)+(IF(M779="yes",1,0)*'Grading Scale'!E$10)+(IF(N779="yes",1,0)*'Grading Scale'!E$11)+(IF(O779="yes",1,0)*'Grading Scale'!E$12)+(IF(P779="yes",1,0)*'Grading Scale'!E$13))/'Grading Scale'!E$14*100,0), "")</f>
        <v/>
      </c>
      <c r="T779" s="6" t="str">
        <f>IF(ISNUMBER(S779),VLOOKUP(S779,'Grading Scale'!$A$2:$B$14, 2), "")</f>
        <v/>
      </c>
      <c r="U779" s="7"/>
      <c r="V779" s="7"/>
      <c r="W779" s="7"/>
      <c r="X779" s="7"/>
      <c r="Y779" s="7"/>
      <c r="Z779" s="7"/>
      <c r="AA779" s="7"/>
      <c r="AB779" s="7"/>
      <c r="AC779" s="7"/>
      <c r="AD779" s="7"/>
      <c r="AE779" s="7"/>
      <c r="AF779" s="7"/>
      <c r="AG779" s="7"/>
      <c r="AH779" s="7"/>
      <c r="AI779" s="7"/>
      <c r="AJ779" s="7"/>
    </row>
    <row r="780">
      <c r="A780" s="7"/>
      <c r="B780" s="7"/>
      <c r="C780" s="7"/>
      <c r="D780" s="6" t="str">
        <f>IF(NOT(ISBLANK(C780)), VLOOKUP(C780,'Dataset Descriptions'!$A$2:$B$10, 2, FALSE), "")</f>
        <v/>
      </c>
      <c r="E780" s="7"/>
      <c r="F780" s="7"/>
      <c r="G780" s="7"/>
      <c r="H780" s="7"/>
      <c r="I780" s="7"/>
      <c r="J780" s="7"/>
      <c r="K780" s="7"/>
      <c r="L780" s="7"/>
      <c r="M780" s="7"/>
      <c r="N780" s="7"/>
      <c r="O780" s="7"/>
      <c r="P780" s="7"/>
      <c r="Q780" s="7"/>
      <c r="R780" s="8"/>
      <c r="S780" s="6" t="str">
        <f>IF(NOT(ISBLANK(E780)), ROUND(((IF(E780="yes",1,0)*'Grading Scale'!E$2)+(IF(F780="yes",1,0)*'Grading Scale'!E$3)+(IF(G780="yes",1,0)*'Grading Scale'!E$4)+(IF(H780="yes",1,0)*'Grading Scale'!E$5)+(IF(I780="yes",1,0)*'Grading Scale'!E$6)+(IF(J780="yes",1,0)*'Grading Scale'!E$7)+(IF(K780="yes",1,0)*'Grading Scale'!E$8)+(IF(L780="yes",1,0)*'Grading Scale'!E$9)+(IF(M780="yes",1,0)*'Grading Scale'!E$10)+(IF(N780="yes",1,0)*'Grading Scale'!E$11)+(IF(O780="yes",1,0)*'Grading Scale'!E$12)+(IF(P780="yes",1,0)*'Grading Scale'!E$13))/'Grading Scale'!E$14*100,0), "")</f>
        <v/>
      </c>
      <c r="T780" s="6" t="str">
        <f>IF(ISNUMBER(S780),VLOOKUP(S780,'Grading Scale'!$A$2:$B$14, 2), "")</f>
        <v/>
      </c>
      <c r="U780" s="7"/>
      <c r="V780" s="7"/>
      <c r="W780" s="7"/>
      <c r="X780" s="7"/>
      <c r="Y780" s="7"/>
      <c r="Z780" s="7"/>
      <c r="AA780" s="7"/>
      <c r="AB780" s="7"/>
      <c r="AC780" s="7"/>
      <c r="AD780" s="7"/>
      <c r="AE780" s="7"/>
      <c r="AF780" s="7"/>
      <c r="AG780" s="7"/>
      <c r="AH780" s="7"/>
      <c r="AI780" s="7"/>
      <c r="AJ780" s="7"/>
    </row>
    <row r="781">
      <c r="A781" s="7"/>
      <c r="B781" s="7"/>
      <c r="C781" s="7"/>
      <c r="D781" s="6" t="str">
        <f>IF(NOT(ISBLANK(C781)), VLOOKUP(C781,'Dataset Descriptions'!$A$2:$B$10, 2, FALSE), "")</f>
        <v/>
      </c>
      <c r="E781" s="7"/>
      <c r="F781" s="7"/>
      <c r="G781" s="7"/>
      <c r="H781" s="7"/>
      <c r="I781" s="7"/>
      <c r="J781" s="7"/>
      <c r="K781" s="7"/>
      <c r="L781" s="7"/>
      <c r="M781" s="7"/>
      <c r="N781" s="7"/>
      <c r="O781" s="7"/>
      <c r="P781" s="7"/>
      <c r="Q781" s="7"/>
      <c r="R781" s="8"/>
      <c r="S781" s="6" t="str">
        <f>IF(NOT(ISBLANK(E781)), ROUND(((IF(E781="yes",1,0)*'Grading Scale'!E$2)+(IF(F781="yes",1,0)*'Grading Scale'!E$3)+(IF(G781="yes",1,0)*'Grading Scale'!E$4)+(IF(H781="yes",1,0)*'Grading Scale'!E$5)+(IF(I781="yes",1,0)*'Grading Scale'!E$6)+(IF(J781="yes",1,0)*'Grading Scale'!E$7)+(IF(K781="yes",1,0)*'Grading Scale'!E$8)+(IF(L781="yes",1,0)*'Grading Scale'!E$9)+(IF(M781="yes",1,0)*'Grading Scale'!E$10)+(IF(N781="yes",1,0)*'Grading Scale'!E$11)+(IF(O781="yes",1,0)*'Grading Scale'!E$12)+(IF(P781="yes",1,0)*'Grading Scale'!E$13))/'Grading Scale'!E$14*100,0), "")</f>
        <v/>
      </c>
      <c r="T781" s="6" t="str">
        <f>IF(ISNUMBER(S781),VLOOKUP(S781,'Grading Scale'!$A$2:$B$14, 2), "")</f>
        <v/>
      </c>
      <c r="U781" s="7"/>
      <c r="V781" s="7"/>
      <c r="W781" s="7"/>
      <c r="X781" s="7"/>
      <c r="Y781" s="7"/>
      <c r="Z781" s="7"/>
      <c r="AA781" s="7"/>
      <c r="AB781" s="7"/>
      <c r="AC781" s="7"/>
      <c r="AD781" s="7"/>
      <c r="AE781" s="7"/>
      <c r="AF781" s="7"/>
      <c r="AG781" s="7"/>
      <c r="AH781" s="7"/>
      <c r="AI781" s="7"/>
      <c r="AJ781" s="7"/>
    </row>
    <row r="782">
      <c r="A782" s="7"/>
      <c r="B782" s="7"/>
      <c r="C782" s="7"/>
      <c r="D782" s="6" t="str">
        <f>IF(NOT(ISBLANK(C782)), VLOOKUP(C782,'Dataset Descriptions'!$A$2:$B$10, 2, FALSE), "")</f>
        <v/>
      </c>
      <c r="E782" s="7"/>
      <c r="F782" s="7"/>
      <c r="G782" s="7"/>
      <c r="H782" s="7"/>
      <c r="I782" s="7"/>
      <c r="J782" s="7"/>
      <c r="K782" s="7"/>
      <c r="L782" s="7"/>
      <c r="M782" s="7"/>
      <c r="N782" s="7"/>
      <c r="O782" s="7"/>
      <c r="P782" s="7"/>
      <c r="Q782" s="7"/>
      <c r="R782" s="8"/>
      <c r="S782" s="6" t="str">
        <f>IF(NOT(ISBLANK(E782)), ROUND(((IF(E782="yes",1,0)*'Grading Scale'!E$2)+(IF(F782="yes",1,0)*'Grading Scale'!E$3)+(IF(G782="yes",1,0)*'Grading Scale'!E$4)+(IF(H782="yes",1,0)*'Grading Scale'!E$5)+(IF(I782="yes",1,0)*'Grading Scale'!E$6)+(IF(J782="yes",1,0)*'Grading Scale'!E$7)+(IF(K782="yes",1,0)*'Grading Scale'!E$8)+(IF(L782="yes",1,0)*'Grading Scale'!E$9)+(IF(M782="yes",1,0)*'Grading Scale'!E$10)+(IF(N782="yes",1,0)*'Grading Scale'!E$11)+(IF(O782="yes",1,0)*'Grading Scale'!E$12)+(IF(P782="yes",1,0)*'Grading Scale'!E$13))/'Grading Scale'!E$14*100,0), "")</f>
        <v/>
      </c>
      <c r="T782" s="6" t="str">
        <f>IF(ISNUMBER(S782),VLOOKUP(S782,'Grading Scale'!$A$2:$B$14, 2), "")</f>
        <v/>
      </c>
      <c r="U782" s="7"/>
      <c r="V782" s="7"/>
      <c r="W782" s="7"/>
      <c r="X782" s="7"/>
      <c r="Y782" s="7"/>
      <c r="Z782" s="7"/>
      <c r="AA782" s="7"/>
      <c r="AB782" s="7"/>
      <c r="AC782" s="7"/>
      <c r="AD782" s="7"/>
      <c r="AE782" s="7"/>
      <c r="AF782" s="7"/>
      <c r="AG782" s="7"/>
      <c r="AH782" s="7"/>
      <c r="AI782" s="7"/>
      <c r="AJ782" s="7"/>
    </row>
    <row r="783">
      <c r="A783" s="7"/>
      <c r="B783" s="7"/>
      <c r="C783" s="7"/>
      <c r="D783" s="6" t="str">
        <f>IF(NOT(ISBLANK(C783)), VLOOKUP(C783,'Dataset Descriptions'!$A$2:$B$10, 2, FALSE), "")</f>
        <v/>
      </c>
      <c r="E783" s="7"/>
      <c r="F783" s="7"/>
      <c r="G783" s="7"/>
      <c r="H783" s="7"/>
      <c r="I783" s="7"/>
      <c r="J783" s="7"/>
      <c r="K783" s="7"/>
      <c r="L783" s="7"/>
      <c r="M783" s="7"/>
      <c r="N783" s="7"/>
      <c r="O783" s="7"/>
      <c r="P783" s="7"/>
      <c r="Q783" s="7"/>
      <c r="R783" s="8"/>
      <c r="S783" s="6" t="str">
        <f>IF(NOT(ISBLANK(E783)), ROUND(((IF(E783="yes",1,0)*'Grading Scale'!E$2)+(IF(F783="yes",1,0)*'Grading Scale'!E$3)+(IF(G783="yes",1,0)*'Grading Scale'!E$4)+(IF(H783="yes",1,0)*'Grading Scale'!E$5)+(IF(I783="yes",1,0)*'Grading Scale'!E$6)+(IF(J783="yes",1,0)*'Grading Scale'!E$7)+(IF(K783="yes",1,0)*'Grading Scale'!E$8)+(IF(L783="yes",1,0)*'Grading Scale'!E$9)+(IF(M783="yes",1,0)*'Grading Scale'!E$10)+(IF(N783="yes",1,0)*'Grading Scale'!E$11)+(IF(O783="yes",1,0)*'Grading Scale'!E$12)+(IF(P783="yes",1,0)*'Grading Scale'!E$13))/'Grading Scale'!E$14*100,0), "")</f>
        <v/>
      </c>
      <c r="T783" s="6" t="str">
        <f>IF(ISNUMBER(S783),VLOOKUP(S783,'Grading Scale'!$A$2:$B$14, 2), "")</f>
        <v/>
      </c>
      <c r="U783" s="7"/>
      <c r="V783" s="7"/>
      <c r="W783" s="7"/>
      <c r="X783" s="7"/>
      <c r="Y783" s="7"/>
      <c r="Z783" s="7"/>
      <c r="AA783" s="7"/>
      <c r="AB783" s="7"/>
      <c r="AC783" s="7"/>
      <c r="AD783" s="7"/>
      <c r="AE783" s="7"/>
      <c r="AF783" s="7"/>
      <c r="AG783" s="7"/>
      <c r="AH783" s="7"/>
      <c r="AI783" s="7"/>
      <c r="AJ783" s="7"/>
    </row>
    <row r="784">
      <c r="A784" s="7"/>
      <c r="B784" s="7"/>
      <c r="C784" s="7"/>
      <c r="D784" s="6" t="str">
        <f>IF(NOT(ISBLANK(C784)), VLOOKUP(C784,'Dataset Descriptions'!$A$2:$B$10, 2, FALSE), "")</f>
        <v/>
      </c>
      <c r="E784" s="7"/>
      <c r="F784" s="7"/>
      <c r="G784" s="7"/>
      <c r="H784" s="7"/>
      <c r="I784" s="7"/>
      <c r="J784" s="7"/>
      <c r="K784" s="7"/>
      <c r="L784" s="7"/>
      <c r="M784" s="7"/>
      <c r="N784" s="7"/>
      <c r="O784" s="7"/>
      <c r="P784" s="7"/>
      <c r="Q784" s="7"/>
      <c r="R784" s="8"/>
      <c r="S784" s="6" t="str">
        <f>IF(NOT(ISBLANK(E784)), ROUND(((IF(E784="yes",1,0)*'Grading Scale'!E$2)+(IF(F784="yes",1,0)*'Grading Scale'!E$3)+(IF(G784="yes",1,0)*'Grading Scale'!E$4)+(IF(H784="yes",1,0)*'Grading Scale'!E$5)+(IF(I784="yes",1,0)*'Grading Scale'!E$6)+(IF(J784="yes",1,0)*'Grading Scale'!E$7)+(IF(K784="yes",1,0)*'Grading Scale'!E$8)+(IF(L784="yes",1,0)*'Grading Scale'!E$9)+(IF(M784="yes",1,0)*'Grading Scale'!E$10)+(IF(N784="yes",1,0)*'Grading Scale'!E$11)+(IF(O784="yes",1,0)*'Grading Scale'!E$12)+(IF(P784="yes",1,0)*'Grading Scale'!E$13))/'Grading Scale'!E$14*100,0), "")</f>
        <v/>
      </c>
      <c r="T784" s="6" t="str">
        <f>IF(ISNUMBER(S784),VLOOKUP(S784,'Grading Scale'!$A$2:$B$14, 2), "")</f>
        <v/>
      </c>
      <c r="U784" s="7"/>
      <c r="V784" s="7"/>
      <c r="W784" s="7"/>
      <c r="X784" s="7"/>
      <c r="Y784" s="7"/>
      <c r="Z784" s="7"/>
      <c r="AA784" s="7"/>
      <c r="AB784" s="7"/>
      <c r="AC784" s="7"/>
      <c r="AD784" s="7"/>
      <c r="AE784" s="7"/>
      <c r="AF784" s="7"/>
      <c r="AG784" s="7"/>
      <c r="AH784" s="7"/>
      <c r="AI784" s="7"/>
      <c r="AJ784" s="7"/>
    </row>
    <row r="785">
      <c r="A785" s="7"/>
      <c r="B785" s="7"/>
      <c r="C785" s="7"/>
      <c r="D785" s="6" t="str">
        <f>IF(NOT(ISBLANK(C785)), VLOOKUP(C785,'Dataset Descriptions'!$A$2:$B$10, 2, FALSE), "")</f>
        <v/>
      </c>
      <c r="E785" s="7"/>
      <c r="F785" s="7"/>
      <c r="G785" s="7"/>
      <c r="H785" s="7"/>
      <c r="I785" s="7"/>
      <c r="J785" s="7"/>
      <c r="K785" s="7"/>
      <c r="L785" s="7"/>
      <c r="M785" s="7"/>
      <c r="N785" s="7"/>
      <c r="O785" s="7"/>
      <c r="P785" s="7"/>
      <c r="Q785" s="7"/>
      <c r="R785" s="8"/>
      <c r="S785" s="6" t="str">
        <f>IF(NOT(ISBLANK(E785)), ROUND(((IF(E785="yes",1,0)*'Grading Scale'!E$2)+(IF(F785="yes",1,0)*'Grading Scale'!E$3)+(IF(G785="yes",1,0)*'Grading Scale'!E$4)+(IF(H785="yes",1,0)*'Grading Scale'!E$5)+(IF(I785="yes",1,0)*'Grading Scale'!E$6)+(IF(J785="yes",1,0)*'Grading Scale'!E$7)+(IF(K785="yes",1,0)*'Grading Scale'!E$8)+(IF(L785="yes",1,0)*'Grading Scale'!E$9)+(IF(M785="yes",1,0)*'Grading Scale'!E$10)+(IF(N785="yes",1,0)*'Grading Scale'!E$11)+(IF(O785="yes",1,0)*'Grading Scale'!E$12)+(IF(P785="yes",1,0)*'Grading Scale'!E$13))/'Grading Scale'!E$14*100,0), "")</f>
        <v/>
      </c>
      <c r="T785" s="6" t="str">
        <f>IF(ISNUMBER(S785),VLOOKUP(S785,'Grading Scale'!$A$2:$B$14, 2), "")</f>
        <v/>
      </c>
      <c r="U785" s="7"/>
      <c r="V785" s="7"/>
      <c r="W785" s="7"/>
      <c r="X785" s="7"/>
      <c r="Y785" s="7"/>
      <c r="Z785" s="7"/>
      <c r="AA785" s="7"/>
      <c r="AB785" s="7"/>
      <c r="AC785" s="7"/>
      <c r="AD785" s="7"/>
      <c r="AE785" s="7"/>
      <c r="AF785" s="7"/>
      <c r="AG785" s="7"/>
      <c r="AH785" s="7"/>
      <c r="AI785" s="7"/>
      <c r="AJ785" s="7"/>
    </row>
    <row r="786">
      <c r="A786" s="7"/>
      <c r="B786" s="7"/>
      <c r="C786" s="7"/>
      <c r="D786" s="6" t="str">
        <f>IF(NOT(ISBLANK(C786)), VLOOKUP(C786,'Dataset Descriptions'!$A$2:$B$10, 2, FALSE), "")</f>
        <v/>
      </c>
      <c r="E786" s="7"/>
      <c r="F786" s="7"/>
      <c r="G786" s="7"/>
      <c r="H786" s="7"/>
      <c r="I786" s="7"/>
      <c r="J786" s="7"/>
      <c r="K786" s="7"/>
      <c r="L786" s="7"/>
      <c r="M786" s="7"/>
      <c r="N786" s="7"/>
      <c r="O786" s="7"/>
      <c r="P786" s="7"/>
      <c r="Q786" s="7"/>
      <c r="R786" s="8"/>
      <c r="S786" s="6" t="str">
        <f>IF(NOT(ISBLANK(E786)), ROUND(((IF(E786="yes",1,0)*'Grading Scale'!E$2)+(IF(F786="yes",1,0)*'Grading Scale'!E$3)+(IF(G786="yes",1,0)*'Grading Scale'!E$4)+(IF(H786="yes",1,0)*'Grading Scale'!E$5)+(IF(I786="yes",1,0)*'Grading Scale'!E$6)+(IF(J786="yes",1,0)*'Grading Scale'!E$7)+(IF(K786="yes",1,0)*'Grading Scale'!E$8)+(IF(L786="yes",1,0)*'Grading Scale'!E$9)+(IF(M786="yes",1,0)*'Grading Scale'!E$10)+(IF(N786="yes",1,0)*'Grading Scale'!E$11)+(IF(O786="yes",1,0)*'Grading Scale'!E$12)+(IF(P786="yes",1,0)*'Grading Scale'!E$13))/'Grading Scale'!E$14*100,0), "")</f>
        <v/>
      </c>
      <c r="T786" s="6" t="str">
        <f>IF(ISNUMBER(S786),VLOOKUP(S786,'Grading Scale'!$A$2:$B$14, 2), "")</f>
        <v/>
      </c>
      <c r="U786" s="7"/>
      <c r="V786" s="7"/>
      <c r="W786" s="7"/>
      <c r="X786" s="7"/>
      <c r="Y786" s="7"/>
      <c r="Z786" s="7"/>
      <c r="AA786" s="7"/>
      <c r="AB786" s="7"/>
      <c r="AC786" s="7"/>
      <c r="AD786" s="7"/>
      <c r="AE786" s="7"/>
      <c r="AF786" s="7"/>
      <c r="AG786" s="7"/>
      <c r="AH786" s="7"/>
      <c r="AI786" s="7"/>
      <c r="AJ786" s="7"/>
    </row>
    <row r="787">
      <c r="A787" s="7"/>
      <c r="B787" s="7"/>
      <c r="C787" s="7"/>
      <c r="D787" s="6" t="str">
        <f>IF(NOT(ISBLANK(C787)), VLOOKUP(C787,'Dataset Descriptions'!$A$2:$B$10, 2, FALSE), "")</f>
        <v/>
      </c>
      <c r="E787" s="7"/>
      <c r="F787" s="7"/>
      <c r="G787" s="7"/>
      <c r="H787" s="7"/>
      <c r="I787" s="7"/>
      <c r="J787" s="7"/>
      <c r="K787" s="7"/>
      <c r="L787" s="7"/>
      <c r="M787" s="7"/>
      <c r="N787" s="7"/>
      <c r="O787" s="7"/>
      <c r="P787" s="7"/>
      <c r="Q787" s="7"/>
      <c r="R787" s="8"/>
      <c r="S787" s="6" t="str">
        <f>IF(NOT(ISBLANK(E787)), ROUND(((IF(E787="yes",1,0)*'Grading Scale'!E$2)+(IF(F787="yes",1,0)*'Grading Scale'!E$3)+(IF(G787="yes",1,0)*'Grading Scale'!E$4)+(IF(H787="yes",1,0)*'Grading Scale'!E$5)+(IF(I787="yes",1,0)*'Grading Scale'!E$6)+(IF(J787="yes",1,0)*'Grading Scale'!E$7)+(IF(K787="yes",1,0)*'Grading Scale'!E$8)+(IF(L787="yes",1,0)*'Grading Scale'!E$9)+(IF(M787="yes",1,0)*'Grading Scale'!E$10)+(IF(N787="yes",1,0)*'Grading Scale'!E$11)+(IF(O787="yes",1,0)*'Grading Scale'!E$12)+(IF(P787="yes",1,0)*'Grading Scale'!E$13))/'Grading Scale'!E$14*100,0), "")</f>
        <v/>
      </c>
      <c r="T787" s="6" t="str">
        <f>IF(ISNUMBER(S787),VLOOKUP(S787,'Grading Scale'!$A$2:$B$14, 2), "")</f>
        <v/>
      </c>
      <c r="U787" s="7"/>
      <c r="V787" s="7"/>
      <c r="W787" s="7"/>
      <c r="X787" s="7"/>
      <c r="Y787" s="7"/>
      <c r="Z787" s="7"/>
      <c r="AA787" s="7"/>
      <c r="AB787" s="7"/>
      <c r="AC787" s="7"/>
      <c r="AD787" s="7"/>
      <c r="AE787" s="7"/>
      <c r="AF787" s="7"/>
      <c r="AG787" s="7"/>
      <c r="AH787" s="7"/>
      <c r="AI787" s="7"/>
      <c r="AJ787" s="7"/>
    </row>
    <row r="788">
      <c r="A788" s="7"/>
      <c r="B788" s="7"/>
      <c r="C788" s="7"/>
      <c r="D788" s="6" t="str">
        <f>IF(NOT(ISBLANK(C788)), VLOOKUP(C788,'Dataset Descriptions'!$A$2:$B$10, 2, FALSE), "")</f>
        <v/>
      </c>
      <c r="E788" s="7"/>
      <c r="F788" s="7"/>
      <c r="G788" s="7"/>
      <c r="H788" s="7"/>
      <c r="I788" s="7"/>
      <c r="J788" s="7"/>
      <c r="K788" s="7"/>
      <c r="L788" s="7"/>
      <c r="M788" s="7"/>
      <c r="N788" s="7"/>
      <c r="O788" s="7"/>
      <c r="P788" s="7"/>
      <c r="Q788" s="7"/>
      <c r="R788" s="8"/>
      <c r="S788" s="6" t="str">
        <f>IF(NOT(ISBLANK(E788)), ROUND(((IF(E788="yes",1,0)*'Grading Scale'!E$2)+(IF(F788="yes",1,0)*'Grading Scale'!E$3)+(IF(G788="yes",1,0)*'Grading Scale'!E$4)+(IF(H788="yes",1,0)*'Grading Scale'!E$5)+(IF(I788="yes",1,0)*'Grading Scale'!E$6)+(IF(J788="yes",1,0)*'Grading Scale'!E$7)+(IF(K788="yes",1,0)*'Grading Scale'!E$8)+(IF(L788="yes",1,0)*'Grading Scale'!E$9)+(IF(M788="yes",1,0)*'Grading Scale'!E$10)+(IF(N788="yes",1,0)*'Grading Scale'!E$11)+(IF(O788="yes",1,0)*'Grading Scale'!E$12)+(IF(P788="yes",1,0)*'Grading Scale'!E$13))/'Grading Scale'!E$14*100,0), "")</f>
        <v/>
      </c>
      <c r="T788" s="6" t="str">
        <f>IF(ISNUMBER(S788),VLOOKUP(S788,'Grading Scale'!$A$2:$B$14, 2), "")</f>
        <v/>
      </c>
      <c r="U788" s="7"/>
      <c r="V788" s="7"/>
      <c r="W788" s="7"/>
      <c r="X788" s="7"/>
      <c r="Y788" s="7"/>
      <c r="Z788" s="7"/>
      <c r="AA788" s="7"/>
      <c r="AB788" s="7"/>
      <c r="AC788" s="7"/>
      <c r="AD788" s="7"/>
      <c r="AE788" s="7"/>
      <c r="AF788" s="7"/>
      <c r="AG788" s="7"/>
      <c r="AH788" s="7"/>
      <c r="AI788" s="7"/>
      <c r="AJ788" s="7"/>
    </row>
    <row r="789">
      <c r="A789" s="7"/>
      <c r="B789" s="7"/>
      <c r="C789" s="7"/>
      <c r="D789" s="6" t="str">
        <f>IF(NOT(ISBLANK(C789)), VLOOKUP(C789,'Dataset Descriptions'!$A$2:$B$10, 2, FALSE), "")</f>
        <v/>
      </c>
      <c r="E789" s="7"/>
      <c r="F789" s="7"/>
      <c r="G789" s="7"/>
      <c r="H789" s="7"/>
      <c r="I789" s="7"/>
      <c r="J789" s="7"/>
      <c r="K789" s="7"/>
      <c r="L789" s="7"/>
      <c r="M789" s="7"/>
      <c r="N789" s="7"/>
      <c r="O789" s="7"/>
      <c r="P789" s="7"/>
      <c r="Q789" s="7"/>
      <c r="R789" s="8"/>
      <c r="S789" s="6" t="str">
        <f>IF(NOT(ISBLANK(E789)), ROUND(((IF(E789="yes",1,0)*'Grading Scale'!E$2)+(IF(F789="yes",1,0)*'Grading Scale'!E$3)+(IF(G789="yes",1,0)*'Grading Scale'!E$4)+(IF(H789="yes",1,0)*'Grading Scale'!E$5)+(IF(I789="yes",1,0)*'Grading Scale'!E$6)+(IF(J789="yes",1,0)*'Grading Scale'!E$7)+(IF(K789="yes",1,0)*'Grading Scale'!E$8)+(IF(L789="yes",1,0)*'Grading Scale'!E$9)+(IF(M789="yes",1,0)*'Grading Scale'!E$10)+(IF(N789="yes",1,0)*'Grading Scale'!E$11)+(IF(O789="yes",1,0)*'Grading Scale'!E$12)+(IF(P789="yes",1,0)*'Grading Scale'!E$13))/'Grading Scale'!E$14*100,0), "")</f>
        <v/>
      </c>
      <c r="T789" s="6" t="str">
        <f>IF(ISNUMBER(S789),VLOOKUP(S789,'Grading Scale'!$A$2:$B$14, 2), "")</f>
        <v/>
      </c>
      <c r="U789" s="7"/>
      <c r="V789" s="7"/>
      <c r="W789" s="7"/>
      <c r="X789" s="7"/>
      <c r="Y789" s="7"/>
      <c r="Z789" s="7"/>
      <c r="AA789" s="7"/>
      <c r="AB789" s="7"/>
      <c r="AC789" s="7"/>
      <c r="AD789" s="7"/>
      <c r="AE789" s="7"/>
      <c r="AF789" s="7"/>
      <c r="AG789" s="7"/>
      <c r="AH789" s="7"/>
      <c r="AI789" s="7"/>
      <c r="AJ789" s="7"/>
    </row>
    <row r="790">
      <c r="A790" s="7"/>
      <c r="B790" s="7"/>
      <c r="C790" s="7"/>
      <c r="D790" s="6" t="str">
        <f>IF(NOT(ISBLANK(C790)), VLOOKUP(C790,'Dataset Descriptions'!$A$2:$B$10, 2, FALSE), "")</f>
        <v/>
      </c>
      <c r="E790" s="7"/>
      <c r="F790" s="7"/>
      <c r="G790" s="7"/>
      <c r="H790" s="7"/>
      <c r="I790" s="7"/>
      <c r="J790" s="7"/>
      <c r="K790" s="7"/>
      <c r="L790" s="7"/>
      <c r="M790" s="7"/>
      <c r="N790" s="7"/>
      <c r="O790" s="7"/>
      <c r="P790" s="7"/>
      <c r="Q790" s="7"/>
      <c r="R790" s="8"/>
      <c r="S790" s="6" t="str">
        <f>IF(NOT(ISBLANK(E790)), ROUND(((IF(E790="yes",1,0)*'Grading Scale'!E$2)+(IF(F790="yes",1,0)*'Grading Scale'!E$3)+(IF(G790="yes",1,0)*'Grading Scale'!E$4)+(IF(H790="yes",1,0)*'Grading Scale'!E$5)+(IF(I790="yes",1,0)*'Grading Scale'!E$6)+(IF(J790="yes",1,0)*'Grading Scale'!E$7)+(IF(K790="yes",1,0)*'Grading Scale'!E$8)+(IF(L790="yes",1,0)*'Grading Scale'!E$9)+(IF(M790="yes",1,0)*'Grading Scale'!E$10)+(IF(N790="yes",1,0)*'Grading Scale'!E$11)+(IF(O790="yes",1,0)*'Grading Scale'!E$12)+(IF(P790="yes",1,0)*'Grading Scale'!E$13))/'Grading Scale'!E$14*100,0), "")</f>
        <v/>
      </c>
      <c r="T790" s="6" t="str">
        <f>IF(ISNUMBER(S790),VLOOKUP(S790,'Grading Scale'!$A$2:$B$14, 2), "")</f>
        <v/>
      </c>
      <c r="U790" s="7"/>
      <c r="V790" s="7"/>
      <c r="W790" s="7"/>
      <c r="X790" s="7"/>
      <c r="Y790" s="7"/>
      <c r="Z790" s="7"/>
      <c r="AA790" s="7"/>
      <c r="AB790" s="7"/>
      <c r="AC790" s="7"/>
      <c r="AD790" s="7"/>
      <c r="AE790" s="7"/>
      <c r="AF790" s="7"/>
      <c r="AG790" s="7"/>
      <c r="AH790" s="7"/>
      <c r="AI790" s="7"/>
      <c r="AJ790" s="7"/>
    </row>
    <row r="791">
      <c r="A791" s="7"/>
      <c r="B791" s="7"/>
      <c r="C791" s="7"/>
      <c r="D791" s="6" t="str">
        <f>IF(NOT(ISBLANK(C791)), VLOOKUP(C791,'Dataset Descriptions'!$A$2:$B$10, 2, FALSE), "")</f>
        <v/>
      </c>
      <c r="E791" s="7"/>
      <c r="F791" s="7"/>
      <c r="G791" s="7"/>
      <c r="H791" s="7"/>
      <c r="I791" s="7"/>
      <c r="J791" s="7"/>
      <c r="K791" s="7"/>
      <c r="L791" s="7"/>
      <c r="M791" s="7"/>
      <c r="N791" s="7"/>
      <c r="O791" s="7"/>
      <c r="P791" s="7"/>
      <c r="Q791" s="7"/>
      <c r="R791" s="8"/>
      <c r="S791" s="6" t="str">
        <f>IF(NOT(ISBLANK(E791)), ROUND(((IF(E791="yes",1,0)*'Grading Scale'!E$2)+(IF(F791="yes",1,0)*'Grading Scale'!E$3)+(IF(G791="yes",1,0)*'Grading Scale'!E$4)+(IF(H791="yes",1,0)*'Grading Scale'!E$5)+(IF(I791="yes",1,0)*'Grading Scale'!E$6)+(IF(J791="yes",1,0)*'Grading Scale'!E$7)+(IF(K791="yes",1,0)*'Grading Scale'!E$8)+(IF(L791="yes",1,0)*'Grading Scale'!E$9)+(IF(M791="yes",1,0)*'Grading Scale'!E$10)+(IF(N791="yes",1,0)*'Grading Scale'!E$11)+(IF(O791="yes",1,0)*'Grading Scale'!E$12)+(IF(P791="yes",1,0)*'Grading Scale'!E$13))/'Grading Scale'!E$14*100,0), "")</f>
        <v/>
      </c>
      <c r="T791" s="6" t="str">
        <f>IF(ISNUMBER(S791),VLOOKUP(S791,'Grading Scale'!$A$2:$B$14, 2), "")</f>
        <v/>
      </c>
      <c r="U791" s="7"/>
      <c r="V791" s="7"/>
      <c r="W791" s="7"/>
      <c r="X791" s="7"/>
      <c r="Y791" s="7"/>
      <c r="Z791" s="7"/>
      <c r="AA791" s="7"/>
      <c r="AB791" s="7"/>
      <c r="AC791" s="7"/>
      <c r="AD791" s="7"/>
      <c r="AE791" s="7"/>
      <c r="AF791" s="7"/>
      <c r="AG791" s="7"/>
      <c r="AH791" s="7"/>
      <c r="AI791" s="7"/>
      <c r="AJ791" s="7"/>
    </row>
    <row r="792">
      <c r="A792" s="7"/>
      <c r="B792" s="7"/>
      <c r="C792" s="7"/>
      <c r="D792" s="6" t="str">
        <f>IF(NOT(ISBLANK(C792)), VLOOKUP(C792,'Dataset Descriptions'!$A$2:$B$10, 2, FALSE), "")</f>
        <v/>
      </c>
      <c r="E792" s="7"/>
      <c r="F792" s="7"/>
      <c r="G792" s="7"/>
      <c r="H792" s="7"/>
      <c r="I792" s="7"/>
      <c r="J792" s="7"/>
      <c r="K792" s="7"/>
      <c r="L792" s="7"/>
      <c r="M792" s="7"/>
      <c r="N792" s="7"/>
      <c r="O792" s="7"/>
      <c r="P792" s="7"/>
      <c r="Q792" s="7"/>
      <c r="R792" s="8"/>
      <c r="S792" s="6" t="str">
        <f>IF(NOT(ISBLANK(E792)), ROUND(((IF(E792="yes",1,0)*'Grading Scale'!E$2)+(IF(F792="yes",1,0)*'Grading Scale'!E$3)+(IF(G792="yes",1,0)*'Grading Scale'!E$4)+(IF(H792="yes",1,0)*'Grading Scale'!E$5)+(IF(I792="yes",1,0)*'Grading Scale'!E$6)+(IF(J792="yes",1,0)*'Grading Scale'!E$7)+(IF(K792="yes",1,0)*'Grading Scale'!E$8)+(IF(L792="yes",1,0)*'Grading Scale'!E$9)+(IF(M792="yes",1,0)*'Grading Scale'!E$10)+(IF(N792="yes",1,0)*'Grading Scale'!E$11)+(IF(O792="yes",1,0)*'Grading Scale'!E$12)+(IF(P792="yes",1,0)*'Grading Scale'!E$13))/'Grading Scale'!E$14*100,0), "")</f>
        <v/>
      </c>
      <c r="T792" s="6" t="str">
        <f>IF(ISNUMBER(S792),VLOOKUP(S792,'Grading Scale'!$A$2:$B$14, 2), "")</f>
        <v/>
      </c>
      <c r="U792" s="7"/>
      <c r="V792" s="7"/>
      <c r="W792" s="7"/>
      <c r="X792" s="7"/>
      <c r="Y792" s="7"/>
      <c r="Z792" s="7"/>
      <c r="AA792" s="7"/>
      <c r="AB792" s="7"/>
      <c r="AC792" s="7"/>
      <c r="AD792" s="7"/>
      <c r="AE792" s="7"/>
      <c r="AF792" s="7"/>
      <c r="AG792" s="7"/>
      <c r="AH792" s="7"/>
      <c r="AI792" s="7"/>
      <c r="AJ792" s="7"/>
    </row>
    <row r="793">
      <c r="A793" s="7"/>
      <c r="B793" s="7"/>
      <c r="C793" s="7"/>
      <c r="D793" s="6" t="str">
        <f>IF(NOT(ISBLANK(C793)), VLOOKUP(C793,'Dataset Descriptions'!$A$2:$B$10, 2, FALSE), "")</f>
        <v/>
      </c>
      <c r="E793" s="7"/>
      <c r="F793" s="7"/>
      <c r="G793" s="7"/>
      <c r="H793" s="7"/>
      <c r="I793" s="7"/>
      <c r="J793" s="7"/>
      <c r="K793" s="7"/>
      <c r="L793" s="7"/>
      <c r="M793" s="7"/>
      <c r="N793" s="7"/>
      <c r="O793" s="7"/>
      <c r="P793" s="7"/>
      <c r="Q793" s="7"/>
      <c r="R793" s="8"/>
      <c r="S793" s="6" t="str">
        <f>IF(NOT(ISBLANK(E793)), ROUND(((IF(E793="yes",1,0)*'Grading Scale'!E$2)+(IF(F793="yes",1,0)*'Grading Scale'!E$3)+(IF(G793="yes",1,0)*'Grading Scale'!E$4)+(IF(H793="yes",1,0)*'Grading Scale'!E$5)+(IF(I793="yes",1,0)*'Grading Scale'!E$6)+(IF(J793="yes",1,0)*'Grading Scale'!E$7)+(IF(K793="yes",1,0)*'Grading Scale'!E$8)+(IF(L793="yes",1,0)*'Grading Scale'!E$9)+(IF(M793="yes",1,0)*'Grading Scale'!E$10)+(IF(N793="yes",1,0)*'Grading Scale'!E$11)+(IF(O793="yes",1,0)*'Grading Scale'!E$12)+(IF(P793="yes",1,0)*'Grading Scale'!E$13))/'Grading Scale'!E$14*100,0), "")</f>
        <v/>
      </c>
      <c r="T793" s="6" t="str">
        <f>IF(ISNUMBER(S793),VLOOKUP(S793,'Grading Scale'!$A$2:$B$14, 2), "")</f>
        <v/>
      </c>
      <c r="U793" s="7"/>
      <c r="V793" s="7"/>
      <c r="W793" s="7"/>
      <c r="X793" s="7"/>
      <c r="Y793" s="7"/>
      <c r="Z793" s="7"/>
      <c r="AA793" s="7"/>
      <c r="AB793" s="7"/>
      <c r="AC793" s="7"/>
      <c r="AD793" s="7"/>
      <c r="AE793" s="7"/>
      <c r="AF793" s="7"/>
      <c r="AG793" s="7"/>
      <c r="AH793" s="7"/>
      <c r="AI793" s="7"/>
      <c r="AJ793" s="7"/>
    </row>
    <row r="794">
      <c r="A794" s="7"/>
      <c r="B794" s="7"/>
      <c r="C794" s="7"/>
      <c r="D794" s="6" t="str">
        <f>IF(NOT(ISBLANK(C794)), VLOOKUP(C794,'Dataset Descriptions'!$A$2:$B$10, 2, FALSE), "")</f>
        <v/>
      </c>
      <c r="E794" s="7"/>
      <c r="F794" s="7"/>
      <c r="G794" s="7"/>
      <c r="H794" s="7"/>
      <c r="I794" s="7"/>
      <c r="J794" s="7"/>
      <c r="K794" s="7"/>
      <c r="L794" s="7"/>
      <c r="M794" s="7"/>
      <c r="N794" s="7"/>
      <c r="O794" s="7"/>
      <c r="P794" s="7"/>
      <c r="Q794" s="7"/>
      <c r="R794" s="8"/>
      <c r="S794" s="6" t="str">
        <f>IF(NOT(ISBLANK(E794)), ROUND(((IF(E794="yes",1,0)*'Grading Scale'!E$2)+(IF(F794="yes",1,0)*'Grading Scale'!E$3)+(IF(G794="yes",1,0)*'Grading Scale'!E$4)+(IF(H794="yes",1,0)*'Grading Scale'!E$5)+(IF(I794="yes",1,0)*'Grading Scale'!E$6)+(IF(J794="yes",1,0)*'Grading Scale'!E$7)+(IF(K794="yes",1,0)*'Grading Scale'!E$8)+(IF(L794="yes",1,0)*'Grading Scale'!E$9)+(IF(M794="yes",1,0)*'Grading Scale'!E$10)+(IF(N794="yes",1,0)*'Grading Scale'!E$11)+(IF(O794="yes",1,0)*'Grading Scale'!E$12)+(IF(P794="yes",1,0)*'Grading Scale'!E$13))/'Grading Scale'!E$14*100,0), "")</f>
        <v/>
      </c>
      <c r="T794" s="6" t="str">
        <f>IF(ISNUMBER(S794),VLOOKUP(S794,'Grading Scale'!$A$2:$B$14, 2), "")</f>
        <v/>
      </c>
      <c r="U794" s="7"/>
      <c r="V794" s="7"/>
      <c r="W794" s="7"/>
      <c r="X794" s="7"/>
      <c r="Y794" s="7"/>
      <c r="Z794" s="7"/>
      <c r="AA794" s="7"/>
      <c r="AB794" s="7"/>
      <c r="AC794" s="7"/>
      <c r="AD794" s="7"/>
      <c r="AE794" s="7"/>
      <c r="AF794" s="7"/>
      <c r="AG794" s="7"/>
      <c r="AH794" s="7"/>
      <c r="AI794" s="7"/>
      <c r="AJ794" s="7"/>
    </row>
    <row r="795">
      <c r="A795" s="7"/>
      <c r="B795" s="7"/>
      <c r="C795" s="7"/>
      <c r="D795" s="6" t="str">
        <f>IF(NOT(ISBLANK(C795)), VLOOKUP(C795,'Dataset Descriptions'!$A$2:$B$10, 2, FALSE), "")</f>
        <v/>
      </c>
      <c r="E795" s="7"/>
      <c r="F795" s="7"/>
      <c r="G795" s="7"/>
      <c r="H795" s="7"/>
      <c r="I795" s="7"/>
      <c r="J795" s="7"/>
      <c r="K795" s="7"/>
      <c r="L795" s="7"/>
      <c r="M795" s="7"/>
      <c r="N795" s="7"/>
      <c r="O795" s="7"/>
      <c r="P795" s="7"/>
      <c r="Q795" s="7"/>
      <c r="R795" s="8"/>
      <c r="S795" s="6" t="str">
        <f>IF(NOT(ISBLANK(E795)), ROUND(((IF(E795="yes",1,0)*'Grading Scale'!E$2)+(IF(F795="yes",1,0)*'Grading Scale'!E$3)+(IF(G795="yes",1,0)*'Grading Scale'!E$4)+(IF(H795="yes",1,0)*'Grading Scale'!E$5)+(IF(I795="yes",1,0)*'Grading Scale'!E$6)+(IF(J795="yes",1,0)*'Grading Scale'!E$7)+(IF(K795="yes",1,0)*'Grading Scale'!E$8)+(IF(L795="yes",1,0)*'Grading Scale'!E$9)+(IF(M795="yes",1,0)*'Grading Scale'!E$10)+(IF(N795="yes",1,0)*'Grading Scale'!E$11)+(IF(O795="yes",1,0)*'Grading Scale'!E$12)+(IF(P795="yes",1,0)*'Grading Scale'!E$13))/'Grading Scale'!E$14*100,0), "")</f>
        <v/>
      </c>
      <c r="T795" s="6" t="str">
        <f>IF(ISNUMBER(S795),VLOOKUP(S795,'Grading Scale'!$A$2:$B$14, 2), "")</f>
        <v/>
      </c>
      <c r="U795" s="7"/>
      <c r="V795" s="7"/>
      <c r="W795" s="7"/>
      <c r="X795" s="7"/>
      <c r="Y795" s="7"/>
      <c r="Z795" s="7"/>
      <c r="AA795" s="7"/>
      <c r="AB795" s="7"/>
      <c r="AC795" s="7"/>
      <c r="AD795" s="7"/>
      <c r="AE795" s="7"/>
      <c r="AF795" s="7"/>
      <c r="AG795" s="7"/>
      <c r="AH795" s="7"/>
      <c r="AI795" s="7"/>
      <c r="AJ795" s="7"/>
    </row>
    <row r="796">
      <c r="A796" s="7"/>
      <c r="B796" s="7"/>
      <c r="C796" s="7"/>
      <c r="D796" s="6" t="str">
        <f>IF(NOT(ISBLANK(C796)), VLOOKUP(C796,'Dataset Descriptions'!$A$2:$B$10, 2, FALSE), "")</f>
        <v/>
      </c>
      <c r="E796" s="7"/>
      <c r="F796" s="7"/>
      <c r="G796" s="7"/>
      <c r="H796" s="7"/>
      <c r="I796" s="7"/>
      <c r="J796" s="7"/>
      <c r="K796" s="7"/>
      <c r="L796" s="7"/>
      <c r="M796" s="7"/>
      <c r="N796" s="7"/>
      <c r="O796" s="7"/>
      <c r="P796" s="7"/>
      <c r="Q796" s="7"/>
      <c r="R796" s="8"/>
      <c r="S796" s="6" t="str">
        <f>IF(NOT(ISBLANK(E796)), ROUND(((IF(E796="yes",1,0)*'Grading Scale'!E$2)+(IF(F796="yes",1,0)*'Grading Scale'!E$3)+(IF(G796="yes",1,0)*'Grading Scale'!E$4)+(IF(H796="yes",1,0)*'Grading Scale'!E$5)+(IF(I796="yes",1,0)*'Grading Scale'!E$6)+(IF(J796="yes",1,0)*'Grading Scale'!E$7)+(IF(K796="yes",1,0)*'Grading Scale'!E$8)+(IF(L796="yes",1,0)*'Grading Scale'!E$9)+(IF(M796="yes",1,0)*'Grading Scale'!E$10)+(IF(N796="yes",1,0)*'Grading Scale'!E$11)+(IF(O796="yes",1,0)*'Grading Scale'!E$12)+(IF(P796="yes",1,0)*'Grading Scale'!E$13))/'Grading Scale'!E$14*100,0), "")</f>
        <v/>
      </c>
      <c r="T796" s="6" t="str">
        <f>IF(ISNUMBER(S796),VLOOKUP(S796,'Grading Scale'!$A$2:$B$14, 2), "")</f>
        <v/>
      </c>
      <c r="U796" s="7"/>
      <c r="V796" s="7"/>
      <c r="W796" s="7"/>
      <c r="X796" s="7"/>
      <c r="Y796" s="7"/>
      <c r="Z796" s="7"/>
      <c r="AA796" s="7"/>
      <c r="AB796" s="7"/>
      <c r="AC796" s="7"/>
      <c r="AD796" s="7"/>
      <c r="AE796" s="7"/>
      <c r="AF796" s="7"/>
      <c r="AG796" s="7"/>
      <c r="AH796" s="7"/>
      <c r="AI796" s="7"/>
      <c r="AJ796" s="7"/>
    </row>
    <row r="797">
      <c r="A797" s="7"/>
      <c r="B797" s="7"/>
      <c r="C797" s="7"/>
      <c r="D797" s="6" t="str">
        <f>IF(NOT(ISBLANK(C797)), VLOOKUP(C797,'Dataset Descriptions'!$A$2:$B$10, 2, FALSE), "")</f>
        <v/>
      </c>
      <c r="E797" s="7"/>
      <c r="F797" s="7"/>
      <c r="G797" s="7"/>
      <c r="H797" s="7"/>
      <c r="I797" s="7"/>
      <c r="J797" s="7"/>
      <c r="K797" s="7"/>
      <c r="L797" s="7"/>
      <c r="M797" s="7"/>
      <c r="N797" s="7"/>
      <c r="O797" s="7"/>
      <c r="P797" s="7"/>
      <c r="Q797" s="7"/>
      <c r="R797" s="8"/>
      <c r="S797" s="6" t="str">
        <f>IF(NOT(ISBLANK(E797)), ROUND(((IF(E797="yes",1,0)*'Grading Scale'!E$2)+(IF(F797="yes",1,0)*'Grading Scale'!E$3)+(IF(G797="yes",1,0)*'Grading Scale'!E$4)+(IF(H797="yes",1,0)*'Grading Scale'!E$5)+(IF(I797="yes",1,0)*'Grading Scale'!E$6)+(IF(J797="yes",1,0)*'Grading Scale'!E$7)+(IF(K797="yes",1,0)*'Grading Scale'!E$8)+(IF(L797="yes",1,0)*'Grading Scale'!E$9)+(IF(M797="yes",1,0)*'Grading Scale'!E$10)+(IF(N797="yes",1,0)*'Grading Scale'!E$11)+(IF(O797="yes",1,0)*'Grading Scale'!E$12)+(IF(P797="yes",1,0)*'Grading Scale'!E$13))/'Grading Scale'!E$14*100,0), "")</f>
        <v/>
      </c>
      <c r="T797" s="6" t="str">
        <f>IF(ISNUMBER(S797),VLOOKUP(S797,'Grading Scale'!$A$2:$B$14, 2), "")</f>
        <v/>
      </c>
      <c r="U797" s="7"/>
      <c r="V797" s="7"/>
      <c r="W797" s="7"/>
      <c r="X797" s="7"/>
      <c r="Y797" s="7"/>
      <c r="Z797" s="7"/>
      <c r="AA797" s="7"/>
      <c r="AB797" s="7"/>
      <c r="AC797" s="7"/>
      <c r="AD797" s="7"/>
      <c r="AE797" s="7"/>
      <c r="AF797" s="7"/>
      <c r="AG797" s="7"/>
      <c r="AH797" s="7"/>
      <c r="AI797" s="7"/>
      <c r="AJ797" s="7"/>
    </row>
    <row r="798">
      <c r="A798" s="7"/>
      <c r="B798" s="7"/>
      <c r="C798" s="7"/>
      <c r="D798" s="6" t="str">
        <f>IF(NOT(ISBLANK(C798)), VLOOKUP(C798,'Dataset Descriptions'!$A$2:$B$10, 2, FALSE), "")</f>
        <v/>
      </c>
      <c r="E798" s="7"/>
      <c r="F798" s="7"/>
      <c r="G798" s="7"/>
      <c r="H798" s="7"/>
      <c r="I798" s="7"/>
      <c r="J798" s="7"/>
      <c r="K798" s="7"/>
      <c r="L798" s="7"/>
      <c r="M798" s="7"/>
      <c r="N798" s="7"/>
      <c r="O798" s="7"/>
      <c r="P798" s="7"/>
      <c r="Q798" s="7"/>
      <c r="R798" s="8"/>
      <c r="S798" s="6" t="str">
        <f>IF(NOT(ISBLANK(E798)), ROUND(((IF(E798="yes",1,0)*'Grading Scale'!E$2)+(IF(F798="yes",1,0)*'Grading Scale'!E$3)+(IF(G798="yes",1,0)*'Grading Scale'!E$4)+(IF(H798="yes",1,0)*'Grading Scale'!E$5)+(IF(I798="yes",1,0)*'Grading Scale'!E$6)+(IF(J798="yes",1,0)*'Grading Scale'!E$7)+(IF(K798="yes",1,0)*'Grading Scale'!E$8)+(IF(L798="yes",1,0)*'Grading Scale'!E$9)+(IF(M798="yes",1,0)*'Grading Scale'!E$10)+(IF(N798="yes",1,0)*'Grading Scale'!E$11)+(IF(O798="yes",1,0)*'Grading Scale'!E$12)+(IF(P798="yes",1,0)*'Grading Scale'!E$13))/'Grading Scale'!E$14*100,0), "")</f>
        <v/>
      </c>
      <c r="T798" s="6" t="str">
        <f>IF(ISNUMBER(S798),VLOOKUP(S798,'Grading Scale'!$A$2:$B$14, 2), "")</f>
        <v/>
      </c>
      <c r="U798" s="7"/>
      <c r="V798" s="7"/>
      <c r="W798" s="7"/>
      <c r="X798" s="7"/>
      <c r="Y798" s="7"/>
      <c r="Z798" s="7"/>
      <c r="AA798" s="7"/>
      <c r="AB798" s="7"/>
      <c r="AC798" s="7"/>
      <c r="AD798" s="7"/>
      <c r="AE798" s="7"/>
      <c r="AF798" s="7"/>
      <c r="AG798" s="7"/>
      <c r="AH798" s="7"/>
      <c r="AI798" s="7"/>
      <c r="AJ798" s="7"/>
    </row>
    <row r="799">
      <c r="A799" s="7"/>
      <c r="B799" s="7"/>
      <c r="C799" s="7"/>
      <c r="D799" s="6" t="str">
        <f>IF(NOT(ISBLANK(C799)), VLOOKUP(C799,'Dataset Descriptions'!$A$2:$B$10, 2, FALSE), "")</f>
        <v/>
      </c>
      <c r="E799" s="7"/>
      <c r="F799" s="7"/>
      <c r="G799" s="7"/>
      <c r="H799" s="7"/>
      <c r="I799" s="7"/>
      <c r="J799" s="7"/>
      <c r="K799" s="7"/>
      <c r="L799" s="7"/>
      <c r="M799" s="7"/>
      <c r="N799" s="7"/>
      <c r="O799" s="7"/>
      <c r="P799" s="7"/>
      <c r="Q799" s="7"/>
      <c r="R799" s="8"/>
      <c r="S799" s="6" t="str">
        <f>IF(NOT(ISBLANK(E799)), ROUND(((IF(E799="yes",1,0)*'Grading Scale'!E$2)+(IF(F799="yes",1,0)*'Grading Scale'!E$3)+(IF(G799="yes",1,0)*'Grading Scale'!E$4)+(IF(H799="yes",1,0)*'Grading Scale'!E$5)+(IF(I799="yes",1,0)*'Grading Scale'!E$6)+(IF(J799="yes",1,0)*'Grading Scale'!E$7)+(IF(K799="yes",1,0)*'Grading Scale'!E$8)+(IF(L799="yes",1,0)*'Grading Scale'!E$9)+(IF(M799="yes",1,0)*'Grading Scale'!E$10)+(IF(N799="yes",1,0)*'Grading Scale'!E$11)+(IF(O799="yes",1,0)*'Grading Scale'!E$12)+(IF(P799="yes",1,0)*'Grading Scale'!E$13))/'Grading Scale'!E$14*100,0), "")</f>
        <v/>
      </c>
      <c r="T799" s="6" t="str">
        <f>IF(ISNUMBER(S799),VLOOKUP(S799,'Grading Scale'!$A$2:$B$14, 2), "")</f>
        <v/>
      </c>
      <c r="U799" s="7"/>
      <c r="V799" s="7"/>
      <c r="W799" s="7"/>
      <c r="X799" s="7"/>
      <c r="Y799" s="7"/>
      <c r="Z799" s="7"/>
      <c r="AA799" s="7"/>
      <c r="AB799" s="7"/>
      <c r="AC799" s="7"/>
      <c r="AD799" s="7"/>
      <c r="AE799" s="7"/>
      <c r="AF799" s="7"/>
      <c r="AG799" s="7"/>
      <c r="AH799" s="7"/>
      <c r="AI799" s="7"/>
      <c r="AJ799" s="7"/>
    </row>
    <row r="800">
      <c r="A800" s="7"/>
      <c r="B800" s="7"/>
      <c r="C800" s="7"/>
      <c r="D800" s="6" t="str">
        <f>IF(NOT(ISBLANK(C800)), VLOOKUP(C800,'Dataset Descriptions'!$A$2:$B$10, 2, FALSE), "")</f>
        <v/>
      </c>
      <c r="E800" s="7"/>
      <c r="F800" s="7"/>
      <c r="G800" s="7"/>
      <c r="H800" s="7"/>
      <c r="I800" s="7"/>
      <c r="J800" s="7"/>
      <c r="K800" s="7"/>
      <c r="L800" s="7"/>
      <c r="M800" s="7"/>
      <c r="N800" s="7"/>
      <c r="O800" s="7"/>
      <c r="P800" s="7"/>
      <c r="Q800" s="7"/>
      <c r="R800" s="8"/>
      <c r="S800" s="6" t="str">
        <f>IF(NOT(ISBLANK(E800)), ROUND(((IF(E800="yes",1,0)*'Grading Scale'!E$2)+(IF(F800="yes",1,0)*'Grading Scale'!E$3)+(IF(G800="yes",1,0)*'Grading Scale'!E$4)+(IF(H800="yes",1,0)*'Grading Scale'!E$5)+(IF(I800="yes",1,0)*'Grading Scale'!E$6)+(IF(J800="yes",1,0)*'Grading Scale'!E$7)+(IF(K800="yes",1,0)*'Grading Scale'!E$8)+(IF(L800="yes",1,0)*'Grading Scale'!E$9)+(IF(M800="yes",1,0)*'Grading Scale'!E$10)+(IF(N800="yes",1,0)*'Grading Scale'!E$11)+(IF(O800="yes",1,0)*'Grading Scale'!E$12)+(IF(P800="yes",1,0)*'Grading Scale'!E$13))/'Grading Scale'!E$14*100,0), "")</f>
        <v/>
      </c>
      <c r="T800" s="6" t="str">
        <f>IF(ISNUMBER(S800),VLOOKUP(S800,'Grading Scale'!$A$2:$B$14, 2), "")</f>
        <v/>
      </c>
      <c r="U800" s="7"/>
      <c r="V800" s="7"/>
      <c r="W800" s="7"/>
      <c r="X800" s="7"/>
      <c r="Y800" s="7"/>
      <c r="Z800" s="7"/>
      <c r="AA800" s="7"/>
      <c r="AB800" s="7"/>
      <c r="AC800" s="7"/>
      <c r="AD800" s="7"/>
      <c r="AE800" s="7"/>
      <c r="AF800" s="7"/>
      <c r="AG800" s="7"/>
      <c r="AH800" s="7"/>
      <c r="AI800" s="7"/>
      <c r="AJ800" s="7"/>
    </row>
    <row r="801">
      <c r="A801" s="7"/>
      <c r="B801" s="7"/>
      <c r="C801" s="7"/>
      <c r="D801" s="6" t="str">
        <f>IF(NOT(ISBLANK(C801)), VLOOKUP(C801,'Dataset Descriptions'!$A$2:$B$10, 2, FALSE), "")</f>
        <v/>
      </c>
      <c r="E801" s="7"/>
      <c r="F801" s="7"/>
      <c r="G801" s="7"/>
      <c r="H801" s="7"/>
      <c r="I801" s="7"/>
      <c r="J801" s="7"/>
      <c r="K801" s="7"/>
      <c r="L801" s="7"/>
      <c r="M801" s="7"/>
      <c r="N801" s="7"/>
      <c r="O801" s="7"/>
      <c r="P801" s="7"/>
      <c r="Q801" s="7"/>
      <c r="R801" s="8"/>
      <c r="S801" s="6" t="str">
        <f>IF(NOT(ISBLANK(E801)), ROUND(((IF(E801="yes",1,0)*'Grading Scale'!E$2)+(IF(F801="yes",1,0)*'Grading Scale'!E$3)+(IF(G801="yes",1,0)*'Grading Scale'!E$4)+(IF(H801="yes",1,0)*'Grading Scale'!E$5)+(IF(I801="yes",1,0)*'Grading Scale'!E$6)+(IF(J801="yes",1,0)*'Grading Scale'!E$7)+(IF(K801="yes",1,0)*'Grading Scale'!E$8)+(IF(L801="yes",1,0)*'Grading Scale'!E$9)+(IF(M801="yes",1,0)*'Grading Scale'!E$10)+(IF(N801="yes",1,0)*'Grading Scale'!E$11)+(IF(O801="yes",1,0)*'Grading Scale'!E$12)+(IF(P801="yes",1,0)*'Grading Scale'!E$13))/'Grading Scale'!E$14*100,0), "")</f>
        <v/>
      </c>
      <c r="T801" s="6" t="str">
        <f>IF(ISNUMBER(S801),VLOOKUP(S801,'Grading Scale'!$A$2:$B$14, 2), "")</f>
        <v/>
      </c>
      <c r="U801" s="7"/>
      <c r="V801" s="7"/>
      <c r="W801" s="7"/>
      <c r="X801" s="7"/>
      <c r="Y801" s="7"/>
      <c r="Z801" s="7"/>
      <c r="AA801" s="7"/>
      <c r="AB801" s="7"/>
      <c r="AC801" s="7"/>
      <c r="AD801" s="7"/>
      <c r="AE801" s="7"/>
      <c r="AF801" s="7"/>
      <c r="AG801" s="7"/>
      <c r="AH801" s="7"/>
      <c r="AI801" s="7"/>
      <c r="AJ801" s="7"/>
    </row>
    <row r="802">
      <c r="A802" s="7"/>
      <c r="B802" s="7"/>
      <c r="C802" s="7"/>
      <c r="D802" s="6" t="str">
        <f>IF(NOT(ISBLANK(C802)), VLOOKUP(C802,'Dataset Descriptions'!$A$2:$B$10, 2, FALSE), "")</f>
        <v/>
      </c>
      <c r="E802" s="7"/>
      <c r="F802" s="7"/>
      <c r="G802" s="7"/>
      <c r="H802" s="7"/>
      <c r="I802" s="7"/>
      <c r="J802" s="7"/>
      <c r="K802" s="7"/>
      <c r="L802" s="7"/>
      <c r="M802" s="7"/>
      <c r="N802" s="7"/>
      <c r="O802" s="7"/>
      <c r="P802" s="7"/>
      <c r="Q802" s="7"/>
      <c r="R802" s="8"/>
      <c r="S802" s="6" t="str">
        <f>IF(NOT(ISBLANK(E802)), ROUND(((IF(E802="yes",1,0)*'Grading Scale'!E$2)+(IF(F802="yes",1,0)*'Grading Scale'!E$3)+(IF(G802="yes",1,0)*'Grading Scale'!E$4)+(IF(H802="yes",1,0)*'Grading Scale'!E$5)+(IF(I802="yes",1,0)*'Grading Scale'!E$6)+(IF(J802="yes",1,0)*'Grading Scale'!E$7)+(IF(K802="yes",1,0)*'Grading Scale'!E$8)+(IF(L802="yes",1,0)*'Grading Scale'!E$9)+(IF(M802="yes",1,0)*'Grading Scale'!E$10)+(IF(N802="yes",1,0)*'Grading Scale'!E$11)+(IF(O802="yes",1,0)*'Grading Scale'!E$12)+(IF(P802="yes",1,0)*'Grading Scale'!E$13))/'Grading Scale'!E$14*100,0), "")</f>
        <v/>
      </c>
      <c r="T802" s="6" t="str">
        <f>IF(ISNUMBER(S802),VLOOKUP(S802,'Grading Scale'!$A$2:$B$14, 2), "")</f>
        <v/>
      </c>
      <c r="U802" s="7"/>
      <c r="V802" s="7"/>
      <c r="W802" s="7"/>
      <c r="X802" s="7"/>
      <c r="Y802" s="7"/>
      <c r="Z802" s="7"/>
      <c r="AA802" s="7"/>
      <c r="AB802" s="7"/>
      <c r="AC802" s="7"/>
      <c r="AD802" s="7"/>
      <c r="AE802" s="7"/>
      <c r="AF802" s="7"/>
      <c r="AG802" s="7"/>
      <c r="AH802" s="7"/>
      <c r="AI802" s="7"/>
      <c r="AJ802" s="7"/>
    </row>
    <row r="803">
      <c r="A803" s="7"/>
      <c r="B803" s="7"/>
      <c r="C803" s="7"/>
      <c r="D803" s="6" t="str">
        <f>IF(NOT(ISBLANK(C803)), VLOOKUP(C803,'Dataset Descriptions'!$A$2:$B$10, 2, FALSE), "")</f>
        <v/>
      </c>
      <c r="E803" s="7"/>
      <c r="F803" s="7"/>
      <c r="G803" s="7"/>
      <c r="H803" s="7"/>
      <c r="I803" s="7"/>
      <c r="J803" s="7"/>
      <c r="K803" s="7"/>
      <c r="L803" s="7"/>
      <c r="M803" s="7"/>
      <c r="N803" s="7"/>
      <c r="O803" s="7"/>
      <c r="P803" s="7"/>
      <c r="Q803" s="7"/>
      <c r="R803" s="8"/>
      <c r="S803" s="6" t="str">
        <f>IF(NOT(ISBLANK(E803)), ROUND(((IF(E803="yes",1,0)*'Grading Scale'!E$2)+(IF(F803="yes",1,0)*'Grading Scale'!E$3)+(IF(G803="yes",1,0)*'Grading Scale'!E$4)+(IF(H803="yes",1,0)*'Grading Scale'!E$5)+(IF(I803="yes",1,0)*'Grading Scale'!E$6)+(IF(J803="yes",1,0)*'Grading Scale'!E$7)+(IF(K803="yes",1,0)*'Grading Scale'!E$8)+(IF(L803="yes",1,0)*'Grading Scale'!E$9)+(IF(M803="yes",1,0)*'Grading Scale'!E$10)+(IF(N803="yes",1,0)*'Grading Scale'!E$11)+(IF(O803="yes",1,0)*'Grading Scale'!E$12)+(IF(P803="yes",1,0)*'Grading Scale'!E$13))/'Grading Scale'!E$14*100,0), "")</f>
        <v/>
      </c>
      <c r="T803" s="6" t="str">
        <f>IF(ISNUMBER(S803),VLOOKUP(S803,'Grading Scale'!$A$2:$B$14, 2), "")</f>
        <v/>
      </c>
      <c r="U803" s="7"/>
      <c r="V803" s="7"/>
      <c r="W803" s="7"/>
      <c r="X803" s="7"/>
      <c r="Y803" s="7"/>
      <c r="Z803" s="7"/>
      <c r="AA803" s="7"/>
      <c r="AB803" s="7"/>
      <c r="AC803" s="7"/>
      <c r="AD803" s="7"/>
      <c r="AE803" s="7"/>
      <c r="AF803" s="7"/>
      <c r="AG803" s="7"/>
      <c r="AH803" s="7"/>
      <c r="AI803" s="7"/>
      <c r="AJ803" s="7"/>
    </row>
    <row r="804">
      <c r="A804" s="7"/>
      <c r="B804" s="7"/>
      <c r="C804" s="7"/>
      <c r="D804" s="6" t="str">
        <f>IF(NOT(ISBLANK(C804)), VLOOKUP(C804,'Dataset Descriptions'!$A$2:$B$10, 2, FALSE), "")</f>
        <v/>
      </c>
      <c r="E804" s="7"/>
      <c r="F804" s="7"/>
      <c r="G804" s="7"/>
      <c r="H804" s="7"/>
      <c r="I804" s="7"/>
      <c r="J804" s="7"/>
      <c r="K804" s="7"/>
      <c r="L804" s="7"/>
      <c r="M804" s="7"/>
      <c r="N804" s="7"/>
      <c r="O804" s="7"/>
      <c r="P804" s="7"/>
      <c r="Q804" s="7"/>
      <c r="R804" s="8"/>
      <c r="S804" s="6" t="str">
        <f>IF(NOT(ISBLANK(E804)), ROUND(((IF(E804="yes",1,0)*'Grading Scale'!E$2)+(IF(F804="yes",1,0)*'Grading Scale'!E$3)+(IF(G804="yes",1,0)*'Grading Scale'!E$4)+(IF(H804="yes",1,0)*'Grading Scale'!E$5)+(IF(I804="yes",1,0)*'Grading Scale'!E$6)+(IF(J804="yes",1,0)*'Grading Scale'!E$7)+(IF(K804="yes",1,0)*'Grading Scale'!E$8)+(IF(L804="yes",1,0)*'Grading Scale'!E$9)+(IF(M804="yes",1,0)*'Grading Scale'!E$10)+(IF(N804="yes",1,0)*'Grading Scale'!E$11)+(IF(O804="yes",1,0)*'Grading Scale'!E$12)+(IF(P804="yes",1,0)*'Grading Scale'!E$13))/'Grading Scale'!E$14*100,0), "")</f>
        <v/>
      </c>
      <c r="T804" s="6" t="str">
        <f>IF(ISNUMBER(S804),VLOOKUP(S804,'Grading Scale'!$A$2:$B$14, 2), "")</f>
        <v/>
      </c>
      <c r="U804" s="7"/>
      <c r="V804" s="7"/>
      <c r="W804" s="7"/>
      <c r="X804" s="7"/>
      <c r="Y804" s="7"/>
      <c r="Z804" s="7"/>
      <c r="AA804" s="7"/>
      <c r="AB804" s="7"/>
      <c r="AC804" s="7"/>
      <c r="AD804" s="7"/>
      <c r="AE804" s="7"/>
      <c r="AF804" s="7"/>
      <c r="AG804" s="7"/>
      <c r="AH804" s="7"/>
      <c r="AI804" s="7"/>
      <c r="AJ804" s="7"/>
    </row>
    <row r="805">
      <c r="A805" s="7"/>
      <c r="B805" s="7"/>
      <c r="C805" s="7"/>
      <c r="D805" s="6" t="str">
        <f>IF(NOT(ISBLANK(C805)), VLOOKUP(C805,'Dataset Descriptions'!$A$2:$B$10, 2, FALSE), "")</f>
        <v/>
      </c>
      <c r="E805" s="7"/>
      <c r="F805" s="7"/>
      <c r="G805" s="7"/>
      <c r="H805" s="7"/>
      <c r="I805" s="7"/>
      <c r="J805" s="7"/>
      <c r="K805" s="7"/>
      <c r="L805" s="7"/>
      <c r="M805" s="7"/>
      <c r="N805" s="7"/>
      <c r="O805" s="7"/>
      <c r="P805" s="7"/>
      <c r="Q805" s="7"/>
      <c r="R805" s="8"/>
      <c r="S805" s="6" t="str">
        <f>IF(NOT(ISBLANK(E805)), ROUND(((IF(E805="yes",1,0)*'Grading Scale'!E$2)+(IF(F805="yes",1,0)*'Grading Scale'!E$3)+(IF(G805="yes",1,0)*'Grading Scale'!E$4)+(IF(H805="yes",1,0)*'Grading Scale'!E$5)+(IF(I805="yes",1,0)*'Grading Scale'!E$6)+(IF(J805="yes",1,0)*'Grading Scale'!E$7)+(IF(K805="yes",1,0)*'Grading Scale'!E$8)+(IF(L805="yes",1,0)*'Grading Scale'!E$9)+(IF(M805="yes",1,0)*'Grading Scale'!E$10)+(IF(N805="yes",1,0)*'Grading Scale'!E$11)+(IF(O805="yes",1,0)*'Grading Scale'!E$12)+(IF(P805="yes",1,0)*'Grading Scale'!E$13))/'Grading Scale'!E$14*100,0), "")</f>
        <v/>
      </c>
      <c r="T805" s="6" t="str">
        <f>IF(ISNUMBER(S805),VLOOKUP(S805,'Grading Scale'!$A$2:$B$14, 2), "")</f>
        <v/>
      </c>
      <c r="U805" s="7"/>
      <c r="V805" s="7"/>
      <c r="W805" s="7"/>
      <c r="X805" s="7"/>
      <c r="Y805" s="7"/>
      <c r="Z805" s="7"/>
      <c r="AA805" s="7"/>
      <c r="AB805" s="7"/>
      <c r="AC805" s="7"/>
      <c r="AD805" s="7"/>
      <c r="AE805" s="7"/>
      <c r="AF805" s="7"/>
      <c r="AG805" s="7"/>
      <c r="AH805" s="7"/>
      <c r="AI805" s="7"/>
      <c r="AJ805" s="7"/>
    </row>
    <row r="806">
      <c r="A806" s="7"/>
      <c r="B806" s="7"/>
      <c r="C806" s="7"/>
      <c r="D806" s="6" t="str">
        <f>IF(NOT(ISBLANK(C806)), VLOOKUP(C806,'Dataset Descriptions'!$A$2:$B$10, 2, FALSE), "")</f>
        <v/>
      </c>
      <c r="E806" s="7"/>
      <c r="F806" s="7"/>
      <c r="G806" s="7"/>
      <c r="H806" s="7"/>
      <c r="I806" s="7"/>
      <c r="J806" s="7"/>
      <c r="K806" s="7"/>
      <c r="L806" s="7"/>
      <c r="M806" s="7"/>
      <c r="N806" s="7"/>
      <c r="O806" s="7"/>
      <c r="P806" s="7"/>
      <c r="Q806" s="7"/>
      <c r="R806" s="8"/>
      <c r="S806" s="6" t="str">
        <f>IF(NOT(ISBLANK(E806)), ROUND(((IF(E806="yes",1,0)*'Grading Scale'!E$2)+(IF(F806="yes",1,0)*'Grading Scale'!E$3)+(IF(G806="yes",1,0)*'Grading Scale'!E$4)+(IF(H806="yes",1,0)*'Grading Scale'!E$5)+(IF(I806="yes",1,0)*'Grading Scale'!E$6)+(IF(J806="yes",1,0)*'Grading Scale'!E$7)+(IF(K806="yes",1,0)*'Grading Scale'!E$8)+(IF(L806="yes",1,0)*'Grading Scale'!E$9)+(IF(M806="yes",1,0)*'Grading Scale'!E$10)+(IF(N806="yes",1,0)*'Grading Scale'!E$11)+(IF(O806="yes",1,0)*'Grading Scale'!E$12)+(IF(P806="yes",1,0)*'Grading Scale'!E$13))/'Grading Scale'!E$14*100,0), "")</f>
        <v/>
      </c>
      <c r="T806" s="6" t="str">
        <f>IF(ISNUMBER(S806),VLOOKUP(S806,'Grading Scale'!$A$2:$B$14, 2), "")</f>
        <v/>
      </c>
      <c r="U806" s="7"/>
      <c r="V806" s="7"/>
      <c r="W806" s="7"/>
      <c r="X806" s="7"/>
      <c r="Y806" s="7"/>
      <c r="Z806" s="7"/>
      <c r="AA806" s="7"/>
      <c r="AB806" s="7"/>
      <c r="AC806" s="7"/>
      <c r="AD806" s="7"/>
      <c r="AE806" s="7"/>
      <c r="AF806" s="7"/>
      <c r="AG806" s="7"/>
      <c r="AH806" s="7"/>
      <c r="AI806" s="7"/>
      <c r="AJ806" s="7"/>
    </row>
    <row r="807">
      <c r="A807" s="7"/>
      <c r="B807" s="7"/>
      <c r="C807" s="7"/>
      <c r="D807" s="6" t="str">
        <f>IF(NOT(ISBLANK(C807)), VLOOKUP(C807,'Dataset Descriptions'!$A$2:$B$10, 2, FALSE), "")</f>
        <v/>
      </c>
      <c r="E807" s="7"/>
      <c r="F807" s="7"/>
      <c r="G807" s="7"/>
      <c r="H807" s="7"/>
      <c r="I807" s="7"/>
      <c r="J807" s="7"/>
      <c r="K807" s="7"/>
      <c r="L807" s="7"/>
      <c r="M807" s="7"/>
      <c r="N807" s="7"/>
      <c r="O807" s="7"/>
      <c r="P807" s="7"/>
      <c r="Q807" s="7"/>
      <c r="R807" s="8"/>
      <c r="S807" s="6" t="str">
        <f>IF(NOT(ISBLANK(E807)), ROUND(((IF(E807="yes",1,0)*'Grading Scale'!E$2)+(IF(F807="yes",1,0)*'Grading Scale'!E$3)+(IF(G807="yes",1,0)*'Grading Scale'!E$4)+(IF(H807="yes",1,0)*'Grading Scale'!E$5)+(IF(I807="yes",1,0)*'Grading Scale'!E$6)+(IF(J807="yes",1,0)*'Grading Scale'!E$7)+(IF(K807="yes",1,0)*'Grading Scale'!E$8)+(IF(L807="yes",1,0)*'Grading Scale'!E$9)+(IF(M807="yes",1,0)*'Grading Scale'!E$10)+(IF(N807="yes",1,0)*'Grading Scale'!E$11)+(IF(O807="yes",1,0)*'Grading Scale'!E$12)+(IF(P807="yes",1,0)*'Grading Scale'!E$13))/'Grading Scale'!E$14*100,0), "")</f>
        <v/>
      </c>
      <c r="T807" s="6" t="str">
        <f>IF(ISNUMBER(S807),VLOOKUP(S807,'Grading Scale'!$A$2:$B$14, 2), "")</f>
        <v/>
      </c>
      <c r="U807" s="7"/>
      <c r="V807" s="7"/>
      <c r="W807" s="7"/>
      <c r="X807" s="7"/>
      <c r="Y807" s="7"/>
      <c r="Z807" s="7"/>
      <c r="AA807" s="7"/>
      <c r="AB807" s="7"/>
      <c r="AC807" s="7"/>
      <c r="AD807" s="7"/>
      <c r="AE807" s="7"/>
      <c r="AF807" s="7"/>
      <c r="AG807" s="7"/>
      <c r="AH807" s="7"/>
      <c r="AI807" s="7"/>
      <c r="AJ807" s="7"/>
    </row>
    <row r="808">
      <c r="A808" s="7"/>
      <c r="B808" s="7"/>
      <c r="C808" s="7"/>
      <c r="D808" s="6" t="str">
        <f>IF(NOT(ISBLANK(C808)), VLOOKUP(C808,'Dataset Descriptions'!$A$2:$B$10, 2, FALSE), "")</f>
        <v/>
      </c>
      <c r="E808" s="7"/>
      <c r="F808" s="7"/>
      <c r="G808" s="7"/>
      <c r="H808" s="7"/>
      <c r="I808" s="7"/>
      <c r="J808" s="7"/>
      <c r="K808" s="7"/>
      <c r="L808" s="7"/>
      <c r="M808" s="7"/>
      <c r="N808" s="7"/>
      <c r="O808" s="7"/>
      <c r="P808" s="7"/>
      <c r="Q808" s="7"/>
      <c r="R808" s="8"/>
      <c r="S808" s="6" t="str">
        <f>IF(NOT(ISBLANK(E808)), ROUND(((IF(E808="yes",1,0)*'Grading Scale'!E$2)+(IF(F808="yes",1,0)*'Grading Scale'!E$3)+(IF(G808="yes",1,0)*'Grading Scale'!E$4)+(IF(H808="yes",1,0)*'Grading Scale'!E$5)+(IF(I808="yes",1,0)*'Grading Scale'!E$6)+(IF(J808="yes",1,0)*'Grading Scale'!E$7)+(IF(K808="yes",1,0)*'Grading Scale'!E$8)+(IF(L808="yes",1,0)*'Grading Scale'!E$9)+(IF(M808="yes",1,0)*'Grading Scale'!E$10)+(IF(N808="yes",1,0)*'Grading Scale'!E$11)+(IF(O808="yes",1,0)*'Grading Scale'!E$12)+(IF(P808="yes",1,0)*'Grading Scale'!E$13))/'Grading Scale'!E$14*100,0), "")</f>
        <v/>
      </c>
      <c r="T808" s="6" t="str">
        <f>IF(ISNUMBER(S808),VLOOKUP(S808,'Grading Scale'!$A$2:$B$14, 2), "")</f>
        <v/>
      </c>
      <c r="U808" s="7"/>
      <c r="V808" s="7"/>
      <c r="W808" s="7"/>
      <c r="X808" s="7"/>
      <c r="Y808" s="7"/>
      <c r="Z808" s="7"/>
      <c r="AA808" s="7"/>
      <c r="AB808" s="7"/>
      <c r="AC808" s="7"/>
      <c r="AD808" s="7"/>
      <c r="AE808" s="7"/>
      <c r="AF808" s="7"/>
      <c r="AG808" s="7"/>
      <c r="AH808" s="7"/>
      <c r="AI808" s="7"/>
      <c r="AJ808" s="7"/>
    </row>
    <row r="809">
      <c r="A809" s="7"/>
      <c r="B809" s="7"/>
      <c r="C809" s="7"/>
      <c r="D809" s="6" t="str">
        <f>IF(NOT(ISBLANK(C809)), VLOOKUP(C809,'Dataset Descriptions'!$A$2:$B$10, 2, FALSE), "")</f>
        <v/>
      </c>
      <c r="E809" s="7"/>
      <c r="F809" s="7"/>
      <c r="G809" s="7"/>
      <c r="H809" s="7"/>
      <c r="I809" s="7"/>
      <c r="J809" s="7"/>
      <c r="K809" s="7"/>
      <c r="L809" s="7"/>
      <c r="M809" s="7"/>
      <c r="N809" s="7"/>
      <c r="O809" s="7"/>
      <c r="P809" s="7"/>
      <c r="Q809" s="7"/>
      <c r="R809" s="8"/>
      <c r="S809" s="6" t="str">
        <f>IF(NOT(ISBLANK(E809)), ROUND(((IF(E809="yes",1,0)*'Grading Scale'!E$2)+(IF(F809="yes",1,0)*'Grading Scale'!E$3)+(IF(G809="yes",1,0)*'Grading Scale'!E$4)+(IF(H809="yes",1,0)*'Grading Scale'!E$5)+(IF(I809="yes",1,0)*'Grading Scale'!E$6)+(IF(J809="yes",1,0)*'Grading Scale'!E$7)+(IF(K809="yes",1,0)*'Grading Scale'!E$8)+(IF(L809="yes",1,0)*'Grading Scale'!E$9)+(IF(M809="yes",1,0)*'Grading Scale'!E$10)+(IF(N809="yes",1,0)*'Grading Scale'!E$11)+(IF(O809="yes",1,0)*'Grading Scale'!E$12)+(IF(P809="yes",1,0)*'Grading Scale'!E$13))/'Grading Scale'!E$14*100,0), "")</f>
        <v/>
      </c>
      <c r="T809" s="6" t="str">
        <f>IF(ISNUMBER(S809),VLOOKUP(S809,'Grading Scale'!$A$2:$B$14, 2), "")</f>
        <v/>
      </c>
      <c r="U809" s="7"/>
      <c r="V809" s="7"/>
      <c r="W809" s="7"/>
      <c r="X809" s="7"/>
      <c r="Y809" s="7"/>
      <c r="Z809" s="7"/>
      <c r="AA809" s="7"/>
      <c r="AB809" s="7"/>
      <c r="AC809" s="7"/>
      <c r="AD809" s="7"/>
      <c r="AE809" s="7"/>
      <c r="AF809" s="7"/>
      <c r="AG809" s="7"/>
      <c r="AH809" s="7"/>
      <c r="AI809" s="7"/>
      <c r="AJ809" s="7"/>
    </row>
    <row r="810">
      <c r="A810" s="7"/>
      <c r="B810" s="7"/>
      <c r="C810" s="7"/>
      <c r="D810" s="6" t="str">
        <f>IF(NOT(ISBLANK(C810)), VLOOKUP(C810,'Dataset Descriptions'!$A$2:$B$10, 2, FALSE), "")</f>
        <v/>
      </c>
      <c r="E810" s="7"/>
      <c r="F810" s="7"/>
      <c r="G810" s="7"/>
      <c r="H810" s="7"/>
      <c r="I810" s="7"/>
      <c r="J810" s="7"/>
      <c r="K810" s="7"/>
      <c r="L810" s="7"/>
      <c r="M810" s="7"/>
      <c r="N810" s="7"/>
      <c r="O810" s="7"/>
      <c r="P810" s="7"/>
      <c r="Q810" s="7"/>
      <c r="R810" s="8"/>
      <c r="S810" s="6" t="str">
        <f>IF(NOT(ISBLANK(E810)), ROUND(((IF(E810="yes",1,0)*'Grading Scale'!E$2)+(IF(F810="yes",1,0)*'Grading Scale'!E$3)+(IF(G810="yes",1,0)*'Grading Scale'!E$4)+(IF(H810="yes",1,0)*'Grading Scale'!E$5)+(IF(I810="yes",1,0)*'Grading Scale'!E$6)+(IF(J810="yes",1,0)*'Grading Scale'!E$7)+(IF(K810="yes",1,0)*'Grading Scale'!E$8)+(IF(L810="yes",1,0)*'Grading Scale'!E$9)+(IF(M810="yes",1,0)*'Grading Scale'!E$10)+(IF(N810="yes",1,0)*'Grading Scale'!E$11)+(IF(O810="yes",1,0)*'Grading Scale'!E$12)+(IF(P810="yes",1,0)*'Grading Scale'!E$13))/'Grading Scale'!E$14*100,0), "")</f>
        <v/>
      </c>
      <c r="T810" s="6" t="str">
        <f>IF(ISNUMBER(S810),VLOOKUP(S810,'Grading Scale'!$A$2:$B$14, 2), "")</f>
        <v/>
      </c>
      <c r="U810" s="7"/>
      <c r="V810" s="7"/>
      <c r="W810" s="7"/>
      <c r="X810" s="7"/>
      <c r="Y810" s="7"/>
      <c r="Z810" s="7"/>
      <c r="AA810" s="7"/>
      <c r="AB810" s="7"/>
      <c r="AC810" s="7"/>
      <c r="AD810" s="7"/>
      <c r="AE810" s="7"/>
      <c r="AF810" s="7"/>
      <c r="AG810" s="7"/>
      <c r="AH810" s="7"/>
      <c r="AI810" s="7"/>
      <c r="AJ810" s="7"/>
    </row>
    <row r="811">
      <c r="A811" s="7"/>
      <c r="B811" s="7"/>
      <c r="C811" s="7"/>
      <c r="D811" s="6" t="str">
        <f>IF(NOT(ISBLANK(C811)), VLOOKUP(C811,'Dataset Descriptions'!$A$2:$B$10, 2, FALSE), "")</f>
        <v/>
      </c>
      <c r="E811" s="7"/>
      <c r="F811" s="7"/>
      <c r="G811" s="7"/>
      <c r="H811" s="7"/>
      <c r="I811" s="7"/>
      <c r="J811" s="7"/>
      <c r="K811" s="7"/>
      <c r="L811" s="7"/>
      <c r="M811" s="7"/>
      <c r="N811" s="7"/>
      <c r="O811" s="7"/>
      <c r="P811" s="7"/>
      <c r="Q811" s="7"/>
      <c r="R811" s="8"/>
      <c r="S811" s="6" t="str">
        <f>IF(NOT(ISBLANK(E811)), ROUND(((IF(E811="yes",1,0)*'Grading Scale'!E$2)+(IF(F811="yes",1,0)*'Grading Scale'!E$3)+(IF(G811="yes",1,0)*'Grading Scale'!E$4)+(IF(H811="yes",1,0)*'Grading Scale'!E$5)+(IF(I811="yes",1,0)*'Grading Scale'!E$6)+(IF(J811="yes",1,0)*'Grading Scale'!E$7)+(IF(K811="yes",1,0)*'Grading Scale'!E$8)+(IF(L811="yes",1,0)*'Grading Scale'!E$9)+(IF(M811="yes",1,0)*'Grading Scale'!E$10)+(IF(N811="yes",1,0)*'Grading Scale'!E$11)+(IF(O811="yes",1,0)*'Grading Scale'!E$12)+(IF(P811="yes",1,0)*'Grading Scale'!E$13))/'Grading Scale'!E$14*100,0), "")</f>
        <v/>
      </c>
      <c r="T811" s="6" t="str">
        <f>IF(ISNUMBER(S811),VLOOKUP(S811,'Grading Scale'!$A$2:$B$14, 2), "")</f>
        <v/>
      </c>
      <c r="U811" s="7"/>
      <c r="V811" s="7"/>
      <c r="W811" s="7"/>
      <c r="X811" s="7"/>
      <c r="Y811" s="7"/>
      <c r="Z811" s="7"/>
      <c r="AA811" s="7"/>
      <c r="AB811" s="7"/>
      <c r="AC811" s="7"/>
      <c r="AD811" s="7"/>
      <c r="AE811" s="7"/>
      <c r="AF811" s="7"/>
      <c r="AG811" s="7"/>
      <c r="AH811" s="7"/>
      <c r="AI811" s="7"/>
      <c r="AJ811" s="7"/>
    </row>
    <row r="812">
      <c r="A812" s="7"/>
      <c r="B812" s="7"/>
      <c r="C812" s="7"/>
      <c r="D812" s="6" t="str">
        <f>IF(NOT(ISBLANK(C812)), VLOOKUP(C812,'Dataset Descriptions'!$A$2:$B$10, 2, FALSE), "")</f>
        <v/>
      </c>
      <c r="E812" s="7"/>
      <c r="F812" s="7"/>
      <c r="G812" s="7"/>
      <c r="H812" s="7"/>
      <c r="I812" s="7"/>
      <c r="J812" s="7"/>
      <c r="K812" s="7"/>
      <c r="L812" s="7"/>
      <c r="M812" s="7"/>
      <c r="N812" s="7"/>
      <c r="O812" s="7"/>
      <c r="P812" s="7"/>
      <c r="Q812" s="7"/>
      <c r="R812" s="8"/>
      <c r="S812" s="6" t="str">
        <f>IF(NOT(ISBLANK(E812)), ROUND(((IF(E812="yes",1,0)*'Grading Scale'!E$2)+(IF(F812="yes",1,0)*'Grading Scale'!E$3)+(IF(G812="yes",1,0)*'Grading Scale'!E$4)+(IF(H812="yes",1,0)*'Grading Scale'!E$5)+(IF(I812="yes",1,0)*'Grading Scale'!E$6)+(IF(J812="yes",1,0)*'Grading Scale'!E$7)+(IF(K812="yes",1,0)*'Grading Scale'!E$8)+(IF(L812="yes",1,0)*'Grading Scale'!E$9)+(IF(M812="yes",1,0)*'Grading Scale'!E$10)+(IF(N812="yes",1,0)*'Grading Scale'!E$11)+(IF(O812="yes",1,0)*'Grading Scale'!E$12)+(IF(P812="yes",1,0)*'Grading Scale'!E$13))/'Grading Scale'!E$14*100,0), "")</f>
        <v/>
      </c>
      <c r="T812" s="6" t="str">
        <f>IF(ISNUMBER(S812),VLOOKUP(S812,'Grading Scale'!$A$2:$B$14, 2), "")</f>
        <v/>
      </c>
      <c r="U812" s="7"/>
      <c r="V812" s="7"/>
      <c r="W812" s="7"/>
      <c r="X812" s="7"/>
      <c r="Y812" s="7"/>
      <c r="Z812" s="7"/>
      <c r="AA812" s="7"/>
      <c r="AB812" s="7"/>
      <c r="AC812" s="7"/>
      <c r="AD812" s="7"/>
      <c r="AE812" s="7"/>
      <c r="AF812" s="7"/>
      <c r="AG812" s="7"/>
      <c r="AH812" s="7"/>
      <c r="AI812" s="7"/>
      <c r="AJ812" s="7"/>
    </row>
    <row r="813">
      <c r="A813" s="7"/>
      <c r="B813" s="7"/>
      <c r="C813" s="7"/>
      <c r="D813" s="6" t="str">
        <f>IF(NOT(ISBLANK(C813)), VLOOKUP(C813,'Dataset Descriptions'!$A$2:$B$10, 2, FALSE), "")</f>
        <v/>
      </c>
      <c r="E813" s="7"/>
      <c r="F813" s="7"/>
      <c r="G813" s="7"/>
      <c r="H813" s="7"/>
      <c r="I813" s="7"/>
      <c r="J813" s="7"/>
      <c r="K813" s="7"/>
      <c r="L813" s="7"/>
      <c r="M813" s="7"/>
      <c r="N813" s="7"/>
      <c r="O813" s="7"/>
      <c r="P813" s="7"/>
      <c r="Q813" s="7"/>
      <c r="R813" s="8"/>
      <c r="S813" s="6" t="str">
        <f>IF(NOT(ISBLANK(E813)), ROUND(((IF(E813="yes",1,0)*'Grading Scale'!E$2)+(IF(F813="yes",1,0)*'Grading Scale'!E$3)+(IF(G813="yes",1,0)*'Grading Scale'!E$4)+(IF(H813="yes",1,0)*'Grading Scale'!E$5)+(IF(I813="yes",1,0)*'Grading Scale'!E$6)+(IF(J813="yes",1,0)*'Grading Scale'!E$7)+(IF(K813="yes",1,0)*'Grading Scale'!E$8)+(IF(L813="yes",1,0)*'Grading Scale'!E$9)+(IF(M813="yes",1,0)*'Grading Scale'!E$10)+(IF(N813="yes",1,0)*'Grading Scale'!E$11)+(IF(O813="yes",1,0)*'Grading Scale'!E$12)+(IF(P813="yes",1,0)*'Grading Scale'!E$13))/'Grading Scale'!E$14*100,0), "")</f>
        <v/>
      </c>
      <c r="T813" s="6" t="str">
        <f>IF(ISNUMBER(S813),VLOOKUP(S813,'Grading Scale'!$A$2:$B$14, 2), "")</f>
        <v/>
      </c>
      <c r="U813" s="7"/>
      <c r="V813" s="7"/>
      <c r="W813" s="7"/>
      <c r="X813" s="7"/>
      <c r="Y813" s="7"/>
      <c r="Z813" s="7"/>
      <c r="AA813" s="7"/>
      <c r="AB813" s="7"/>
      <c r="AC813" s="7"/>
      <c r="AD813" s="7"/>
      <c r="AE813" s="7"/>
      <c r="AF813" s="7"/>
      <c r="AG813" s="7"/>
      <c r="AH813" s="7"/>
      <c r="AI813" s="7"/>
      <c r="AJ813" s="7"/>
    </row>
    <row r="814">
      <c r="A814" s="7"/>
      <c r="B814" s="7"/>
      <c r="C814" s="7"/>
      <c r="D814" s="6" t="str">
        <f>IF(NOT(ISBLANK(C814)), VLOOKUP(C814,'Dataset Descriptions'!$A$2:$B$10, 2, FALSE), "")</f>
        <v/>
      </c>
      <c r="E814" s="7"/>
      <c r="F814" s="7"/>
      <c r="G814" s="7"/>
      <c r="H814" s="7"/>
      <c r="I814" s="7"/>
      <c r="J814" s="7"/>
      <c r="K814" s="7"/>
      <c r="L814" s="7"/>
      <c r="M814" s="7"/>
      <c r="N814" s="7"/>
      <c r="O814" s="7"/>
      <c r="P814" s="7"/>
      <c r="Q814" s="7"/>
      <c r="R814" s="8"/>
      <c r="S814" s="6" t="str">
        <f>IF(NOT(ISBLANK(E814)), ROUND(((IF(E814="yes",1,0)*'Grading Scale'!E$2)+(IF(F814="yes",1,0)*'Grading Scale'!E$3)+(IF(G814="yes",1,0)*'Grading Scale'!E$4)+(IF(H814="yes",1,0)*'Grading Scale'!E$5)+(IF(I814="yes",1,0)*'Grading Scale'!E$6)+(IF(J814="yes",1,0)*'Grading Scale'!E$7)+(IF(K814="yes",1,0)*'Grading Scale'!E$8)+(IF(L814="yes",1,0)*'Grading Scale'!E$9)+(IF(M814="yes",1,0)*'Grading Scale'!E$10)+(IF(N814="yes",1,0)*'Grading Scale'!E$11)+(IF(O814="yes",1,0)*'Grading Scale'!E$12)+(IF(P814="yes",1,0)*'Grading Scale'!E$13))/'Grading Scale'!E$14*100,0), "")</f>
        <v/>
      </c>
      <c r="T814" s="6" t="str">
        <f>IF(ISNUMBER(S814),VLOOKUP(S814,'Grading Scale'!$A$2:$B$14, 2), "")</f>
        <v/>
      </c>
      <c r="U814" s="7"/>
      <c r="V814" s="7"/>
      <c r="W814" s="7"/>
      <c r="X814" s="7"/>
      <c r="Y814" s="7"/>
      <c r="Z814" s="7"/>
      <c r="AA814" s="7"/>
      <c r="AB814" s="7"/>
      <c r="AC814" s="7"/>
      <c r="AD814" s="7"/>
      <c r="AE814" s="7"/>
      <c r="AF814" s="7"/>
      <c r="AG814" s="7"/>
      <c r="AH814" s="7"/>
      <c r="AI814" s="7"/>
      <c r="AJ814" s="7"/>
    </row>
    <row r="815">
      <c r="A815" s="7"/>
      <c r="B815" s="7"/>
      <c r="C815" s="7"/>
      <c r="D815" s="6" t="str">
        <f>IF(NOT(ISBLANK(C815)), VLOOKUP(C815,'Dataset Descriptions'!$A$2:$B$10, 2, FALSE), "")</f>
        <v/>
      </c>
      <c r="E815" s="7"/>
      <c r="F815" s="7"/>
      <c r="G815" s="7"/>
      <c r="H815" s="7"/>
      <c r="I815" s="7"/>
      <c r="J815" s="7"/>
      <c r="K815" s="7"/>
      <c r="L815" s="7"/>
      <c r="M815" s="7"/>
      <c r="N815" s="7"/>
      <c r="O815" s="7"/>
      <c r="P815" s="7"/>
      <c r="Q815" s="7"/>
      <c r="R815" s="8"/>
      <c r="S815" s="6" t="str">
        <f>IF(NOT(ISBLANK(E815)), ROUND(((IF(E815="yes",1,0)*'Grading Scale'!E$2)+(IF(F815="yes",1,0)*'Grading Scale'!E$3)+(IF(G815="yes",1,0)*'Grading Scale'!E$4)+(IF(H815="yes",1,0)*'Grading Scale'!E$5)+(IF(I815="yes",1,0)*'Grading Scale'!E$6)+(IF(J815="yes",1,0)*'Grading Scale'!E$7)+(IF(K815="yes",1,0)*'Grading Scale'!E$8)+(IF(L815="yes",1,0)*'Grading Scale'!E$9)+(IF(M815="yes",1,0)*'Grading Scale'!E$10)+(IF(N815="yes",1,0)*'Grading Scale'!E$11)+(IF(O815="yes",1,0)*'Grading Scale'!E$12)+(IF(P815="yes",1,0)*'Grading Scale'!E$13))/'Grading Scale'!E$14*100,0), "")</f>
        <v/>
      </c>
      <c r="T815" s="6" t="str">
        <f>IF(ISNUMBER(S815),VLOOKUP(S815,'Grading Scale'!$A$2:$B$14, 2), "")</f>
        <v/>
      </c>
      <c r="U815" s="7"/>
      <c r="V815" s="7"/>
      <c r="W815" s="7"/>
      <c r="X815" s="7"/>
      <c r="Y815" s="7"/>
      <c r="Z815" s="7"/>
      <c r="AA815" s="7"/>
      <c r="AB815" s="7"/>
      <c r="AC815" s="7"/>
      <c r="AD815" s="7"/>
      <c r="AE815" s="7"/>
      <c r="AF815" s="7"/>
      <c r="AG815" s="7"/>
      <c r="AH815" s="7"/>
      <c r="AI815" s="7"/>
      <c r="AJ815" s="7"/>
    </row>
    <row r="816">
      <c r="A816" s="7"/>
      <c r="B816" s="7"/>
      <c r="C816" s="7"/>
      <c r="D816" s="6" t="str">
        <f>IF(NOT(ISBLANK(C816)), VLOOKUP(C816,'Dataset Descriptions'!$A$2:$B$10, 2, FALSE), "")</f>
        <v/>
      </c>
      <c r="E816" s="7"/>
      <c r="F816" s="7"/>
      <c r="G816" s="7"/>
      <c r="H816" s="7"/>
      <c r="I816" s="7"/>
      <c r="J816" s="7"/>
      <c r="K816" s="7"/>
      <c r="L816" s="7"/>
      <c r="M816" s="7"/>
      <c r="N816" s="7"/>
      <c r="O816" s="7"/>
      <c r="P816" s="7"/>
      <c r="Q816" s="7"/>
      <c r="R816" s="8"/>
      <c r="S816" s="6" t="str">
        <f>IF(NOT(ISBLANK(E816)), ROUND(((IF(E816="yes",1,0)*'Grading Scale'!E$2)+(IF(F816="yes",1,0)*'Grading Scale'!E$3)+(IF(G816="yes",1,0)*'Grading Scale'!E$4)+(IF(H816="yes",1,0)*'Grading Scale'!E$5)+(IF(I816="yes",1,0)*'Grading Scale'!E$6)+(IF(J816="yes",1,0)*'Grading Scale'!E$7)+(IF(K816="yes",1,0)*'Grading Scale'!E$8)+(IF(L816="yes",1,0)*'Grading Scale'!E$9)+(IF(M816="yes",1,0)*'Grading Scale'!E$10)+(IF(N816="yes",1,0)*'Grading Scale'!E$11)+(IF(O816="yes",1,0)*'Grading Scale'!E$12)+(IF(P816="yes",1,0)*'Grading Scale'!E$13))/'Grading Scale'!E$14*100,0), "")</f>
        <v/>
      </c>
      <c r="T816" s="6" t="str">
        <f>IF(ISNUMBER(S816),VLOOKUP(S816,'Grading Scale'!$A$2:$B$14, 2), "")</f>
        <v/>
      </c>
      <c r="U816" s="7"/>
      <c r="V816" s="7"/>
      <c r="W816" s="7"/>
      <c r="X816" s="7"/>
      <c r="Y816" s="7"/>
      <c r="Z816" s="7"/>
      <c r="AA816" s="7"/>
      <c r="AB816" s="7"/>
      <c r="AC816" s="7"/>
      <c r="AD816" s="7"/>
      <c r="AE816" s="7"/>
      <c r="AF816" s="7"/>
      <c r="AG816" s="7"/>
      <c r="AH816" s="7"/>
      <c r="AI816" s="7"/>
      <c r="AJ816" s="7"/>
    </row>
    <row r="817">
      <c r="A817" s="7"/>
      <c r="B817" s="7"/>
      <c r="C817" s="7"/>
      <c r="D817" s="6" t="str">
        <f>IF(NOT(ISBLANK(C817)), VLOOKUP(C817,'Dataset Descriptions'!$A$2:$B$10, 2, FALSE), "")</f>
        <v/>
      </c>
      <c r="E817" s="7"/>
      <c r="F817" s="7"/>
      <c r="G817" s="7"/>
      <c r="H817" s="7"/>
      <c r="I817" s="7"/>
      <c r="J817" s="7"/>
      <c r="K817" s="7"/>
      <c r="L817" s="7"/>
      <c r="M817" s="7"/>
      <c r="N817" s="7"/>
      <c r="O817" s="7"/>
      <c r="P817" s="7"/>
      <c r="Q817" s="7"/>
      <c r="R817" s="8"/>
      <c r="S817" s="6" t="str">
        <f>IF(NOT(ISBLANK(E817)), ROUND(((IF(E817="yes",1,0)*'Grading Scale'!E$2)+(IF(F817="yes",1,0)*'Grading Scale'!E$3)+(IF(G817="yes",1,0)*'Grading Scale'!E$4)+(IF(H817="yes",1,0)*'Grading Scale'!E$5)+(IF(I817="yes",1,0)*'Grading Scale'!E$6)+(IF(J817="yes",1,0)*'Grading Scale'!E$7)+(IF(K817="yes",1,0)*'Grading Scale'!E$8)+(IF(L817="yes",1,0)*'Grading Scale'!E$9)+(IF(M817="yes",1,0)*'Grading Scale'!E$10)+(IF(N817="yes",1,0)*'Grading Scale'!E$11)+(IF(O817="yes",1,0)*'Grading Scale'!E$12)+(IF(P817="yes",1,0)*'Grading Scale'!E$13))/'Grading Scale'!E$14*100,0), "")</f>
        <v/>
      </c>
      <c r="T817" s="6" t="str">
        <f>IF(ISNUMBER(S817),VLOOKUP(S817,'Grading Scale'!$A$2:$B$14, 2), "")</f>
        <v/>
      </c>
      <c r="U817" s="7"/>
      <c r="V817" s="7"/>
      <c r="W817" s="7"/>
      <c r="X817" s="7"/>
      <c r="Y817" s="7"/>
      <c r="Z817" s="7"/>
      <c r="AA817" s="7"/>
      <c r="AB817" s="7"/>
      <c r="AC817" s="7"/>
      <c r="AD817" s="7"/>
      <c r="AE817" s="7"/>
      <c r="AF817" s="7"/>
      <c r="AG817" s="7"/>
      <c r="AH817" s="7"/>
      <c r="AI817" s="7"/>
      <c r="AJ817" s="7"/>
    </row>
    <row r="818">
      <c r="A818" s="7"/>
      <c r="B818" s="7"/>
      <c r="C818" s="7"/>
      <c r="D818" s="6" t="str">
        <f>IF(NOT(ISBLANK(C818)), VLOOKUP(C818,'Dataset Descriptions'!$A$2:$B$10, 2, FALSE), "")</f>
        <v/>
      </c>
      <c r="E818" s="7"/>
      <c r="F818" s="7"/>
      <c r="G818" s="7"/>
      <c r="H818" s="7"/>
      <c r="I818" s="7"/>
      <c r="J818" s="7"/>
      <c r="K818" s="7"/>
      <c r="L818" s="7"/>
      <c r="M818" s="7"/>
      <c r="N818" s="7"/>
      <c r="O818" s="7"/>
      <c r="P818" s="7"/>
      <c r="Q818" s="7"/>
      <c r="R818" s="8"/>
      <c r="S818" s="6" t="str">
        <f>IF(NOT(ISBLANK(E818)), ROUND(((IF(E818="yes",1,0)*'Grading Scale'!E$2)+(IF(F818="yes",1,0)*'Grading Scale'!E$3)+(IF(G818="yes",1,0)*'Grading Scale'!E$4)+(IF(H818="yes",1,0)*'Grading Scale'!E$5)+(IF(I818="yes",1,0)*'Grading Scale'!E$6)+(IF(J818="yes",1,0)*'Grading Scale'!E$7)+(IF(K818="yes",1,0)*'Grading Scale'!E$8)+(IF(L818="yes",1,0)*'Grading Scale'!E$9)+(IF(M818="yes",1,0)*'Grading Scale'!E$10)+(IF(N818="yes",1,0)*'Grading Scale'!E$11)+(IF(O818="yes",1,0)*'Grading Scale'!E$12)+(IF(P818="yes",1,0)*'Grading Scale'!E$13))/'Grading Scale'!E$14*100,0), "")</f>
        <v/>
      </c>
      <c r="T818" s="6" t="str">
        <f>IF(ISNUMBER(S818),VLOOKUP(S818,'Grading Scale'!$A$2:$B$14, 2), "")</f>
        <v/>
      </c>
      <c r="U818" s="7"/>
      <c r="V818" s="7"/>
      <c r="W818" s="7"/>
      <c r="X818" s="7"/>
      <c r="Y818" s="7"/>
      <c r="Z818" s="7"/>
      <c r="AA818" s="7"/>
      <c r="AB818" s="7"/>
      <c r="AC818" s="7"/>
      <c r="AD818" s="7"/>
      <c r="AE818" s="7"/>
      <c r="AF818" s="7"/>
      <c r="AG818" s="7"/>
      <c r="AH818" s="7"/>
      <c r="AI818" s="7"/>
      <c r="AJ818" s="7"/>
    </row>
    <row r="819">
      <c r="A819" s="7"/>
      <c r="B819" s="7"/>
      <c r="C819" s="7"/>
      <c r="D819" s="6" t="str">
        <f>IF(NOT(ISBLANK(C819)), VLOOKUP(C819,'Dataset Descriptions'!$A$2:$B$10, 2, FALSE), "")</f>
        <v/>
      </c>
      <c r="E819" s="7"/>
      <c r="F819" s="7"/>
      <c r="G819" s="7"/>
      <c r="H819" s="7"/>
      <c r="I819" s="7"/>
      <c r="J819" s="7"/>
      <c r="K819" s="7"/>
      <c r="L819" s="7"/>
      <c r="M819" s="7"/>
      <c r="N819" s="7"/>
      <c r="O819" s="7"/>
      <c r="P819" s="7"/>
      <c r="Q819" s="7"/>
      <c r="R819" s="8"/>
      <c r="S819" s="6" t="str">
        <f>IF(NOT(ISBLANK(E819)), ROUND(((IF(E819="yes",1,0)*'Grading Scale'!E$2)+(IF(F819="yes",1,0)*'Grading Scale'!E$3)+(IF(G819="yes",1,0)*'Grading Scale'!E$4)+(IF(H819="yes",1,0)*'Grading Scale'!E$5)+(IF(I819="yes",1,0)*'Grading Scale'!E$6)+(IF(J819="yes",1,0)*'Grading Scale'!E$7)+(IF(K819="yes",1,0)*'Grading Scale'!E$8)+(IF(L819="yes",1,0)*'Grading Scale'!E$9)+(IF(M819="yes",1,0)*'Grading Scale'!E$10)+(IF(N819="yes",1,0)*'Grading Scale'!E$11)+(IF(O819="yes",1,0)*'Grading Scale'!E$12)+(IF(P819="yes",1,0)*'Grading Scale'!E$13))/'Grading Scale'!E$14*100,0), "")</f>
        <v/>
      </c>
      <c r="T819" s="6" t="str">
        <f>IF(ISNUMBER(S819),VLOOKUP(S819,'Grading Scale'!$A$2:$B$14, 2), "")</f>
        <v/>
      </c>
      <c r="U819" s="7"/>
      <c r="V819" s="7"/>
      <c r="W819" s="7"/>
      <c r="X819" s="7"/>
      <c r="Y819" s="7"/>
      <c r="Z819" s="7"/>
      <c r="AA819" s="7"/>
      <c r="AB819" s="7"/>
      <c r="AC819" s="7"/>
      <c r="AD819" s="7"/>
      <c r="AE819" s="7"/>
      <c r="AF819" s="7"/>
      <c r="AG819" s="7"/>
      <c r="AH819" s="7"/>
      <c r="AI819" s="7"/>
      <c r="AJ819" s="7"/>
    </row>
    <row r="820">
      <c r="A820" s="7"/>
      <c r="B820" s="7"/>
      <c r="C820" s="7"/>
      <c r="D820" s="6" t="str">
        <f>IF(NOT(ISBLANK(C820)), VLOOKUP(C820,'Dataset Descriptions'!$A$2:$B$10, 2, FALSE), "")</f>
        <v/>
      </c>
      <c r="E820" s="7"/>
      <c r="F820" s="7"/>
      <c r="G820" s="7"/>
      <c r="H820" s="7"/>
      <c r="I820" s="7"/>
      <c r="J820" s="7"/>
      <c r="K820" s="7"/>
      <c r="L820" s="7"/>
      <c r="M820" s="7"/>
      <c r="N820" s="7"/>
      <c r="O820" s="7"/>
      <c r="P820" s="7"/>
      <c r="Q820" s="7"/>
      <c r="R820" s="8"/>
      <c r="S820" s="6" t="str">
        <f>IF(NOT(ISBLANK(E820)), ROUND(((IF(E820="yes",1,0)*'Grading Scale'!E$2)+(IF(F820="yes",1,0)*'Grading Scale'!E$3)+(IF(G820="yes",1,0)*'Grading Scale'!E$4)+(IF(H820="yes",1,0)*'Grading Scale'!E$5)+(IF(I820="yes",1,0)*'Grading Scale'!E$6)+(IF(J820="yes",1,0)*'Grading Scale'!E$7)+(IF(K820="yes",1,0)*'Grading Scale'!E$8)+(IF(L820="yes",1,0)*'Grading Scale'!E$9)+(IF(M820="yes",1,0)*'Grading Scale'!E$10)+(IF(N820="yes",1,0)*'Grading Scale'!E$11)+(IF(O820="yes",1,0)*'Grading Scale'!E$12)+(IF(P820="yes",1,0)*'Grading Scale'!E$13))/'Grading Scale'!E$14*100,0), "")</f>
        <v/>
      </c>
      <c r="T820" s="6" t="str">
        <f>IF(ISNUMBER(S820),VLOOKUP(S820,'Grading Scale'!$A$2:$B$14, 2), "")</f>
        <v/>
      </c>
      <c r="U820" s="7"/>
      <c r="V820" s="7"/>
      <c r="W820" s="7"/>
      <c r="X820" s="7"/>
      <c r="Y820" s="7"/>
      <c r="Z820" s="7"/>
      <c r="AA820" s="7"/>
      <c r="AB820" s="7"/>
      <c r="AC820" s="7"/>
      <c r="AD820" s="7"/>
      <c r="AE820" s="7"/>
      <c r="AF820" s="7"/>
      <c r="AG820" s="7"/>
      <c r="AH820" s="7"/>
      <c r="AI820" s="7"/>
      <c r="AJ820" s="7"/>
    </row>
    <row r="821">
      <c r="A821" s="7"/>
      <c r="B821" s="7"/>
      <c r="C821" s="7"/>
      <c r="D821" s="6" t="str">
        <f>IF(NOT(ISBLANK(C821)), VLOOKUP(C821,'Dataset Descriptions'!$A$2:$B$10, 2, FALSE), "")</f>
        <v/>
      </c>
      <c r="E821" s="7"/>
      <c r="F821" s="7"/>
      <c r="G821" s="7"/>
      <c r="H821" s="7"/>
      <c r="I821" s="7"/>
      <c r="J821" s="7"/>
      <c r="K821" s="7"/>
      <c r="L821" s="7"/>
      <c r="M821" s="7"/>
      <c r="N821" s="7"/>
      <c r="O821" s="7"/>
      <c r="P821" s="7"/>
      <c r="Q821" s="7"/>
      <c r="R821" s="8"/>
      <c r="S821" s="6" t="str">
        <f>IF(NOT(ISBLANK(E821)), ROUND(((IF(E821="yes",1,0)*'Grading Scale'!E$2)+(IF(F821="yes",1,0)*'Grading Scale'!E$3)+(IF(G821="yes",1,0)*'Grading Scale'!E$4)+(IF(H821="yes",1,0)*'Grading Scale'!E$5)+(IF(I821="yes",1,0)*'Grading Scale'!E$6)+(IF(J821="yes",1,0)*'Grading Scale'!E$7)+(IF(K821="yes",1,0)*'Grading Scale'!E$8)+(IF(L821="yes",1,0)*'Grading Scale'!E$9)+(IF(M821="yes",1,0)*'Grading Scale'!E$10)+(IF(N821="yes",1,0)*'Grading Scale'!E$11)+(IF(O821="yes",1,0)*'Grading Scale'!E$12)+(IF(P821="yes",1,0)*'Grading Scale'!E$13))/'Grading Scale'!E$14*100,0), "")</f>
        <v/>
      </c>
      <c r="T821" s="6" t="str">
        <f>IF(ISNUMBER(S821),VLOOKUP(S821,'Grading Scale'!$A$2:$B$14, 2), "")</f>
        <v/>
      </c>
      <c r="U821" s="7"/>
      <c r="V821" s="7"/>
      <c r="W821" s="7"/>
      <c r="X821" s="7"/>
      <c r="Y821" s="7"/>
      <c r="Z821" s="7"/>
      <c r="AA821" s="7"/>
      <c r="AB821" s="7"/>
      <c r="AC821" s="7"/>
      <c r="AD821" s="7"/>
      <c r="AE821" s="7"/>
      <c r="AF821" s="7"/>
      <c r="AG821" s="7"/>
      <c r="AH821" s="7"/>
      <c r="AI821" s="7"/>
      <c r="AJ821" s="7"/>
    </row>
    <row r="822">
      <c r="A822" s="7"/>
      <c r="B822" s="7"/>
      <c r="C822" s="7"/>
      <c r="D822" s="6" t="str">
        <f>IF(NOT(ISBLANK(C822)), VLOOKUP(C822,'Dataset Descriptions'!$A$2:$B$10, 2, FALSE), "")</f>
        <v/>
      </c>
      <c r="E822" s="7"/>
      <c r="F822" s="7"/>
      <c r="G822" s="7"/>
      <c r="H822" s="7"/>
      <c r="I822" s="7"/>
      <c r="J822" s="7"/>
      <c r="K822" s="7"/>
      <c r="L822" s="7"/>
      <c r="M822" s="7"/>
      <c r="N822" s="7"/>
      <c r="O822" s="7"/>
      <c r="P822" s="7"/>
      <c r="Q822" s="7"/>
      <c r="R822" s="8"/>
      <c r="S822" s="6" t="str">
        <f>IF(NOT(ISBLANK(E822)), ROUND(((IF(E822="yes",1,0)*'Grading Scale'!E$2)+(IF(F822="yes",1,0)*'Grading Scale'!E$3)+(IF(G822="yes",1,0)*'Grading Scale'!E$4)+(IF(H822="yes",1,0)*'Grading Scale'!E$5)+(IF(I822="yes",1,0)*'Grading Scale'!E$6)+(IF(J822="yes",1,0)*'Grading Scale'!E$7)+(IF(K822="yes",1,0)*'Grading Scale'!E$8)+(IF(L822="yes",1,0)*'Grading Scale'!E$9)+(IF(M822="yes",1,0)*'Grading Scale'!E$10)+(IF(N822="yes",1,0)*'Grading Scale'!E$11)+(IF(O822="yes",1,0)*'Grading Scale'!E$12)+(IF(P822="yes",1,0)*'Grading Scale'!E$13))/'Grading Scale'!E$14*100,0), "")</f>
        <v/>
      </c>
      <c r="T822" s="6" t="str">
        <f>IF(ISNUMBER(S822),VLOOKUP(S822,'Grading Scale'!$A$2:$B$14, 2), "")</f>
        <v/>
      </c>
      <c r="U822" s="7"/>
      <c r="V822" s="7"/>
      <c r="W822" s="7"/>
      <c r="X822" s="7"/>
      <c r="Y822" s="7"/>
      <c r="Z822" s="7"/>
      <c r="AA822" s="7"/>
      <c r="AB822" s="7"/>
      <c r="AC822" s="7"/>
      <c r="AD822" s="7"/>
      <c r="AE822" s="7"/>
      <c r="AF822" s="7"/>
      <c r="AG822" s="7"/>
      <c r="AH822" s="7"/>
      <c r="AI822" s="7"/>
      <c r="AJ822" s="7"/>
    </row>
    <row r="823">
      <c r="A823" s="7"/>
      <c r="B823" s="7"/>
      <c r="C823" s="7"/>
      <c r="D823" s="6" t="str">
        <f>IF(NOT(ISBLANK(C823)), VLOOKUP(C823,'Dataset Descriptions'!$A$2:$B$10, 2, FALSE), "")</f>
        <v/>
      </c>
      <c r="E823" s="7"/>
      <c r="F823" s="7"/>
      <c r="G823" s="7"/>
      <c r="H823" s="7"/>
      <c r="I823" s="7"/>
      <c r="J823" s="7"/>
      <c r="K823" s="7"/>
      <c r="L823" s="7"/>
      <c r="M823" s="7"/>
      <c r="N823" s="7"/>
      <c r="O823" s="7"/>
      <c r="P823" s="7"/>
      <c r="Q823" s="7"/>
      <c r="R823" s="8"/>
      <c r="S823" s="6" t="str">
        <f>IF(NOT(ISBLANK(E823)), ROUND(((IF(E823="yes",1,0)*'Grading Scale'!E$2)+(IF(F823="yes",1,0)*'Grading Scale'!E$3)+(IF(G823="yes",1,0)*'Grading Scale'!E$4)+(IF(H823="yes",1,0)*'Grading Scale'!E$5)+(IF(I823="yes",1,0)*'Grading Scale'!E$6)+(IF(J823="yes",1,0)*'Grading Scale'!E$7)+(IF(K823="yes",1,0)*'Grading Scale'!E$8)+(IF(L823="yes",1,0)*'Grading Scale'!E$9)+(IF(M823="yes",1,0)*'Grading Scale'!E$10)+(IF(N823="yes",1,0)*'Grading Scale'!E$11)+(IF(O823="yes",1,0)*'Grading Scale'!E$12)+(IF(P823="yes",1,0)*'Grading Scale'!E$13))/'Grading Scale'!E$14*100,0), "")</f>
        <v/>
      </c>
      <c r="T823" s="6" t="str">
        <f>IF(ISNUMBER(S823),VLOOKUP(S823,'Grading Scale'!$A$2:$B$14, 2), "")</f>
        <v/>
      </c>
      <c r="U823" s="7"/>
      <c r="V823" s="7"/>
      <c r="W823" s="7"/>
      <c r="X823" s="7"/>
      <c r="Y823" s="7"/>
      <c r="Z823" s="7"/>
      <c r="AA823" s="7"/>
      <c r="AB823" s="7"/>
      <c r="AC823" s="7"/>
      <c r="AD823" s="7"/>
      <c r="AE823" s="7"/>
      <c r="AF823" s="7"/>
      <c r="AG823" s="7"/>
      <c r="AH823" s="7"/>
      <c r="AI823" s="7"/>
      <c r="AJ823" s="7"/>
    </row>
    <row r="824">
      <c r="A824" s="7"/>
      <c r="B824" s="7"/>
      <c r="C824" s="7"/>
      <c r="D824" s="6" t="str">
        <f>IF(NOT(ISBLANK(C824)), VLOOKUP(C824,'Dataset Descriptions'!$A$2:$B$10, 2, FALSE), "")</f>
        <v/>
      </c>
      <c r="E824" s="7"/>
      <c r="F824" s="7"/>
      <c r="G824" s="7"/>
      <c r="H824" s="7"/>
      <c r="I824" s="7"/>
      <c r="J824" s="7"/>
      <c r="K824" s="7"/>
      <c r="L824" s="7"/>
      <c r="M824" s="7"/>
      <c r="N824" s="7"/>
      <c r="O824" s="7"/>
      <c r="P824" s="7"/>
      <c r="Q824" s="7"/>
      <c r="R824" s="8"/>
      <c r="S824" s="6" t="str">
        <f>IF(NOT(ISBLANK(E824)), ROUND(((IF(E824="yes",1,0)*'Grading Scale'!E$2)+(IF(F824="yes",1,0)*'Grading Scale'!E$3)+(IF(G824="yes",1,0)*'Grading Scale'!E$4)+(IF(H824="yes",1,0)*'Grading Scale'!E$5)+(IF(I824="yes",1,0)*'Grading Scale'!E$6)+(IF(J824="yes",1,0)*'Grading Scale'!E$7)+(IF(K824="yes",1,0)*'Grading Scale'!E$8)+(IF(L824="yes",1,0)*'Grading Scale'!E$9)+(IF(M824="yes",1,0)*'Grading Scale'!E$10)+(IF(N824="yes",1,0)*'Grading Scale'!E$11)+(IF(O824="yes",1,0)*'Grading Scale'!E$12)+(IF(P824="yes",1,0)*'Grading Scale'!E$13))/'Grading Scale'!E$14*100,0), "")</f>
        <v/>
      </c>
      <c r="T824" s="6" t="str">
        <f>IF(ISNUMBER(S824),VLOOKUP(S824,'Grading Scale'!$A$2:$B$14, 2), "")</f>
        <v/>
      </c>
      <c r="U824" s="7"/>
      <c r="V824" s="7"/>
      <c r="W824" s="7"/>
      <c r="X824" s="7"/>
      <c r="Y824" s="7"/>
      <c r="Z824" s="7"/>
      <c r="AA824" s="7"/>
      <c r="AB824" s="7"/>
      <c r="AC824" s="7"/>
      <c r="AD824" s="7"/>
      <c r="AE824" s="7"/>
      <c r="AF824" s="7"/>
      <c r="AG824" s="7"/>
      <c r="AH824" s="7"/>
      <c r="AI824" s="7"/>
      <c r="AJ824" s="7"/>
    </row>
    <row r="825">
      <c r="A825" s="7"/>
      <c r="B825" s="7"/>
      <c r="C825" s="7"/>
      <c r="D825" s="6" t="str">
        <f>IF(NOT(ISBLANK(C825)), VLOOKUP(C825,'Dataset Descriptions'!$A$2:$B$10, 2, FALSE), "")</f>
        <v/>
      </c>
      <c r="E825" s="7"/>
      <c r="F825" s="7"/>
      <c r="G825" s="7"/>
      <c r="H825" s="7"/>
      <c r="I825" s="7"/>
      <c r="J825" s="7"/>
      <c r="K825" s="7"/>
      <c r="L825" s="7"/>
      <c r="M825" s="7"/>
      <c r="N825" s="7"/>
      <c r="O825" s="7"/>
      <c r="P825" s="7"/>
      <c r="Q825" s="7"/>
      <c r="R825" s="8"/>
      <c r="S825" s="6" t="str">
        <f>IF(NOT(ISBLANK(E825)), ROUND(((IF(E825="yes",1,0)*'Grading Scale'!E$2)+(IF(F825="yes",1,0)*'Grading Scale'!E$3)+(IF(G825="yes",1,0)*'Grading Scale'!E$4)+(IF(H825="yes",1,0)*'Grading Scale'!E$5)+(IF(I825="yes",1,0)*'Grading Scale'!E$6)+(IF(J825="yes",1,0)*'Grading Scale'!E$7)+(IF(K825="yes",1,0)*'Grading Scale'!E$8)+(IF(L825="yes",1,0)*'Grading Scale'!E$9)+(IF(M825="yes",1,0)*'Grading Scale'!E$10)+(IF(N825="yes",1,0)*'Grading Scale'!E$11)+(IF(O825="yes",1,0)*'Grading Scale'!E$12)+(IF(P825="yes",1,0)*'Grading Scale'!E$13))/'Grading Scale'!E$14*100,0), "")</f>
        <v/>
      </c>
      <c r="T825" s="6" t="str">
        <f>IF(ISNUMBER(S825),VLOOKUP(S825,'Grading Scale'!$A$2:$B$14, 2), "")</f>
        <v/>
      </c>
      <c r="U825" s="7"/>
      <c r="V825" s="7"/>
      <c r="W825" s="7"/>
      <c r="X825" s="7"/>
      <c r="Y825" s="7"/>
      <c r="Z825" s="7"/>
      <c r="AA825" s="7"/>
      <c r="AB825" s="7"/>
      <c r="AC825" s="7"/>
      <c r="AD825" s="7"/>
      <c r="AE825" s="7"/>
      <c r="AF825" s="7"/>
      <c r="AG825" s="7"/>
      <c r="AH825" s="7"/>
      <c r="AI825" s="7"/>
      <c r="AJ825" s="7"/>
    </row>
    <row r="826">
      <c r="A826" s="7"/>
      <c r="B826" s="7"/>
      <c r="C826" s="7"/>
      <c r="D826" s="6" t="str">
        <f>IF(NOT(ISBLANK(C826)), VLOOKUP(C826,'Dataset Descriptions'!$A$2:$B$10, 2, FALSE), "")</f>
        <v/>
      </c>
      <c r="E826" s="7"/>
      <c r="F826" s="7"/>
      <c r="G826" s="7"/>
      <c r="H826" s="7"/>
      <c r="I826" s="7"/>
      <c r="J826" s="7"/>
      <c r="K826" s="7"/>
      <c r="L826" s="7"/>
      <c r="M826" s="7"/>
      <c r="N826" s="7"/>
      <c r="O826" s="7"/>
      <c r="P826" s="7"/>
      <c r="Q826" s="7"/>
      <c r="R826" s="8"/>
      <c r="S826" s="6" t="str">
        <f>IF(NOT(ISBLANK(E826)), ROUND(((IF(E826="yes",1,0)*'Grading Scale'!E$2)+(IF(F826="yes",1,0)*'Grading Scale'!E$3)+(IF(G826="yes",1,0)*'Grading Scale'!E$4)+(IF(H826="yes",1,0)*'Grading Scale'!E$5)+(IF(I826="yes",1,0)*'Grading Scale'!E$6)+(IF(J826="yes",1,0)*'Grading Scale'!E$7)+(IF(K826="yes",1,0)*'Grading Scale'!E$8)+(IF(L826="yes",1,0)*'Grading Scale'!E$9)+(IF(M826="yes",1,0)*'Grading Scale'!E$10)+(IF(N826="yes",1,0)*'Grading Scale'!E$11)+(IF(O826="yes",1,0)*'Grading Scale'!E$12)+(IF(P826="yes",1,0)*'Grading Scale'!E$13))/'Grading Scale'!E$14*100,0), "")</f>
        <v/>
      </c>
      <c r="T826" s="6" t="str">
        <f>IF(ISNUMBER(S826),VLOOKUP(S826,'Grading Scale'!$A$2:$B$14, 2), "")</f>
        <v/>
      </c>
      <c r="U826" s="7"/>
      <c r="V826" s="7"/>
      <c r="W826" s="7"/>
      <c r="X826" s="7"/>
      <c r="Y826" s="7"/>
      <c r="Z826" s="7"/>
      <c r="AA826" s="7"/>
      <c r="AB826" s="7"/>
      <c r="AC826" s="7"/>
      <c r="AD826" s="7"/>
      <c r="AE826" s="7"/>
      <c r="AF826" s="7"/>
      <c r="AG826" s="7"/>
      <c r="AH826" s="7"/>
      <c r="AI826" s="7"/>
      <c r="AJ826" s="7"/>
    </row>
    <row r="827">
      <c r="A827" s="7"/>
      <c r="B827" s="7"/>
      <c r="C827" s="7"/>
      <c r="D827" s="6" t="str">
        <f>IF(NOT(ISBLANK(C827)), VLOOKUP(C827,'Dataset Descriptions'!$A$2:$B$10, 2, FALSE), "")</f>
        <v/>
      </c>
      <c r="E827" s="7"/>
      <c r="F827" s="7"/>
      <c r="G827" s="7"/>
      <c r="H827" s="7"/>
      <c r="I827" s="7"/>
      <c r="J827" s="7"/>
      <c r="K827" s="7"/>
      <c r="L827" s="7"/>
      <c r="M827" s="7"/>
      <c r="N827" s="7"/>
      <c r="O827" s="7"/>
      <c r="P827" s="7"/>
      <c r="Q827" s="7"/>
      <c r="R827" s="8"/>
      <c r="S827" s="6" t="str">
        <f>IF(NOT(ISBLANK(E827)), ROUND(((IF(E827="yes",1,0)*'Grading Scale'!E$2)+(IF(F827="yes",1,0)*'Grading Scale'!E$3)+(IF(G827="yes",1,0)*'Grading Scale'!E$4)+(IF(H827="yes",1,0)*'Grading Scale'!E$5)+(IF(I827="yes",1,0)*'Grading Scale'!E$6)+(IF(J827="yes",1,0)*'Grading Scale'!E$7)+(IF(K827="yes",1,0)*'Grading Scale'!E$8)+(IF(L827="yes",1,0)*'Grading Scale'!E$9)+(IF(M827="yes",1,0)*'Grading Scale'!E$10)+(IF(N827="yes",1,0)*'Grading Scale'!E$11)+(IF(O827="yes",1,0)*'Grading Scale'!E$12)+(IF(P827="yes",1,0)*'Grading Scale'!E$13))/'Grading Scale'!E$14*100,0), "")</f>
        <v/>
      </c>
      <c r="T827" s="6" t="str">
        <f>IF(ISNUMBER(S827),VLOOKUP(S827,'Grading Scale'!$A$2:$B$14, 2), "")</f>
        <v/>
      </c>
      <c r="U827" s="7"/>
      <c r="V827" s="7"/>
      <c r="W827" s="7"/>
      <c r="X827" s="7"/>
      <c r="Y827" s="7"/>
      <c r="Z827" s="7"/>
      <c r="AA827" s="7"/>
      <c r="AB827" s="7"/>
      <c r="AC827" s="7"/>
      <c r="AD827" s="7"/>
      <c r="AE827" s="7"/>
      <c r="AF827" s="7"/>
      <c r="AG827" s="7"/>
      <c r="AH827" s="7"/>
      <c r="AI827" s="7"/>
      <c r="AJ827" s="7"/>
    </row>
    <row r="828">
      <c r="A828" s="7"/>
      <c r="B828" s="7"/>
      <c r="C828" s="7"/>
      <c r="D828" s="6" t="str">
        <f>IF(NOT(ISBLANK(C828)), VLOOKUP(C828,'Dataset Descriptions'!$A$2:$B$10, 2, FALSE), "")</f>
        <v/>
      </c>
      <c r="E828" s="7"/>
      <c r="F828" s="7"/>
      <c r="G828" s="7"/>
      <c r="H828" s="7"/>
      <c r="I828" s="7"/>
      <c r="J828" s="7"/>
      <c r="K828" s="7"/>
      <c r="L828" s="7"/>
      <c r="M828" s="7"/>
      <c r="N828" s="7"/>
      <c r="O828" s="7"/>
      <c r="P828" s="7"/>
      <c r="Q828" s="7"/>
      <c r="R828" s="8"/>
      <c r="S828" s="6" t="str">
        <f>IF(NOT(ISBLANK(E828)), ROUND(((IF(E828="yes",1,0)*'Grading Scale'!E$2)+(IF(F828="yes",1,0)*'Grading Scale'!E$3)+(IF(G828="yes",1,0)*'Grading Scale'!E$4)+(IF(H828="yes",1,0)*'Grading Scale'!E$5)+(IF(I828="yes",1,0)*'Grading Scale'!E$6)+(IF(J828="yes",1,0)*'Grading Scale'!E$7)+(IF(K828="yes",1,0)*'Grading Scale'!E$8)+(IF(L828="yes",1,0)*'Grading Scale'!E$9)+(IF(M828="yes",1,0)*'Grading Scale'!E$10)+(IF(N828="yes",1,0)*'Grading Scale'!E$11)+(IF(O828="yes",1,0)*'Grading Scale'!E$12)+(IF(P828="yes",1,0)*'Grading Scale'!E$13))/'Grading Scale'!E$14*100,0), "")</f>
        <v/>
      </c>
      <c r="T828" s="6" t="str">
        <f>IF(ISNUMBER(S828),VLOOKUP(S828,'Grading Scale'!$A$2:$B$14, 2), "")</f>
        <v/>
      </c>
      <c r="U828" s="7"/>
      <c r="V828" s="7"/>
      <c r="W828" s="7"/>
      <c r="X828" s="7"/>
      <c r="Y828" s="7"/>
      <c r="Z828" s="7"/>
      <c r="AA828" s="7"/>
      <c r="AB828" s="7"/>
      <c r="AC828" s="7"/>
      <c r="AD828" s="7"/>
      <c r="AE828" s="7"/>
      <c r="AF828" s="7"/>
      <c r="AG828" s="7"/>
      <c r="AH828" s="7"/>
      <c r="AI828" s="7"/>
      <c r="AJ828" s="7"/>
    </row>
    <row r="829">
      <c r="A829" s="7"/>
      <c r="B829" s="7"/>
      <c r="C829" s="7"/>
      <c r="D829" s="6" t="str">
        <f>IF(NOT(ISBLANK(C829)), VLOOKUP(C829,'Dataset Descriptions'!$A$2:$B$10, 2, FALSE), "")</f>
        <v/>
      </c>
      <c r="E829" s="7"/>
      <c r="F829" s="7"/>
      <c r="G829" s="7"/>
      <c r="H829" s="7"/>
      <c r="I829" s="7"/>
      <c r="J829" s="7"/>
      <c r="K829" s="7"/>
      <c r="L829" s="7"/>
      <c r="M829" s="7"/>
      <c r="N829" s="7"/>
      <c r="O829" s="7"/>
      <c r="P829" s="7"/>
      <c r="Q829" s="7"/>
      <c r="R829" s="8"/>
      <c r="S829" s="6" t="str">
        <f>IF(NOT(ISBLANK(E829)), ROUND(((IF(E829="yes",1,0)*'Grading Scale'!E$2)+(IF(F829="yes",1,0)*'Grading Scale'!E$3)+(IF(G829="yes",1,0)*'Grading Scale'!E$4)+(IF(H829="yes",1,0)*'Grading Scale'!E$5)+(IF(I829="yes",1,0)*'Grading Scale'!E$6)+(IF(J829="yes",1,0)*'Grading Scale'!E$7)+(IF(K829="yes",1,0)*'Grading Scale'!E$8)+(IF(L829="yes",1,0)*'Grading Scale'!E$9)+(IF(M829="yes",1,0)*'Grading Scale'!E$10)+(IF(N829="yes",1,0)*'Grading Scale'!E$11)+(IF(O829="yes",1,0)*'Grading Scale'!E$12)+(IF(P829="yes",1,0)*'Grading Scale'!E$13))/'Grading Scale'!E$14*100,0), "")</f>
        <v/>
      </c>
      <c r="T829" s="6" t="str">
        <f>IF(ISNUMBER(S829),VLOOKUP(S829,'Grading Scale'!$A$2:$B$14, 2), "")</f>
        <v/>
      </c>
      <c r="U829" s="7"/>
      <c r="V829" s="7"/>
      <c r="W829" s="7"/>
      <c r="X829" s="7"/>
      <c r="Y829" s="7"/>
      <c r="Z829" s="7"/>
      <c r="AA829" s="7"/>
      <c r="AB829" s="7"/>
      <c r="AC829" s="7"/>
      <c r="AD829" s="7"/>
      <c r="AE829" s="7"/>
      <c r="AF829" s="7"/>
      <c r="AG829" s="7"/>
      <c r="AH829" s="7"/>
      <c r="AI829" s="7"/>
      <c r="AJ829" s="7"/>
    </row>
    <row r="830">
      <c r="A830" s="7"/>
      <c r="B830" s="7"/>
      <c r="C830" s="7"/>
      <c r="D830" s="6" t="str">
        <f>IF(NOT(ISBLANK(C830)), VLOOKUP(C830,'Dataset Descriptions'!$A$2:$B$10, 2, FALSE), "")</f>
        <v/>
      </c>
      <c r="E830" s="7"/>
      <c r="F830" s="7"/>
      <c r="G830" s="7"/>
      <c r="H830" s="7"/>
      <c r="I830" s="7"/>
      <c r="J830" s="7"/>
      <c r="K830" s="7"/>
      <c r="L830" s="7"/>
      <c r="M830" s="7"/>
      <c r="N830" s="7"/>
      <c r="O830" s="7"/>
      <c r="P830" s="7"/>
      <c r="Q830" s="7"/>
      <c r="R830" s="8"/>
      <c r="S830" s="6" t="str">
        <f>IF(NOT(ISBLANK(E830)), ROUND(((IF(E830="yes",1,0)*'Grading Scale'!E$2)+(IF(F830="yes",1,0)*'Grading Scale'!E$3)+(IF(G830="yes",1,0)*'Grading Scale'!E$4)+(IF(H830="yes",1,0)*'Grading Scale'!E$5)+(IF(I830="yes",1,0)*'Grading Scale'!E$6)+(IF(J830="yes",1,0)*'Grading Scale'!E$7)+(IF(K830="yes",1,0)*'Grading Scale'!E$8)+(IF(L830="yes",1,0)*'Grading Scale'!E$9)+(IF(M830="yes",1,0)*'Grading Scale'!E$10)+(IF(N830="yes",1,0)*'Grading Scale'!E$11)+(IF(O830="yes",1,0)*'Grading Scale'!E$12)+(IF(P830="yes",1,0)*'Grading Scale'!E$13))/'Grading Scale'!E$14*100,0), "")</f>
        <v/>
      </c>
      <c r="T830" s="6" t="str">
        <f>IF(ISNUMBER(S830),VLOOKUP(S830,'Grading Scale'!$A$2:$B$14, 2), "")</f>
        <v/>
      </c>
      <c r="U830" s="7"/>
      <c r="V830" s="7"/>
      <c r="W830" s="7"/>
      <c r="X830" s="7"/>
      <c r="Y830" s="7"/>
      <c r="Z830" s="7"/>
      <c r="AA830" s="7"/>
      <c r="AB830" s="7"/>
      <c r="AC830" s="7"/>
      <c r="AD830" s="7"/>
      <c r="AE830" s="7"/>
      <c r="AF830" s="7"/>
      <c r="AG830" s="7"/>
      <c r="AH830" s="7"/>
      <c r="AI830" s="7"/>
      <c r="AJ830" s="7"/>
    </row>
    <row r="831">
      <c r="A831" s="7"/>
      <c r="B831" s="7"/>
      <c r="C831" s="7"/>
      <c r="D831" s="6" t="str">
        <f>IF(NOT(ISBLANK(C831)), VLOOKUP(C831,'Dataset Descriptions'!$A$2:$B$10, 2, FALSE), "")</f>
        <v/>
      </c>
      <c r="E831" s="7"/>
      <c r="F831" s="7"/>
      <c r="G831" s="7"/>
      <c r="H831" s="7"/>
      <c r="I831" s="7"/>
      <c r="J831" s="7"/>
      <c r="K831" s="7"/>
      <c r="L831" s="7"/>
      <c r="M831" s="7"/>
      <c r="N831" s="7"/>
      <c r="O831" s="7"/>
      <c r="P831" s="7"/>
      <c r="Q831" s="7"/>
      <c r="R831" s="8"/>
      <c r="S831" s="6" t="str">
        <f>IF(NOT(ISBLANK(E831)), ROUND(((IF(E831="yes",1,0)*'Grading Scale'!E$2)+(IF(F831="yes",1,0)*'Grading Scale'!E$3)+(IF(G831="yes",1,0)*'Grading Scale'!E$4)+(IF(H831="yes",1,0)*'Grading Scale'!E$5)+(IF(I831="yes",1,0)*'Grading Scale'!E$6)+(IF(J831="yes",1,0)*'Grading Scale'!E$7)+(IF(K831="yes",1,0)*'Grading Scale'!E$8)+(IF(L831="yes",1,0)*'Grading Scale'!E$9)+(IF(M831="yes",1,0)*'Grading Scale'!E$10)+(IF(N831="yes",1,0)*'Grading Scale'!E$11)+(IF(O831="yes",1,0)*'Grading Scale'!E$12)+(IF(P831="yes",1,0)*'Grading Scale'!E$13))/'Grading Scale'!E$14*100,0), "")</f>
        <v/>
      </c>
      <c r="T831" s="6" t="str">
        <f>IF(ISNUMBER(S831),VLOOKUP(S831,'Grading Scale'!$A$2:$B$14, 2), "")</f>
        <v/>
      </c>
      <c r="U831" s="7"/>
      <c r="V831" s="7"/>
      <c r="W831" s="7"/>
      <c r="X831" s="7"/>
      <c r="Y831" s="7"/>
      <c r="Z831" s="7"/>
      <c r="AA831" s="7"/>
      <c r="AB831" s="7"/>
      <c r="AC831" s="7"/>
      <c r="AD831" s="7"/>
      <c r="AE831" s="7"/>
      <c r="AF831" s="7"/>
      <c r="AG831" s="7"/>
      <c r="AH831" s="7"/>
      <c r="AI831" s="7"/>
      <c r="AJ831" s="7"/>
    </row>
    <row r="832">
      <c r="A832" s="7"/>
      <c r="B832" s="7"/>
      <c r="C832" s="7"/>
      <c r="D832" s="6" t="str">
        <f>IF(NOT(ISBLANK(C832)), VLOOKUP(C832,'Dataset Descriptions'!$A$2:$B$10, 2, FALSE), "")</f>
        <v/>
      </c>
      <c r="E832" s="7"/>
      <c r="F832" s="7"/>
      <c r="G832" s="7"/>
      <c r="H832" s="7"/>
      <c r="I832" s="7"/>
      <c r="J832" s="7"/>
      <c r="K832" s="7"/>
      <c r="L832" s="7"/>
      <c r="M832" s="7"/>
      <c r="N832" s="7"/>
      <c r="O832" s="7"/>
      <c r="P832" s="7"/>
      <c r="Q832" s="7"/>
      <c r="R832" s="8"/>
      <c r="S832" s="6" t="str">
        <f>IF(NOT(ISBLANK(E832)), ROUND(((IF(E832="yes",1,0)*'Grading Scale'!E$2)+(IF(F832="yes",1,0)*'Grading Scale'!E$3)+(IF(G832="yes",1,0)*'Grading Scale'!E$4)+(IF(H832="yes",1,0)*'Grading Scale'!E$5)+(IF(I832="yes",1,0)*'Grading Scale'!E$6)+(IF(J832="yes",1,0)*'Grading Scale'!E$7)+(IF(K832="yes",1,0)*'Grading Scale'!E$8)+(IF(L832="yes",1,0)*'Grading Scale'!E$9)+(IF(M832="yes",1,0)*'Grading Scale'!E$10)+(IF(N832="yes",1,0)*'Grading Scale'!E$11)+(IF(O832="yes",1,0)*'Grading Scale'!E$12)+(IF(P832="yes",1,0)*'Grading Scale'!E$13))/'Grading Scale'!E$14*100,0), "")</f>
        <v/>
      </c>
      <c r="T832" s="6" t="str">
        <f>IF(ISNUMBER(S832),VLOOKUP(S832,'Grading Scale'!$A$2:$B$14, 2), "")</f>
        <v/>
      </c>
      <c r="U832" s="7"/>
      <c r="V832" s="7"/>
      <c r="W832" s="7"/>
      <c r="X832" s="7"/>
      <c r="Y832" s="7"/>
      <c r="Z832" s="7"/>
      <c r="AA832" s="7"/>
      <c r="AB832" s="7"/>
      <c r="AC832" s="7"/>
      <c r="AD832" s="7"/>
      <c r="AE832" s="7"/>
      <c r="AF832" s="7"/>
      <c r="AG832" s="7"/>
      <c r="AH832" s="7"/>
      <c r="AI832" s="7"/>
      <c r="AJ832" s="7"/>
    </row>
    <row r="833">
      <c r="A833" s="7"/>
      <c r="B833" s="7"/>
      <c r="C833" s="7"/>
      <c r="D833" s="6" t="str">
        <f>IF(NOT(ISBLANK(C833)), VLOOKUP(C833,'Dataset Descriptions'!$A$2:$B$10, 2, FALSE), "")</f>
        <v/>
      </c>
      <c r="E833" s="7"/>
      <c r="F833" s="7"/>
      <c r="G833" s="7"/>
      <c r="H833" s="7"/>
      <c r="I833" s="7"/>
      <c r="J833" s="7"/>
      <c r="K833" s="7"/>
      <c r="L833" s="7"/>
      <c r="M833" s="7"/>
      <c r="N833" s="7"/>
      <c r="O833" s="7"/>
      <c r="P833" s="7"/>
      <c r="Q833" s="7"/>
      <c r="R833" s="8"/>
      <c r="S833" s="6" t="str">
        <f>IF(NOT(ISBLANK(E833)), ROUND(((IF(E833="yes",1,0)*'Grading Scale'!E$2)+(IF(F833="yes",1,0)*'Grading Scale'!E$3)+(IF(G833="yes",1,0)*'Grading Scale'!E$4)+(IF(H833="yes",1,0)*'Grading Scale'!E$5)+(IF(I833="yes",1,0)*'Grading Scale'!E$6)+(IF(J833="yes",1,0)*'Grading Scale'!E$7)+(IF(K833="yes",1,0)*'Grading Scale'!E$8)+(IF(L833="yes",1,0)*'Grading Scale'!E$9)+(IF(M833="yes",1,0)*'Grading Scale'!E$10)+(IF(N833="yes",1,0)*'Grading Scale'!E$11)+(IF(O833="yes",1,0)*'Grading Scale'!E$12)+(IF(P833="yes",1,0)*'Grading Scale'!E$13))/'Grading Scale'!E$14*100,0), "")</f>
        <v/>
      </c>
      <c r="T833" s="6" t="str">
        <f>IF(ISNUMBER(S833),VLOOKUP(S833,'Grading Scale'!$A$2:$B$14, 2), "")</f>
        <v/>
      </c>
      <c r="U833" s="7"/>
      <c r="V833" s="7"/>
      <c r="W833" s="7"/>
      <c r="X833" s="7"/>
      <c r="Y833" s="7"/>
      <c r="Z833" s="7"/>
      <c r="AA833" s="7"/>
      <c r="AB833" s="7"/>
      <c r="AC833" s="7"/>
      <c r="AD833" s="7"/>
      <c r="AE833" s="7"/>
      <c r="AF833" s="7"/>
      <c r="AG833" s="7"/>
      <c r="AH833" s="7"/>
      <c r="AI833" s="7"/>
      <c r="AJ833" s="7"/>
    </row>
    <row r="834">
      <c r="A834" s="7"/>
      <c r="B834" s="7"/>
      <c r="C834" s="7"/>
      <c r="D834" s="6" t="str">
        <f>IF(NOT(ISBLANK(C834)), VLOOKUP(C834,'Dataset Descriptions'!$A$2:$B$10, 2, FALSE), "")</f>
        <v/>
      </c>
      <c r="E834" s="7"/>
      <c r="F834" s="7"/>
      <c r="G834" s="7"/>
      <c r="H834" s="7"/>
      <c r="I834" s="7"/>
      <c r="J834" s="7"/>
      <c r="K834" s="7"/>
      <c r="L834" s="7"/>
      <c r="M834" s="7"/>
      <c r="N834" s="7"/>
      <c r="O834" s="7"/>
      <c r="P834" s="7"/>
      <c r="Q834" s="7"/>
      <c r="R834" s="8"/>
      <c r="S834" s="6" t="str">
        <f>IF(NOT(ISBLANK(E834)), ROUND(((IF(E834="yes",1,0)*'Grading Scale'!E$2)+(IF(F834="yes",1,0)*'Grading Scale'!E$3)+(IF(G834="yes",1,0)*'Grading Scale'!E$4)+(IF(H834="yes",1,0)*'Grading Scale'!E$5)+(IF(I834="yes",1,0)*'Grading Scale'!E$6)+(IF(J834="yes",1,0)*'Grading Scale'!E$7)+(IF(K834="yes",1,0)*'Grading Scale'!E$8)+(IF(L834="yes",1,0)*'Grading Scale'!E$9)+(IF(M834="yes",1,0)*'Grading Scale'!E$10)+(IF(N834="yes",1,0)*'Grading Scale'!E$11)+(IF(O834="yes",1,0)*'Grading Scale'!E$12)+(IF(P834="yes",1,0)*'Grading Scale'!E$13))/'Grading Scale'!E$14*100,0), "")</f>
        <v/>
      </c>
      <c r="T834" s="6" t="str">
        <f>IF(ISNUMBER(S834),VLOOKUP(S834,'Grading Scale'!$A$2:$B$14, 2), "")</f>
        <v/>
      </c>
      <c r="U834" s="7"/>
      <c r="V834" s="7"/>
      <c r="W834" s="7"/>
      <c r="X834" s="7"/>
      <c r="Y834" s="7"/>
      <c r="Z834" s="7"/>
      <c r="AA834" s="7"/>
      <c r="AB834" s="7"/>
      <c r="AC834" s="7"/>
      <c r="AD834" s="7"/>
      <c r="AE834" s="7"/>
      <c r="AF834" s="7"/>
      <c r="AG834" s="7"/>
      <c r="AH834" s="7"/>
      <c r="AI834" s="7"/>
      <c r="AJ834" s="7"/>
    </row>
    <row r="835">
      <c r="A835" s="7"/>
      <c r="B835" s="7"/>
      <c r="C835" s="7"/>
      <c r="D835" s="6" t="str">
        <f>IF(NOT(ISBLANK(C835)), VLOOKUP(C835,'Dataset Descriptions'!$A$2:$B$10, 2, FALSE), "")</f>
        <v/>
      </c>
      <c r="E835" s="7"/>
      <c r="F835" s="7"/>
      <c r="G835" s="7"/>
      <c r="H835" s="7"/>
      <c r="I835" s="7"/>
      <c r="J835" s="7"/>
      <c r="K835" s="7"/>
      <c r="L835" s="7"/>
      <c r="M835" s="7"/>
      <c r="N835" s="7"/>
      <c r="O835" s="7"/>
      <c r="P835" s="7"/>
      <c r="Q835" s="7"/>
      <c r="R835" s="8"/>
      <c r="S835" s="6" t="str">
        <f>IF(NOT(ISBLANK(E835)), ROUND(((IF(E835="yes",1,0)*'Grading Scale'!E$2)+(IF(F835="yes",1,0)*'Grading Scale'!E$3)+(IF(G835="yes",1,0)*'Grading Scale'!E$4)+(IF(H835="yes",1,0)*'Grading Scale'!E$5)+(IF(I835="yes",1,0)*'Grading Scale'!E$6)+(IF(J835="yes",1,0)*'Grading Scale'!E$7)+(IF(K835="yes",1,0)*'Grading Scale'!E$8)+(IF(L835="yes",1,0)*'Grading Scale'!E$9)+(IF(M835="yes",1,0)*'Grading Scale'!E$10)+(IF(N835="yes",1,0)*'Grading Scale'!E$11)+(IF(O835="yes",1,0)*'Grading Scale'!E$12)+(IF(P835="yes",1,0)*'Grading Scale'!E$13))/'Grading Scale'!E$14*100,0), "")</f>
        <v/>
      </c>
      <c r="T835" s="6" t="str">
        <f>IF(ISNUMBER(S835),VLOOKUP(S835,'Grading Scale'!$A$2:$B$14, 2), "")</f>
        <v/>
      </c>
      <c r="U835" s="7"/>
      <c r="V835" s="7"/>
      <c r="W835" s="7"/>
      <c r="X835" s="7"/>
      <c r="Y835" s="7"/>
      <c r="Z835" s="7"/>
      <c r="AA835" s="7"/>
      <c r="AB835" s="7"/>
      <c r="AC835" s="7"/>
      <c r="AD835" s="7"/>
      <c r="AE835" s="7"/>
      <c r="AF835" s="7"/>
      <c r="AG835" s="7"/>
      <c r="AH835" s="7"/>
      <c r="AI835" s="7"/>
      <c r="AJ835" s="7"/>
    </row>
    <row r="836">
      <c r="A836" s="7"/>
      <c r="B836" s="7"/>
      <c r="C836" s="7"/>
      <c r="D836" s="6" t="str">
        <f>IF(NOT(ISBLANK(C836)), VLOOKUP(C836,'Dataset Descriptions'!$A$2:$B$10, 2, FALSE), "")</f>
        <v/>
      </c>
      <c r="E836" s="7"/>
      <c r="F836" s="7"/>
      <c r="G836" s="7"/>
      <c r="H836" s="7"/>
      <c r="I836" s="7"/>
      <c r="J836" s="7"/>
      <c r="K836" s="7"/>
      <c r="L836" s="7"/>
      <c r="M836" s="7"/>
      <c r="N836" s="7"/>
      <c r="O836" s="7"/>
      <c r="P836" s="7"/>
      <c r="Q836" s="7"/>
      <c r="R836" s="8"/>
      <c r="S836" s="6" t="str">
        <f>IF(NOT(ISBLANK(E836)), ROUND(((IF(E836="yes",1,0)*'Grading Scale'!E$2)+(IF(F836="yes",1,0)*'Grading Scale'!E$3)+(IF(G836="yes",1,0)*'Grading Scale'!E$4)+(IF(H836="yes",1,0)*'Grading Scale'!E$5)+(IF(I836="yes",1,0)*'Grading Scale'!E$6)+(IF(J836="yes",1,0)*'Grading Scale'!E$7)+(IF(K836="yes",1,0)*'Grading Scale'!E$8)+(IF(L836="yes",1,0)*'Grading Scale'!E$9)+(IF(M836="yes",1,0)*'Grading Scale'!E$10)+(IF(N836="yes",1,0)*'Grading Scale'!E$11)+(IF(O836="yes",1,0)*'Grading Scale'!E$12)+(IF(P836="yes",1,0)*'Grading Scale'!E$13))/'Grading Scale'!E$14*100,0), "")</f>
        <v/>
      </c>
      <c r="T836" s="6" t="str">
        <f>IF(ISNUMBER(S836),VLOOKUP(S836,'Grading Scale'!$A$2:$B$14, 2), "")</f>
        <v/>
      </c>
      <c r="U836" s="7"/>
      <c r="V836" s="7"/>
      <c r="W836" s="7"/>
      <c r="X836" s="7"/>
      <c r="Y836" s="7"/>
      <c r="Z836" s="7"/>
      <c r="AA836" s="7"/>
      <c r="AB836" s="7"/>
      <c r="AC836" s="7"/>
      <c r="AD836" s="7"/>
      <c r="AE836" s="7"/>
      <c r="AF836" s="7"/>
      <c r="AG836" s="7"/>
      <c r="AH836" s="7"/>
      <c r="AI836" s="7"/>
      <c r="AJ836" s="7"/>
    </row>
    <row r="837">
      <c r="A837" s="7"/>
      <c r="B837" s="7"/>
      <c r="C837" s="7"/>
      <c r="D837" s="6" t="str">
        <f>IF(NOT(ISBLANK(C837)), VLOOKUP(C837,'Dataset Descriptions'!$A$2:$B$10, 2, FALSE), "")</f>
        <v/>
      </c>
      <c r="E837" s="7"/>
      <c r="F837" s="7"/>
      <c r="G837" s="7"/>
      <c r="H837" s="7"/>
      <c r="I837" s="7"/>
      <c r="J837" s="7"/>
      <c r="K837" s="7"/>
      <c r="L837" s="7"/>
      <c r="M837" s="7"/>
      <c r="N837" s="7"/>
      <c r="O837" s="7"/>
      <c r="P837" s="7"/>
      <c r="Q837" s="7"/>
      <c r="R837" s="8"/>
      <c r="S837" s="6" t="str">
        <f>IF(NOT(ISBLANK(E837)), ROUND(((IF(E837="yes",1,0)*'Grading Scale'!E$2)+(IF(F837="yes",1,0)*'Grading Scale'!E$3)+(IF(G837="yes",1,0)*'Grading Scale'!E$4)+(IF(H837="yes",1,0)*'Grading Scale'!E$5)+(IF(I837="yes",1,0)*'Grading Scale'!E$6)+(IF(J837="yes",1,0)*'Grading Scale'!E$7)+(IF(K837="yes",1,0)*'Grading Scale'!E$8)+(IF(L837="yes",1,0)*'Grading Scale'!E$9)+(IF(M837="yes",1,0)*'Grading Scale'!E$10)+(IF(N837="yes",1,0)*'Grading Scale'!E$11)+(IF(O837="yes",1,0)*'Grading Scale'!E$12)+(IF(P837="yes",1,0)*'Grading Scale'!E$13))/'Grading Scale'!E$14*100,0), "")</f>
        <v/>
      </c>
      <c r="T837" s="6" t="str">
        <f>IF(ISNUMBER(S837),VLOOKUP(S837,'Grading Scale'!$A$2:$B$14, 2), "")</f>
        <v/>
      </c>
      <c r="U837" s="7"/>
      <c r="V837" s="7"/>
      <c r="W837" s="7"/>
      <c r="X837" s="7"/>
      <c r="Y837" s="7"/>
      <c r="Z837" s="7"/>
      <c r="AA837" s="7"/>
      <c r="AB837" s="7"/>
      <c r="AC837" s="7"/>
      <c r="AD837" s="7"/>
      <c r="AE837" s="7"/>
      <c r="AF837" s="7"/>
      <c r="AG837" s="7"/>
      <c r="AH837" s="7"/>
      <c r="AI837" s="7"/>
      <c r="AJ837" s="7"/>
    </row>
    <row r="838">
      <c r="A838" s="7"/>
      <c r="B838" s="7"/>
      <c r="C838" s="7"/>
      <c r="D838" s="6" t="str">
        <f>IF(NOT(ISBLANK(C838)), VLOOKUP(C838,'Dataset Descriptions'!$A$2:$B$10, 2, FALSE), "")</f>
        <v/>
      </c>
      <c r="E838" s="7"/>
      <c r="F838" s="7"/>
      <c r="G838" s="7"/>
      <c r="H838" s="7"/>
      <c r="I838" s="7"/>
      <c r="J838" s="7"/>
      <c r="K838" s="7"/>
      <c r="L838" s="7"/>
      <c r="M838" s="7"/>
      <c r="N838" s="7"/>
      <c r="O838" s="7"/>
      <c r="P838" s="7"/>
      <c r="Q838" s="7"/>
      <c r="R838" s="8"/>
      <c r="S838" s="6" t="str">
        <f>IF(NOT(ISBLANK(E838)), ROUND(((IF(E838="yes",1,0)*'Grading Scale'!E$2)+(IF(F838="yes",1,0)*'Grading Scale'!E$3)+(IF(G838="yes",1,0)*'Grading Scale'!E$4)+(IF(H838="yes",1,0)*'Grading Scale'!E$5)+(IF(I838="yes",1,0)*'Grading Scale'!E$6)+(IF(J838="yes",1,0)*'Grading Scale'!E$7)+(IF(K838="yes",1,0)*'Grading Scale'!E$8)+(IF(L838="yes",1,0)*'Grading Scale'!E$9)+(IF(M838="yes",1,0)*'Grading Scale'!E$10)+(IF(N838="yes",1,0)*'Grading Scale'!E$11)+(IF(O838="yes",1,0)*'Grading Scale'!E$12)+(IF(P838="yes",1,0)*'Grading Scale'!E$13))/'Grading Scale'!E$14*100,0), "")</f>
        <v/>
      </c>
      <c r="T838" s="6" t="str">
        <f>IF(ISNUMBER(S838),VLOOKUP(S838,'Grading Scale'!$A$2:$B$14, 2), "")</f>
        <v/>
      </c>
      <c r="U838" s="7"/>
      <c r="V838" s="7"/>
      <c r="W838" s="7"/>
      <c r="X838" s="7"/>
      <c r="Y838" s="7"/>
      <c r="Z838" s="7"/>
      <c r="AA838" s="7"/>
      <c r="AB838" s="7"/>
      <c r="AC838" s="7"/>
      <c r="AD838" s="7"/>
      <c r="AE838" s="7"/>
      <c r="AF838" s="7"/>
      <c r="AG838" s="7"/>
      <c r="AH838" s="7"/>
      <c r="AI838" s="7"/>
      <c r="AJ838" s="7"/>
    </row>
    <row r="839">
      <c r="A839" s="7"/>
      <c r="B839" s="7"/>
      <c r="C839" s="7"/>
      <c r="D839" s="6" t="str">
        <f>IF(NOT(ISBLANK(C839)), VLOOKUP(C839,'Dataset Descriptions'!$A$2:$B$10, 2, FALSE), "")</f>
        <v/>
      </c>
      <c r="E839" s="7"/>
      <c r="F839" s="7"/>
      <c r="G839" s="7"/>
      <c r="H839" s="7"/>
      <c r="I839" s="7"/>
      <c r="J839" s="7"/>
      <c r="K839" s="7"/>
      <c r="L839" s="7"/>
      <c r="M839" s="7"/>
      <c r="N839" s="7"/>
      <c r="O839" s="7"/>
      <c r="P839" s="7"/>
      <c r="Q839" s="7"/>
      <c r="R839" s="8"/>
      <c r="S839" s="6" t="str">
        <f>IF(NOT(ISBLANK(E839)), ROUND(((IF(E839="yes",1,0)*'Grading Scale'!E$2)+(IF(F839="yes",1,0)*'Grading Scale'!E$3)+(IF(G839="yes",1,0)*'Grading Scale'!E$4)+(IF(H839="yes",1,0)*'Grading Scale'!E$5)+(IF(I839="yes",1,0)*'Grading Scale'!E$6)+(IF(J839="yes",1,0)*'Grading Scale'!E$7)+(IF(K839="yes",1,0)*'Grading Scale'!E$8)+(IF(L839="yes",1,0)*'Grading Scale'!E$9)+(IF(M839="yes",1,0)*'Grading Scale'!E$10)+(IF(N839="yes",1,0)*'Grading Scale'!E$11)+(IF(O839="yes",1,0)*'Grading Scale'!E$12)+(IF(P839="yes",1,0)*'Grading Scale'!E$13))/'Grading Scale'!E$14*100,0), "")</f>
        <v/>
      </c>
      <c r="T839" s="6" t="str">
        <f>IF(ISNUMBER(S839),VLOOKUP(S839,'Grading Scale'!$A$2:$B$14, 2), "")</f>
        <v/>
      </c>
      <c r="U839" s="7"/>
      <c r="V839" s="7"/>
      <c r="W839" s="7"/>
      <c r="X839" s="7"/>
      <c r="Y839" s="7"/>
      <c r="Z839" s="7"/>
      <c r="AA839" s="7"/>
      <c r="AB839" s="7"/>
      <c r="AC839" s="7"/>
      <c r="AD839" s="7"/>
      <c r="AE839" s="7"/>
      <c r="AF839" s="7"/>
      <c r="AG839" s="7"/>
      <c r="AH839" s="7"/>
      <c r="AI839" s="7"/>
      <c r="AJ839" s="7"/>
    </row>
    <row r="840">
      <c r="A840" s="7"/>
      <c r="B840" s="7"/>
      <c r="C840" s="7"/>
      <c r="D840" s="6" t="str">
        <f>IF(NOT(ISBLANK(C840)), VLOOKUP(C840,'Dataset Descriptions'!$A$2:$B$10, 2, FALSE), "")</f>
        <v/>
      </c>
      <c r="E840" s="7"/>
      <c r="F840" s="7"/>
      <c r="G840" s="7"/>
      <c r="H840" s="7"/>
      <c r="I840" s="7"/>
      <c r="J840" s="7"/>
      <c r="K840" s="7"/>
      <c r="L840" s="7"/>
      <c r="M840" s="7"/>
      <c r="N840" s="7"/>
      <c r="O840" s="7"/>
      <c r="P840" s="7"/>
      <c r="Q840" s="7"/>
      <c r="R840" s="8"/>
      <c r="S840" s="6" t="str">
        <f>IF(NOT(ISBLANK(E840)), ROUND(((IF(E840="yes",1,0)*'Grading Scale'!E$2)+(IF(F840="yes",1,0)*'Grading Scale'!E$3)+(IF(G840="yes",1,0)*'Grading Scale'!E$4)+(IF(H840="yes",1,0)*'Grading Scale'!E$5)+(IF(I840="yes",1,0)*'Grading Scale'!E$6)+(IF(J840="yes",1,0)*'Grading Scale'!E$7)+(IF(K840="yes",1,0)*'Grading Scale'!E$8)+(IF(L840="yes",1,0)*'Grading Scale'!E$9)+(IF(M840="yes",1,0)*'Grading Scale'!E$10)+(IF(N840="yes",1,0)*'Grading Scale'!E$11)+(IF(O840="yes",1,0)*'Grading Scale'!E$12)+(IF(P840="yes",1,0)*'Grading Scale'!E$13))/'Grading Scale'!E$14*100,0), "")</f>
        <v/>
      </c>
      <c r="T840" s="6" t="str">
        <f>IF(ISNUMBER(S840),VLOOKUP(S840,'Grading Scale'!$A$2:$B$14, 2), "")</f>
        <v/>
      </c>
      <c r="U840" s="7"/>
      <c r="V840" s="7"/>
      <c r="W840" s="7"/>
      <c r="X840" s="7"/>
      <c r="Y840" s="7"/>
      <c r="Z840" s="7"/>
      <c r="AA840" s="7"/>
      <c r="AB840" s="7"/>
      <c r="AC840" s="7"/>
      <c r="AD840" s="7"/>
      <c r="AE840" s="7"/>
      <c r="AF840" s="7"/>
      <c r="AG840" s="7"/>
      <c r="AH840" s="7"/>
      <c r="AI840" s="7"/>
      <c r="AJ840" s="7"/>
    </row>
    <row r="841">
      <c r="A841" s="7"/>
      <c r="B841" s="7"/>
      <c r="C841" s="7"/>
      <c r="D841" s="6" t="str">
        <f>IF(NOT(ISBLANK(C841)), VLOOKUP(C841,'Dataset Descriptions'!$A$2:$B$10, 2, FALSE), "")</f>
        <v/>
      </c>
      <c r="E841" s="7"/>
      <c r="F841" s="7"/>
      <c r="G841" s="7"/>
      <c r="H841" s="7"/>
      <c r="I841" s="7"/>
      <c r="J841" s="7"/>
      <c r="K841" s="7"/>
      <c r="L841" s="7"/>
      <c r="M841" s="7"/>
      <c r="N841" s="7"/>
      <c r="O841" s="7"/>
      <c r="P841" s="7"/>
      <c r="Q841" s="7"/>
      <c r="R841" s="8"/>
      <c r="S841" s="6" t="str">
        <f>IF(NOT(ISBLANK(E841)), ROUND(((IF(E841="yes",1,0)*'Grading Scale'!E$2)+(IF(F841="yes",1,0)*'Grading Scale'!E$3)+(IF(G841="yes",1,0)*'Grading Scale'!E$4)+(IF(H841="yes",1,0)*'Grading Scale'!E$5)+(IF(I841="yes",1,0)*'Grading Scale'!E$6)+(IF(J841="yes",1,0)*'Grading Scale'!E$7)+(IF(K841="yes",1,0)*'Grading Scale'!E$8)+(IF(L841="yes",1,0)*'Grading Scale'!E$9)+(IF(M841="yes",1,0)*'Grading Scale'!E$10)+(IF(N841="yes",1,0)*'Grading Scale'!E$11)+(IF(O841="yes",1,0)*'Grading Scale'!E$12)+(IF(P841="yes",1,0)*'Grading Scale'!E$13))/'Grading Scale'!E$14*100,0), "")</f>
        <v/>
      </c>
      <c r="T841" s="6" t="str">
        <f>IF(ISNUMBER(S841),VLOOKUP(S841,'Grading Scale'!$A$2:$B$14, 2), "")</f>
        <v/>
      </c>
      <c r="U841" s="7"/>
      <c r="V841" s="7"/>
      <c r="W841" s="7"/>
      <c r="X841" s="7"/>
      <c r="Y841" s="7"/>
      <c r="Z841" s="7"/>
      <c r="AA841" s="7"/>
      <c r="AB841" s="7"/>
      <c r="AC841" s="7"/>
      <c r="AD841" s="7"/>
      <c r="AE841" s="7"/>
      <c r="AF841" s="7"/>
      <c r="AG841" s="7"/>
      <c r="AH841" s="7"/>
      <c r="AI841" s="7"/>
      <c r="AJ841" s="7"/>
    </row>
    <row r="842">
      <c r="A842" s="7"/>
      <c r="B842" s="7"/>
      <c r="C842" s="7"/>
      <c r="D842" s="6" t="str">
        <f>IF(NOT(ISBLANK(C842)), VLOOKUP(C842,'Dataset Descriptions'!$A$2:$B$10, 2, FALSE), "")</f>
        <v/>
      </c>
      <c r="E842" s="7"/>
      <c r="F842" s="7"/>
      <c r="G842" s="7"/>
      <c r="H842" s="7"/>
      <c r="I842" s="7"/>
      <c r="J842" s="7"/>
      <c r="K842" s="7"/>
      <c r="L842" s="7"/>
      <c r="M842" s="7"/>
      <c r="N842" s="7"/>
      <c r="O842" s="7"/>
      <c r="P842" s="7"/>
      <c r="Q842" s="7"/>
      <c r="R842" s="8"/>
      <c r="S842" s="6" t="str">
        <f>IF(NOT(ISBLANK(E842)), ROUND(((IF(E842="yes",1,0)*'Grading Scale'!E$2)+(IF(F842="yes",1,0)*'Grading Scale'!E$3)+(IF(G842="yes",1,0)*'Grading Scale'!E$4)+(IF(H842="yes",1,0)*'Grading Scale'!E$5)+(IF(I842="yes",1,0)*'Grading Scale'!E$6)+(IF(J842="yes",1,0)*'Grading Scale'!E$7)+(IF(K842="yes",1,0)*'Grading Scale'!E$8)+(IF(L842="yes",1,0)*'Grading Scale'!E$9)+(IF(M842="yes",1,0)*'Grading Scale'!E$10)+(IF(N842="yes",1,0)*'Grading Scale'!E$11)+(IF(O842="yes",1,0)*'Grading Scale'!E$12)+(IF(P842="yes",1,0)*'Grading Scale'!E$13))/'Grading Scale'!E$14*100,0), "")</f>
        <v/>
      </c>
      <c r="T842" s="6" t="str">
        <f>IF(ISNUMBER(S842),VLOOKUP(S842,'Grading Scale'!$A$2:$B$14, 2), "")</f>
        <v/>
      </c>
      <c r="U842" s="7"/>
      <c r="V842" s="7"/>
      <c r="W842" s="7"/>
      <c r="X842" s="7"/>
      <c r="Y842" s="7"/>
      <c r="Z842" s="7"/>
      <c r="AA842" s="7"/>
      <c r="AB842" s="7"/>
      <c r="AC842" s="7"/>
      <c r="AD842" s="7"/>
      <c r="AE842" s="7"/>
      <c r="AF842" s="7"/>
      <c r="AG842" s="7"/>
      <c r="AH842" s="7"/>
      <c r="AI842" s="7"/>
      <c r="AJ842" s="7"/>
    </row>
    <row r="843">
      <c r="A843" s="7"/>
      <c r="B843" s="7"/>
      <c r="C843" s="7"/>
      <c r="D843" s="6" t="str">
        <f>IF(NOT(ISBLANK(C843)), VLOOKUP(C843,'Dataset Descriptions'!$A$2:$B$10, 2, FALSE), "")</f>
        <v/>
      </c>
      <c r="E843" s="7"/>
      <c r="F843" s="7"/>
      <c r="G843" s="7"/>
      <c r="H843" s="7"/>
      <c r="I843" s="7"/>
      <c r="J843" s="7"/>
      <c r="K843" s="7"/>
      <c r="L843" s="7"/>
      <c r="M843" s="7"/>
      <c r="N843" s="7"/>
      <c r="O843" s="7"/>
      <c r="P843" s="7"/>
      <c r="Q843" s="7"/>
      <c r="R843" s="8"/>
      <c r="S843" s="6" t="str">
        <f>IF(NOT(ISBLANK(E843)), ROUND(((IF(E843="yes",1,0)*'Grading Scale'!E$2)+(IF(F843="yes",1,0)*'Grading Scale'!E$3)+(IF(G843="yes",1,0)*'Grading Scale'!E$4)+(IF(H843="yes",1,0)*'Grading Scale'!E$5)+(IF(I843="yes",1,0)*'Grading Scale'!E$6)+(IF(J843="yes",1,0)*'Grading Scale'!E$7)+(IF(K843="yes",1,0)*'Grading Scale'!E$8)+(IF(L843="yes",1,0)*'Grading Scale'!E$9)+(IF(M843="yes",1,0)*'Grading Scale'!E$10)+(IF(N843="yes",1,0)*'Grading Scale'!E$11)+(IF(O843="yes",1,0)*'Grading Scale'!E$12)+(IF(P843="yes",1,0)*'Grading Scale'!E$13))/'Grading Scale'!E$14*100,0), "")</f>
        <v/>
      </c>
      <c r="T843" s="6" t="str">
        <f>IF(ISNUMBER(S843),VLOOKUP(S843,'Grading Scale'!$A$2:$B$14, 2), "")</f>
        <v/>
      </c>
      <c r="U843" s="7"/>
      <c r="V843" s="7"/>
      <c r="W843" s="7"/>
      <c r="X843" s="7"/>
      <c r="Y843" s="7"/>
      <c r="Z843" s="7"/>
      <c r="AA843" s="7"/>
      <c r="AB843" s="7"/>
      <c r="AC843" s="7"/>
      <c r="AD843" s="7"/>
      <c r="AE843" s="7"/>
      <c r="AF843" s="7"/>
      <c r="AG843" s="7"/>
      <c r="AH843" s="7"/>
      <c r="AI843" s="7"/>
      <c r="AJ843" s="7"/>
    </row>
    <row r="844">
      <c r="A844" s="7"/>
      <c r="B844" s="7"/>
      <c r="C844" s="7"/>
      <c r="D844" s="6" t="str">
        <f>IF(NOT(ISBLANK(C844)), VLOOKUP(C844,'Dataset Descriptions'!$A$2:$B$10, 2, FALSE), "")</f>
        <v/>
      </c>
      <c r="E844" s="7"/>
      <c r="F844" s="7"/>
      <c r="G844" s="7"/>
      <c r="H844" s="7"/>
      <c r="I844" s="7"/>
      <c r="J844" s="7"/>
      <c r="K844" s="7"/>
      <c r="L844" s="7"/>
      <c r="M844" s="7"/>
      <c r="N844" s="7"/>
      <c r="O844" s="7"/>
      <c r="P844" s="7"/>
      <c r="Q844" s="7"/>
      <c r="R844" s="8"/>
      <c r="S844" s="6" t="str">
        <f>IF(NOT(ISBLANK(E844)), ROUND(((IF(E844="yes",1,0)*'Grading Scale'!E$2)+(IF(F844="yes",1,0)*'Grading Scale'!E$3)+(IF(G844="yes",1,0)*'Grading Scale'!E$4)+(IF(H844="yes",1,0)*'Grading Scale'!E$5)+(IF(I844="yes",1,0)*'Grading Scale'!E$6)+(IF(J844="yes",1,0)*'Grading Scale'!E$7)+(IF(K844="yes",1,0)*'Grading Scale'!E$8)+(IF(L844="yes",1,0)*'Grading Scale'!E$9)+(IF(M844="yes",1,0)*'Grading Scale'!E$10)+(IF(N844="yes",1,0)*'Grading Scale'!E$11)+(IF(O844="yes",1,0)*'Grading Scale'!E$12)+(IF(P844="yes",1,0)*'Grading Scale'!E$13))/'Grading Scale'!E$14*100,0), "")</f>
        <v/>
      </c>
      <c r="T844" s="6" t="str">
        <f>IF(ISNUMBER(S844),VLOOKUP(S844,'Grading Scale'!$A$2:$B$14, 2), "")</f>
        <v/>
      </c>
      <c r="U844" s="7"/>
      <c r="V844" s="7"/>
      <c r="W844" s="7"/>
      <c r="X844" s="7"/>
      <c r="Y844" s="7"/>
      <c r="Z844" s="7"/>
      <c r="AA844" s="7"/>
      <c r="AB844" s="7"/>
      <c r="AC844" s="7"/>
      <c r="AD844" s="7"/>
      <c r="AE844" s="7"/>
      <c r="AF844" s="7"/>
      <c r="AG844" s="7"/>
      <c r="AH844" s="7"/>
      <c r="AI844" s="7"/>
      <c r="AJ844" s="7"/>
    </row>
    <row r="845">
      <c r="A845" s="7"/>
      <c r="B845" s="7"/>
      <c r="C845" s="7"/>
      <c r="D845" s="6" t="str">
        <f>IF(NOT(ISBLANK(C845)), VLOOKUP(C845,'Dataset Descriptions'!$A$2:$B$10, 2, FALSE), "")</f>
        <v/>
      </c>
      <c r="E845" s="7"/>
      <c r="F845" s="7"/>
      <c r="G845" s="7"/>
      <c r="H845" s="7"/>
      <c r="I845" s="7"/>
      <c r="J845" s="7"/>
      <c r="K845" s="7"/>
      <c r="L845" s="7"/>
      <c r="M845" s="7"/>
      <c r="N845" s="7"/>
      <c r="O845" s="7"/>
      <c r="P845" s="7"/>
      <c r="Q845" s="7"/>
      <c r="R845" s="8"/>
      <c r="S845" s="6" t="str">
        <f>IF(NOT(ISBLANK(E845)), ROUND(((IF(E845="yes",1,0)*'Grading Scale'!E$2)+(IF(F845="yes",1,0)*'Grading Scale'!E$3)+(IF(G845="yes",1,0)*'Grading Scale'!E$4)+(IF(H845="yes",1,0)*'Grading Scale'!E$5)+(IF(I845="yes",1,0)*'Grading Scale'!E$6)+(IF(J845="yes",1,0)*'Grading Scale'!E$7)+(IF(K845="yes",1,0)*'Grading Scale'!E$8)+(IF(L845="yes",1,0)*'Grading Scale'!E$9)+(IF(M845="yes",1,0)*'Grading Scale'!E$10)+(IF(N845="yes",1,0)*'Grading Scale'!E$11)+(IF(O845="yes",1,0)*'Grading Scale'!E$12)+(IF(P845="yes",1,0)*'Grading Scale'!E$13))/'Grading Scale'!E$14*100,0), "")</f>
        <v/>
      </c>
      <c r="T845" s="6" t="str">
        <f>IF(ISNUMBER(S845),VLOOKUP(S845,'Grading Scale'!$A$2:$B$14, 2), "")</f>
        <v/>
      </c>
      <c r="U845" s="7"/>
      <c r="V845" s="7"/>
      <c r="W845" s="7"/>
      <c r="X845" s="7"/>
      <c r="Y845" s="7"/>
      <c r="Z845" s="7"/>
      <c r="AA845" s="7"/>
      <c r="AB845" s="7"/>
      <c r="AC845" s="7"/>
      <c r="AD845" s="7"/>
      <c r="AE845" s="7"/>
      <c r="AF845" s="7"/>
      <c r="AG845" s="7"/>
      <c r="AH845" s="7"/>
      <c r="AI845" s="7"/>
      <c r="AJ845" s="7"/>
    </row>
    <row r="846">
      <c r="A846" s="7"/>
      <c r="B846" s="7"/>
      <c r="C846" s="7"/>
      <c r="D846" s="6" t="str">
        <f>IF(NOT(ISBLANK(C846)), VLOOKUP(C846,'Dataset Descriptions'!$A$2:$B$10, 2, FALSE), "")</f>
        <v/>
      </c>
      <c r="E846" s="7"/>
      <c r="F846" s="7"/>
      <c r="G846" s="7"/>
      <c r="H846" s="7"/>
      <c r="I846" s="7"/>
      <c r="J846" s="7"/>
      <c r="K846" s="7"/>
      <c r="L846" s="7"/>
      <c r="M846" s="7"/>
      <c r="N846" s="7"/>
      <c r="O846" s="7"/>
      <c r="P846" s="7"/>
      <c r="Q846" s="7"/>
      <c r="R846" s="8"/>
      <c r="S846" s="6" t="str">
        <f>IF(NOT(ISBLANK(E846)), ROUND(((IF(E846="yes",1,0)*'Grading Scale'!E$2)+(IF(F846="yes",1,0)*'Grading Scale'!E$3)+(IF(G846="yes",1,0)*'Grading Scale'!E$4)+(IF(H846="yes",1,0)*'Grading Scale'!E$5)+(IF(I846="yes",1,0)*'Grading Scale'!E$6)+(IF(J846="yes",1,0)*'Grading Scale'!E$7)+(IF(K846="yes",1,0)*'Grading Scale'!E$8)+(IF(L846="yes",1,0)*'Grading Scale'!E$9)+(IF(M846="yes",1,0)*'Grading Scale'!E$10)+(IF(N846="yes",1,0)*'Grading Scale'!E$11)+(IF(O846="yes",1,0)*'Grading Scale'!E$12)+(IF(P846="yes",1,0)*'Grading Scale'!E$13))/'Grading Scale'!E$14*100,0), "")</f>
        <v/>
      </c>
      <c r="T846" s="6" t="str">
        <f>IF(ISNUMBER(S846),VLOOKUP(S846,'Grading Scale'!$A$2:$B$14, 2), "")</f>
        <v/>
      </c>
      <c r="U846" s="7"/>
      <c r="V846" s="7"/>
      <c r="W846" s="7"/>
      <c r="X846" s="7"/>
      <c r="Y846" s="7"/>
      <c r="Z846" s="7"/>
      <c r="AA846" s="7"/>
      <c r="AB846" s="7"/>
      <c r="AC846" s="7"/>
      <c r="AD846" s="7"/>
      <c r="AE846" s="7"/>
      <c r="AF846" s="7"/>
      <c r="AG846" s="7"/>
      <c r="AH846" s="7"/>
      <c r="AI846" s="7"/>
      <c r="AJ846" s="7"/>
    </row>
    <row r="847">
      <c r="A847" s="7"/>
      <c r="B847" s="7"/>
      <c r="C847" s="7"/>
      <c r="D847" s="6" t="str">
        <f>IF(NOT(ISBLANK(C847)), VLOOKUP(C847,'Dataset Descriptions'!$A$2:$B$10, 2, FALSE), "")</f>
        <v/>
      </c>
      <c r="E847" s="7"/>
      <c r="F847" s="7"/>
      <c r="G847" s="7"/>
      <c r="H847" s="7"/>
      <c r="I847" s="7"/>
      <c r="J847" s="7"/>
      <c r="K847" s="7"/>
      <c r="L847" s="7"/>
      <c r="M847" s="7"/>
      <c r="N847" s="7"/>
      <c r="O847" s="7"/>
      <c r="P847" s="7"/>
      <c r="Q847" s="7"/>
      <c r="R847" s="8"/>
      <c r="S847" s="6" t="str">
        <f>IF(NOT(ISBLANK(E847)), ROUND(((IF(E847="yes",1,0)*'Grading Scale'!E$2)+(IF(F847="yes",1,0)*'Grading Scale'!E$3)+(IF(G847="yes",1,0)*'Grading Scale'!E$4)+(IF(H847="yes",1,0)*'Grading Scale'!E$5)+(IF(I847="yes",1,0)*'Grading Scale'!E$6)+(IF(J847="yes",1,0)*'Grading Scale'!E$7)+(IF(K847="yes",1,0)*'Grading Scale'!E$8)+(IF(L847="yes",1,0)*'Grading Scale'!E$9)+(IF(M847="yes",1,0)*'Grading Scale'!E$10)+(IF(N847="yes",1,0)*'Grading Scale'!E$11)+(IF(O847="yes",1,0)*'Grading Scale'!E$12)+(IF(P847="yes",1,0)*'Grading Scale'!E$13))/'Grading Scale'!E$14*100,0), "")</f>
        <v/>
      </c>
      <c r="T847" s="6" t="str">
        <f>IF(ISNUMBER(S847),VLOOKUP(S847,'Grading Scale'!$A$2:$B$14, 2), "")</f>
        <v/>
      </c>
      <c r="U847" s="7"/>
      <c r="V847" s="7"/>
      <c r="W847" s="7"/>
      <c r="X847" s="7"/>
      <c r="Y847" s="7"/>
      <c r="Z847" s="7"/>
      <c r="AA847" s="7"/>
      <c r="AB847" s="7"/>
      <c r="AC847" s="7"/>
      <c r="AD847" s="7"/>
      <c r="AE847" s="7"/>
      <c r="AF847" s="7"/>
      <c r="AG847" s="7"/>
      <c r="AH847" s="7"/>
      <c r="AI847" s="7"/>
      <c r="AJ847" s="7"/>
    </row>
    <row r="848">
      <c r="A848" s="7"/>
      <c r="B848" s="7"/>
      <c r="C848" s="7"/>
      <c r="D848" s="6" t="str">
        <f>IF(NOT(ISBLANK(C848)), VLOOKUP(C848,'Dataset Descriptions'!$A$2:$B$10, 2, FALSE), "")</f>
        <v/>
      </c>
      <c r="E848" s="7"/>
      <c r="F848" s="7"/>
      <c r="G848" s="7"/>
      <c r="H848" s="7"/>
      <c r="I848" s="7"/>
      <c r="J848" s="7"/>
      <c r="K848" s="7"/>
      <c r="L848" s="7"/>
      <c r="M848" s="7"/>
      <c r="N848" s="7"/>
      <c r="O848" s="7"/>
      <c r="P848" s="7"/>
      <c r="Q848" s="7"/>
      <c r="R848" s="8"/>
      <c r="S848" s="6" t="str">
        <f>IF(NOT(ISBLANK(E848)), ROUND(((IF(E848="yes",1,0)*'Grading Scale'!E$2)+(IF(F848="yes",1,0)*'Grading Scale'!E$3)+(IF(G848="yes",1,0)*'Grading Scale'!E$4)+(IF(H848="yes",1,0)*'Grading Scale'!E$5)+(IF(I848="yes",1,0)*'Grading Scale'!E$6)+(IF(J848="yes",1,0)*'Grading Scale'!E$7)+(IF(K848="yes",1,0)*'Grading Scale'!E$8)+(IF(L848="yes",1,0)*'Grading Scale'!E$9)+(IF(M848="yes",1,0)*'Grading Scale'!E$10)+(IF(N848="yes",1,0)*'Grading Scale'!E$11)+(IF(O848="yes",1,0)*'Grading Scale'!E$12)+(IF(P848="yes",1,0)*'Grading Scale'!E$13))/'Grading Scale'!E$14*100,0), "")</f>
        <v/>
      </c>
      <c r="T848" s="6" t="str">
        <f>IF(ISNUMBER(S848),VLOOKUP(S848,'Grading Scale'!$A$2:$B$14, 2), "")</f>
        <v/>
      </c>
      <c r="U848" s="7"/>
      <c r="V848" s="7"/>
      <c r="W848" s="7"/>
      <c r="X848" s="7"/>
      <c r="Y848" s="7"/>
      <c r="Z848" s="7"/>
      <c r="AA848" s="7"/>
      <c r="AB848" s="7"/>
      <c r="AC848" s="7"/>
      <c r="AD848" s="7"/>
      <c r="AE848" s="7"/>
      <c r="AF848" s="7"/>
      <c r="AG848" s="7"/>
      <c r="AH848" s="7"/>
      <c r="AI848" s="7"/>
      <c r="AJ848" s="7"/>
    </row>
    <row r="849">
      <c r="A849" s="7"/>
      <c r="B849" s="7"/>
      <c r="C849" s="7"/>
      <c r="D849" s="6" t="str">
        <f>IF(NOT(ISBLANK(C849)), VLOOKUP(C849,'Dataset Descriptions'!$A$2:$B$10, 2, FALSE), "")</f>
        <v/>
      </c>
      <c r="E849" s="7"/>
      <c r="F849" s="7"/>
      <c r="G849" s="7"/>
      <c r="H849" s="7"/>
      <c r="I849" s="7"/>
      <c r="J849" s="7"/>
      <c r="K849" s="7"/>
      <c r="L849" s="7"/>
      <c r="M849" s="7"/>
      <c r="N849" s="7"/>
      <c r="O849" s="7"/>
      <c r="P849" s="7"/>
      <c r="Q849" s="7"/>
      <c r="R849" s="8"/>
      <c r="S849" s="6" t="str">
        <f>IF(NOT(ISBLANK(E849)), ROUND(((IF(E849="yes",1,0)*'Grading Scale'!E$2)+(IF(F849="yes",1,0)*'Grading Scale'!E$3)+(IF(G849="yes",1,0)*'Grading Scale'!E$4)+(IF(H849="yes",1,0)*'Grading Scale'!E$5)+(IF(I849="yes",1,0)*'Grading Scale'!E$6)+(IF(J849="yes",1,0)*'Grading Scale'!E$7)+(IF(K849="yes",1,0)*'Grading Scale'!E$8)+(IF(L849="yes",1,0)*'Grading Scale'!E$9)+(IF(M849="yes",1,0)*'Grading Scale'!E$10)+(IF(N849="yes",1,0)*'Grading Scale'!E$11)+(IF(O849="yes",1,0)*'Grading Scale'!E$12)+(IF(P849="yes",1,0)*'Grading Scale'!E$13))/'Grading Scale'!E$14*100,0), "")</f>
        <v/>
      </c>
      <c r="T849" s="6" t="str">
        <f>IF(ISNUMBER(S849),VLOOKUP(S849,'Grading Scale'!$A$2:$B$14, 2), "")</f>
        <v/>
      </c>
      <c r="U849" s="7"/>
      <c r="V849" s="7"/>
      <c r="W849" s="7"/>
      <c r="X849" s="7"/>
      <c r="Y849" s="7"/>
      <c r="Z849" s="7"/>
      <c r="AA849" s="7"/>
      <c r="AB849" s="7"/>
      <c r="AC849" s="7"/>
      <c r="AD849" s="7"/>
      <c r="AE849" s="7"/>
      <c r="AF849" s="7"/>
      <c r="AG849" s="7"/>
      <c r="AH849" s="7"/>
      <c r="AI849" s="7"/>
      <c r="AJ849" s="7"/>
    </row>
    <row r="850">
      <c r="A850" s="7"/>
      <c r="B850" s="7"/>
      <c r="C850" s="7"/>
      <c r="D850" s="6" t="str">
        <f>IF(NOT(ISBLANK(C850)), VLOOKUP(C850,'Dataset Descriptions'!$A$2:$B$10, 2, FALSE), "")</f>
        <v/>
      </c>
      <c r="E850" s="7"/>
      <c r="F850" s="7"/>
      <c r="G850" s="7"/>
      <c r="H850" s="7"/>
      <c r="I850" s="7"/>
      <c r="J850" s="7"/>
      <c r="K850" s="7"/>
      <c r="L850" s="7"/>
      <c r="M850" s="7"/>
      <c r="N850" s="7"/>
      <c r="O850" s="7"/>
      <c r="P850" s="7"/>
      <c r="Q850" s="7"/>
      <c r="R850" s="8"/>
      <c r="S850" s="6" t="str">
        <f>IF(NOT(ISBLANK(E850)), ROUND(((IF(E850="yes",1,0)*'Grading Scale'!E$2)+(IF(F850="yes",1,0)*'Grading Scale'!E$3)+(IF(G850="yes",1,0)*'Grading Scale'!E$4)+(IF(H850="yes",1,0)*'Grading Scale'!E$5)+(IF(I850="yes",1,0)*'Grading Scale'!E$6)+(IF(J850="yes",1,0)*'Grading Scale'!E$7)+(IF(K850="yes",1,0)*'Grading Scale'!E$8)+(IF(L850="yes",1,0)*'Grading Scale'!E$9)+(IF(M850="yes",1,0)*'Grading Scale'!E$10)+(IF(N850="yes",1,0)*'Grading Scale'!E$11)+(IF(O850="yes",1,0)*'Grading Scale'!E$12)+(IF(P850="yes",1,0)*'Grading Scale'!E$13))/'Grading Scale'!E$14*100,0), "")</f>
        <v/>
      </c>
      <c r="T850" s="6" t="str">
        <f>IF(ISNUMBER(S850),VLOOKUP(S850,'Grading Scale'!$A$2:$B$14, 2), "")</f>
        <v/>
      </c>
      <c r="U850" s="7"/>
      <c r="V850" s="7"/>
      <c r="W850" s="7"/>
      <c r="X850" s="7"/>
      <c r="Y850" s="7"/>
      <c r="Z850" s="7"/>
      <c r="AA850" s="7"/>
      <c r="AB850" s="7"/>
      <c r="AC850" s="7"/>
      <c r="AD850" s="7"/>
      <c r="AE850" s="7"/>
      <c r="AF850" s="7"/>
      <c r="AG850" s="7"/>
      <c r="AH850" s="7"/>
      <c r="AI850" s="7"/>
      <c r="AJ850" s="7"/>
    </row>
    <row r="851">
      <c r="A851" s="7"/>
      <c r="B851" s="7"/>
      <c r="C851" s="7"/>
      <c r="D851" s="6" t="str">
        <f>IF(NOT(ISBLANK(C851)), VLOOKUP(C851,'Dataset Descriptions'!$A$2:$B$10, 2, FALSE), "")</f>
        <v/>
      </c>
      <c r="E851" s="7"/>
      <c r="F851" s="7"/>
      <c r="G851" s="7"/>
      <c r="H851" s="7"/>
      <c r="I851" s="7"/>
      <c r="J851" s="7"/>
      <c r="K851" s="7"/>
      <c r="L851" s="7"/>
      <c r="M851" s="7"/>
      <c r="N851" s="7"/>
      <c r="O851" s="7"/>
      <c r="P851" s="7"/>
      <c r="Q851" s="7"/>
      <c r="R851" s="8"/>
      <c r="S851" s="7"/>
      <c r="T851" s="6" t="str">
        <f>IF(ISNUMBER(S851),VLOOKUP(S851,'Grading Scale'!$A$2:$B$14, 2), "")</f>
        <v/>
      </c>
      <c r="U851" s="7"/>
      <c r="V851" s="7"/>
      <c r="W851" s="7"/>
      <c r="X851" s="7"/>
      <c r="Y851" s="7"/>
      <c r="Z851" s="7"/>
      <c r="AA851" s="7"/>
      <c r="AB851" s="7"/>
      <c r="AC851" s="7"/>
      <c r="AD851" s="7"/>
      <c r="AE851" s="7"/>
      <c r="AF851" s="7"/>
      <c r="AG851" s="7"/>
      <c r="AH851" s="7"/>
      <c r="AI851" s="7"/>
      <c r="AJ851" s="7"/>
    </row>
    <row r="852">
      <c r="A852" s="7"/>
      <c r="B852" s="7"/>
      <c r="C852" s="7"/>
      <c r="D852" s="6" t="str">
        <f>IF(NOT(ISBLANK(C852)), VLOOKUP(C852,'Dataset Descriptions'!$A$2:$B$10, 2, FALSE), "")</f>
        <v/>
      </c>
      <c r="E852" s="7"/>
      <c r="F852" s="7"/>
      <c r="G852" s="7"/>
      <c r="H852" s="7"/>
      <c r="I852" s="7"/>
      <c r="J852" s="7"/>
      <c r="K852" s="7"/>
      <c r="L852" s="7"/>
      <c r="M852" s="7"/>
      <c r="N852" s="7"/>
      <c r="O852" s="7"/>
      <c r="P852" s="7"/>
      <c r="Q852" s="7"/>
      <c r="R852" s="8"/>
      <c r="S852" s="7"/>
      <c r="T852" s="6" t="str">
        <f>IF(ISNUMBER(S852),VLOOKUP(S852,'Grading Scale'!$A$2:$B$14, 2), "")</f>
        <v/>
      </c>
      <c r="U852" s="7"/>
      <c r="V852" s="7"/>
      <c r="W852" s="7"/>
      <c r="X852" s="7"/>
      <c r="Y852" s="7"/>
      <c r="Z852" s="7"/>
      <c r="AA852" s="7"/>
      <c r="AB852" s="7"/>
      <c r="AC852" s="7"/>
      <c r="AD852" s="7"/>
      <c r="AE852" s="7"/>
      <c r="AF852" s="7"/>
      <c r="AG852" s="7"/>
      <c r="AH852" s="7"/>
      <c r="AI852" s="7"/>
      <c r="AJ852" s="7"/>
    </row>
    <row r="853">
      <c r="A853" s="7"/>
      <c r="B853" s="7"/>
      <c r="C853" s="7"/>
      <c r="D853" s="6" t="str">
        <f>IF(NOT(ISBLANK(C853)), VLOOKUP(C853,'Dataset Descriptions'!$A$2:$B$10, 2, FALSE), "")</f>
        <v/>
      </c>
      <c r="E853" s="7"/>
      <c r="F853" s="7"/>
      <c r="G853" s="7"/>
      <c r="H853" s="7"/>
      <c r="I853" s="7"/>
      <c r="J853" s="7"/>
      <c r="K853" s="7"/>
      <c r="L853" s="7"/>
      <c r="M853" s="7"/>
      <c r="N853" s="7"/>
      <c r="O853" s="7"/>
      <c r="P853" s="7"/>
      <c r="Q853" s="7"/>
      <c r="R853" s="8"/>
      <c r="S853" s="7"/>
      <c r="T853" s="6" t="str">
        <f>IF(ISNUMBER(S853),VLOOKUP(S853,'Grading Scale'!$A$2:$B$14, 2), "")</f>
        <v/>
      </c>
      <c r="U853" s="7"/>
      <c r="V853" s="7"/>
      <c r="W853" s="7"/>
      <c r="X853" s="7"/>
      <c r="Y853" s="7"/>
      <c r="Z853" s="7"/>
      <c r="AA853" s="7"/>
      <c r="AB853" s="7"/>
      <c r="AC853" s="7"/>
      <c r="AD853" s="7"/>
      <c r="AE853" s="7"/>
      <c r="AF853" s="7"/>
      <c r="AG853" s="7"/>
      <c r="AH853" s="7"/>
      <c r="AI853" s="7"/>
      <c r="AJ853" s="7"/>
    </row>
    <row r="854">
      <c r="A854" s="7"/>
      <c r="B854" s="7"/>
      <c r="C854" s="7"/>
      <c r="D854" s="6" t="str">
        <f>IF(NOT(ISBLANK(C854)), VLOOKUP(C854,'Dataset Descriptions'!$A$2:$B$10, 2, FALSE), "")</f>
        <v/>
      </c>
      <c r="E854" s="7"/>
      <c r="F854" s="7"/>
      <c r="G854" s="7"/>
      <c r="H854" s="7"/>
      <c r="I854" s="7"/>
      <c r="J854" s="7"/>
      <c r="K854" s="7"/>
      <c r="L854" s="7"/>
      <c r="M854" s="7"/>
      <c r="N854" s="7"/>
      <c r="O854" s="7"/>
      <c r="P854" s="7"/>
      <c r="Q854" s="7"/>
      <c r="R854" s="8"/>
      <c r="S854" s="7"/>
      <c r="T854" s="6" t="str">
        <f>IF(ISNUMBER(S854),VLOOKUP(S854,'Grading Scale'!$A$2:$B$14, 2), "")</f>
        <v/>
      </c>
      <c r="U854" s="7"/>
      <c r="V854" s="7"/>
      <c r="W854" s="7"/>
      <c r="X854" s="7"/>
      <c r="Y854" s="7"/>
      <c r="Z854" s="7"/>
      <c r="AA854" s="7"/>
      <c r="AB854" s="7"/>
      <c r="AC854" s="7"/>
      <c r="AD854" s="7"/>
      <c r="AE854" s="7"/>
      <c r="AF854" s="7"/>
      <c r="AG854" s="7"/>
      <c r="AH854" s="7"/>
      <c r="AI854" s="7"/>
      <c r="AJ854" s="7"/>
    </row>
    <row r="855">
      <c r="A855" s="7"/>
      <c r="B855" s="7"/>
      <c r="C855" s="7"/>
      <c r="D855" s="6" t="str">
        <f>IF(NOT(ISBLANK(C855)), VLOOKUP(C855,'Dataset Descriptions'!$A$2:$B$10, 2, FALSE), "")</f>
        <v/>
      </c>
      <c r="E855" s="7"/>
      <c r="F855" s="7"/>
      <c r="G855" s="7"/>
      <c r="H855" s="7"/>
      <c r="I855" s="7"/>
      <c r="J855" s="7"/>
      <c r="K855" s="7"/>
      <c r="L855" s="7"/>
      <c r="M855" s="7"/>
      <c r="N855" s="7"/>
      <c r="O855" s="7"/>
      <c r="P855" s="7"/>
      <c r="Q855" s="7"/>
      <c r="R855" s="8"/>
      <c r="S855" s="7"/>
      <c r="T855" s="6" t="str">
        <f>IF(ISNUMBER(S855),VLOOKUP(S855,'Grading Scale'!$A$2:$B$14, 2), "")</f>
        <v/>
      </c>
      <c r="U855" s="7"/>
      <c r="V855" s="7"/>
      <c r="W855" s="7"/>
      <c r="X855" s="7"/>
      <c r="Y855" s="7"/>
      <c r="Z855" s="7"/>
      <c r="AA855" s="7"/>
      <c r="AB855" s="7"/>
      <c r="AC855" s="7"/>
      <c r="AD855" s="7"/>
      <c r="AE855" s="7"/>
      <c r="AF855" s="7"/>
      <c r="AG855" s="7"/>
      <c r="AH855" s="7"/>
      <c r="AI855" s="7"/>
      <c r="AJ855" s="7"/>
    </row>
    <row r="856">
      <c r="A856" s="7"/>
      <c r="B856" s="7"/>
      <c r="C856" s="7"/>
      <c r="D856" s="6" t="str">
        <f>IF(NOT(ISBLANK(C856)), VLOOKUP(C856,'Dataset Descriptions'!$A$2:$B$10, 2, FALSE), "")</f>
        <v/>
      </c>
      <c r="E856" s="7"/>
      <c r="F856" s="7"/>
      <c r="G856" s="7"/>
      <c r="H856" s="7"/>
      <c r="I856" s="7"/>
      <c r="J856" s="7"/>
      <c r="K856" s="7"/>
      <c r="L856" s="7"/>
      <c r="M856" s="7"/>
      <c r="N856" s="7"/>
      <c r="O856" s="7"/>
      <c r="P856" s="7"/>
      <c r="Q856" s="7"/>
      <c r="R856" s="8"/>
      <c r="S856" s="7"/>
      <c r="T856" s="6" t="str">
        <f>IF(ISNUMBER(S856),VLOOKUP(S856,'Grading Scale'!$A$2:$B$14, 2), "")</f>
        <v/>
      </c>
      <c r="U856" s="7"/>
      <c r="V856" s="7"/>
      <c r="W856" s="7"/>
      <c r="X856" s="7"/>
      <c r="Y856" s="7"/>
      <c r="Z856" s="7"/>
      <c r="AA856" s="7"/>
      <c r="AB856" s="7"/>
      <c r="AC856" s="7"/>
      <c r="AD856" s="7"/>
      <c r="AE856" s="7"/>
      <c r="AF856" s="7"/>
      <c r="AG856" s="7"/>
      <c r="AH856" s="7"/>
      <c r="AI856" s="7"/>
      <c r="AJ856" s="7"/>
    </row>
    <row r="857">
      <c r="A857" s="7"/>
      <c r="B857" s="7"/>
      <c r="C857" s="7"/>
      <c r="D857" s="6" t="str">
        <f>IF(NOT(ISBLANK(C857)), VLOOKUP(C857,'Dataset Descriptions'!$A$2:$B$10, 2, FALSE), "")</f>
        <v/>
      </c>
      <c r="E857" s="7"/>
      <c r="F857" s="7"/>
      <c r="G857" s="7"/>
      <c r="H857" s="7"/>
      <c r="I857" s="7"/>
      <c r="J857" s="7"/>
      <c r="K857" s="7"/>
      <c r="L857" s="7"/>
      <c r="M857" s="7"/>
      <c r="N857" s="7"/>
      <c r="O857" s="7"/>
      <c r="P857" s="7"/>
      <c r="Q857" s="7"/>
      <c r="R857" s="8"/>
      <c r="S857" s="7"/>
      <c r="T857" s="6" t="str">
        <f>IF(ISNUMBER(S857),VLOOKUP(S857,'Grading Scale'!$A$2:$B$14, 2), "")</f>
        <v/>
      </c>
      <c r="U857" s="7"/>
      <c r="V857" s="7"/>
      <c r="W857" s="7"/>
      <c r="X857" s="7"/>
      <c r="Y857" s="7"/>
      <c r="Z857" s="7"/>
      <c r="AA857" s="7"/>
      <c r="AB857" s="7"/>
      <c r="AC857" s="7"/>
      <c r="AD857" s="7"/>
      <c r="AE857" s="7"/>
      <c r="AF857" s="7"/>
      <c r="AG857" s="7"/>
      <c r="AH857" s="7"/>
      <c r="AI857" s="7"/>
      <c r="AJ857" s="7"/>
    </row>
    <row r="858">
      <c r="A858" s="7"/>
      <c r="B858" s="7"/>
      <c r="C858" s="7"/>
      <c r="D858" s="6" t="str">
        <f>IF(NOT(ISBLANK(C858)), VLOOKUP(C858,'Dataset Descriptions'!$A$2:$B$10, 2, FALSE), "")</f>
        <v/>
      </c>
      <c r="E858" s="7"/>
      <c r="F858" s="7"/>
      <c r="G858" s="7"/>
      <c r="H858" s="7"/>
      <c r="I858" s="7"/>
      <c r="J858" s="7"/>
      <c r="K858" s="7"/>
      <c r="L858" s="7"/>
      <c r="M858" s="7"/>
      <c r="N858" s="7"/>
      <c r="O858" s="7"/>
      <c r="P858" s="7"/>
      <c r="Q858" s="7"/>
      <c r="R858" s="8"/>
      <c r="S858" s="7"/>
      <c r="T858" s="6" t="str">
        <f>IF(ISNUMBER(S858),VLOOKUP(S858,'Grading Scale'!$A$2:$B$14, 2), "")</f>
        <v/>
      </c>
      <c r="U858" s="7"/>
      <c r="V858" s="7"/>
      <c r="W858" s="7"/>
      <c r="X858" s="7"/>
      <c r="Y858" s="7"/>
      <c r="Z858" s="7"/>
      <c r="AA858" s="7"/>
      <c r="AB858" s="7"/>
      <c r="AC858" s="7"/>
      <c r="AD858" s="7"/>
      <c r="AE858" s="7"/>
      <c r="AF858" s="7"/>
      <c r="AG858" s="7"/>
      <c r="AH858" s="7"/>
      <c r="AI858" s="7"/>
      <c r="AJ858" s="7"/>
    </row>
    <row r="859">
      <c r="A859" s="7"/>
      <c r="B859" s="7"/>
      <c r="C859" s="7"/>
      <c r="D859" s="6" t="str">
        <f>IF(NOT(ISBLANK(C859)), VLOOKUP(C859,'Dataset Descriptions'!$A$2:$B$10, 2, FALSE), "")</f>
        <v/>
      </c>
      <c r="E859" s="7"/>
      <c r="F859" s="7"/>
      <c r="G859" s="7"/>
      <c r="H859" s="7"/>
      <c r="I859" s="7"/>
      <c r="J859" s="7"/>
      <c r="K859" s="7"/>
      <c r="L859" s="7"/>
      <c r="M859" s="7"/>
      <c r="N859" s="7"/>
      <c r="O859" s="7"/>
      <c r="P859" s="7"/>
      <c r="Q859" s="7"/>
      <c r="R859" s="8"/>
      <c r="S859" s="7"/>
      <c r="T859" s="6" t="str">
        <f>IF(NOT(ISBLANK(S859)),VLOOKUP(S859,'Grading Scale'!$A$2:$B$14, 2), "")</f>
        <v/>
      </c>
      <c r="U859" s="7"/>
      <c r="V859" s="7"/>
      <c r="W859" s="7"/>
      <c r="X859" s="7"/>
      <c r="Y859" s="7"/>
      <c r="Z859" s="7"/>
      <c r="AA859" s="7"/>
      <c r="AB859" s="7"/>
      <c r="AC859" s="7"/>
      <c r="AD859" s="7"/>
      <c r="AE859" s="7"/>
      <c r="AF859" s="7"/>
      <c r="AG859" s="7"/>
      <c r="AH859" s="7"/>
      <c r="AI859" s="7"/>
      <c r="AJ859" s="7"/>
    </row>
    <row r="860">
      <c r="A860" s="7"/>
      <c r="B860" s="7"/>
      <c r="C860" s="7"/>
      <c r="D860" s="6" t="str">
        <f>IF(NOT(ISBLANK(C860)), VLOOKUP(C860,'Dataset Descriptions'!$A$2:$B$10, 2, FALSE), "")</f>
        <v/>
      </c>
      <c r="E860" s="7"/>
      <c r="F860" s="7"/>
      <c r="G860" s="7"/>
      <c r="H860" s="7"/>
      <c r="I860" s="7"/>
      <c r="J860" s="7"/>
      <c r="K860" s="7"/>
      <c r="L860" s="7"/>
      <c r="M860" s="7"/>
      <c r="N860" s="7"/>
      <c r="O860" s="7"/>
      <c r="P860" s="7"/>
      <c r="Q860" s="7"/>
      <c r="R860" s="8"/>
      <c r="S860" s="7"/>
      <c r="T860" s="6" t="str">
        <f>IF(NOT(ISBLANK(S860)),VLOOKUP(S860,'Grading Scale'!$A$2:$B$14, 2), "")</f>
        <v/>
      </c>
      <c r="U860" s="7"/>
      <c r="V860" s="7"/>
      <c r="W860" s="7"/>
      <c r="X860" s="7"/>
      <c r="Y860" s="7"/>
      <c r="Z860" s="7"/>
      <c r="AA860" s="7"/>
      <c r="AB860" s="7"/>
      <c r="AC860" s="7"/>
      <c r="AD860" s="7"/>
      <c r="AE860" s="7"/>
      <c r="AF860" s="7"/>
      <c r="AG860" s="7"/>
      <c r="AH860" s="7"/>
      <c r="AI860" s="7"/>
      <c r="AJ860" s="7"/>
    </row>
    <row r="861">
      <c r="A861" s="7"/>
      <c r="B861" s="7"/>
      <c r="C861" s="7"/>
      <c r="D861" s="6" t="str">
        <f>IF(NOT(ISBLANK(C861)), VLOOKUP(C861,'Dataset Descriptions'!$A$2:$B$10, 2, FALSE), "")</f>
        <v/>
      </c>
      <c r="E861" s="7"/>
      <c r="F861" s="7"/>
      <c r="G861" s="7"/>
      <c r="H861" s="7"/>
      <c r="I861" s="7"/>
      <c r="J861" s="7"/>
      <c r="K861" s="7"/>
      <c r="L861" s="7"/>
      <c r="M861" s="7"/>
      <c r="N861" s="7"/>
      <c r="O861" s="7"/>
      <c r="P861" s="7"/>
      <c r="Q861" s="7"/>
      <c r="R861" s="8"/>
      <c r="S861" s="7"/>
      <c r="T861" s="6" t="str">
        <f>IF(NOT(ISBLANK(S861)),VLOOKUP(S861,'Grading Scale'!$A$2:$B$14, 2), "")</f>
        <v/>
      </c>
      <c r="U861" s="7"/>
      <c r="V861" s="7"/>
      <c r="W861" s="7"/>
      <c r="X861" s="7"/>
      <c r="Y861" s="7"/>
      <c r="Z861" s="7"/>
      <c r="AA861" s="7"/>
      <c r="AB861" s="7"/>
      <c r="AC861" s="7"/>
      <c r="AD861" s="7"/>
      <c r="AE861" s="7"/>
      <c r="AF861" s="7"/>
      <c r="AG861" s="7"/>
      <c r="AH861" s="7"/>
      <c r="AI861" s="7"/>
      <c r="AJ861" s="7"/>
    </row>
    <row r="862">
      <c r="A862" s="7"/>
      <c r="B862" s="7"/>
      <c r="C862" s="7"/>
      <c r="D862" s="6" t="str">
        <f>IF(NOT(ISBLANK(C862)), VLOOKUP(C862,'Dataset Descriptions'!$A$2:$B$10, 2, FALSE), "")</f>
        <v/>
      </c>
      <c r="E862" s="7"/>
      <c r="F862" s="7"/>
      <c r="G862" s="7"/>
      <c r="H862" s="7"/>
      <c r="I862" s="7"/>
      <c r="J862" s="7"/>
      <c r="K862" s="7"/>
      <c r="L862" s="7"/>
      <c r="M862" s="7"/>
      <c r="N862" s="7"/>
      <c r="O862" s="7"/>
      <c r="P862" s="7"/>
      <c r="Q862" s="7"/>
      <c r="R862" s="8"/>
      <c r="S862" s="7"/>
      <c r="T862" s="6" t="str">
        <f>IF(NOT(ISBLANK(S862)),VLOOKUP(S862,'Grading Scale'!$A$2:$B$14, 2), "")</f>
        <v/>
      </c>
      <c r="U862" s="7"/>
      <c r="V862" s="7"/>
      <c r="W862" s="7"/>
      <c r="X862" s="7"/>
      <c r="Y862" s="7"/>
      <c r="Z862" s="7"/>
      <c r="AA862" s="7"/>
      <c r="AB862" s="7"/>
      <c r="AC862" s="7"/>
      <c r="AD862" s="7"/>
      <c r="AE862" s="7"/>
      <c r="AF862" s="7"/>
      <c r="AG862" s="7"/>
      <c r="AH862" s="7"/>
      <c r="AI862" s="7"/>
      <c r="AJ862" s="7"/>
    </row>
    <row r="863">
      <c r="A863" s="7"/>
      <c r="B863" s="7"/>
      <c r="C863" s="7"/>
      <c r="D863" s="6" t="str">
        <f>IF(NOT(ISBLANK(C863)), VLOOKUP(C863,'Dataset Descriptions'!$A$2:$B$10, 2, FALSE), "")</f>
        <v/>
      </c>
      <c r="E863" s="7"/>
      <c r="F863" s="7"/>
      <c r="G863" s="7"/>
      <c r="H863" s="7"/>
      <c r="I863" s="7"/>
      <c r="J863" s="7"/>
      <c r="K863" s="7"/>
      <c r="L863" s="7"/>
      <c r="M863" s="7"/>
      <c r="N863" s="7"/>
      <c r="O863" s="7"/>
      <c r="P863" s="7"/>
      <c r="Q863" s="7"/>
      <c r="R863" s="8"/>
      <c r="S863" s="7"/>
      <c r="T863" s="6" t="str">
        <f>IF(NOT(ISBLANK(S863)),VLOOKUP(S863,'Grading Scale'!$A$2:$B$14, 2), "")</f>
        <v/>
      </c>
      <c r="U863" s="7"/>
      <c r="V863" s="7"/>
      <c r="W863" s="7"/>
      <c r="X863" s="7"/>
      <c r="Y863" s="7"/>
      <c r="Z863" s="7"/>
      <c r="AA863" s="7"/>
      <c r="AB863" s="7"/>
      <c r="AC863" s="7"/>
      <c r="AD863" s="7"/>
      <c r="AE863" s="7"/>
      <c r="AF863" s="7"/>
      <c r="AG863" s="7"/>
      <c r="AH863" s="7"/>
      <c r="AI863" s="7"/>
      <c r="AJ863" s="7"/>
    </row>
    <row r="864">
      <c r="A864" s="7"/>
      <c r="B864" s="7"/>
      <c r="C864" s="7"/>
      <c r="D864" s="6" t="str">
        <f>IF(NOT(ISBLANK(C864)), VLOOKUP(C864,'Dataset Descriptions'!$A$2:$B$10, 2, FALSE), "")</f>
        <v/>
      </c>
      <c r="E864" s="7"/>
      <c r="F864" s="7"/>
      <c r="G864" s="7"/>
      <c r="H864" s="7"/>
      <c r="I864" s="7"/>
      <c r="J864" s="7"/>
      <c r="K864" s="7"/>
      <c r="L864" s="7"/>
      <c r="M864" s="7"/>
      <c r="N864" s="7"/>
      <c r="O864" s="7"/>
      <c r="P864" s="7"/>
      <c r="Q864" s="7"/>
      <c r="R864" s="8"/>
      <c r="S864" s="7"/>
      <c r="T864" s="6" t="str">
        <f>IF(NOT(ISBLANK(S864)),VLOOKUP(S864,'Grading Scale'!$A$2:$B$14, 2), "")</f>
        <v/>
      </c>
      <c r="U864" s="7"/>
      <c r="V864" s="7"/>
      <c r="W864" s="7"/>
      <c r="X864" s="7"/>
      <c r="Y864" s="7"/>
      <c r="Z864" s="7"/>
      <c r="AA864" s="7"/>
      <c r="AB864" s="7"/>
      <c r="AC864" s="7"/>
      <c r="AD864" s="7"/>
      <c r="AE864" s="7"/>
      <c r="AF864" s="7"/>
      <c r="AG864" s="7"/>
      <c r="AH864" s="7"/>
      <c r="AI864" s="7"/>
      <c r="AJ864" s="7"/>
    </row>
    <row r="865">
      <c r="A865" s="7"/>
      <c r="B865" s="7"/>
      <c r="C865" s="7"/>
      <c r="D865" s="6" t="str">
        <f>IF(NOT(ISBLANK(C865)), VLOOKUP(C865,'Dataset Descriptions'!$A$2:$B$10, 2, FALSE), "")</f>
        <v/>
      </c>
      <c r="E865" s="7"/>
      <c r="F865" s="7"/>
      <c r="G865" s="7"/>
      <c r="H865" s="7"/>
      <c r="I865" s="7"/>
      <c r="J865" s="7"/>
      <c r="K865" s="7"/>
      <c r="L865" s="7"/>
      <c r="M865" s="7"/>
      <c r="N865" s="7"/>
      <c r="O865" s="7"/>
      <c r="P865" s="7"/>
      <c r="Q865" s="7"/>
      <c r="R865" s="8"/>
      <c r="S865" s="7"/>
      <c r="T865" s="6" t="str">
        <f>IF(NOT(ISBLANK(S865)),VLOOKUP(S865,'Grading Scale'!$A$2:$B$14, 2), "")</f>
        <v/>
      </c>
      <c r="U865" s="7"/>
      <c r="V865" s="7"/>
      <c r="W865" s="7"/>
      <c r="X865" s="7"/>
      <c r="Y865" s="7"/>
      <c r="Z865" s="7"/>
      <c r="AA865" s="7"/>
      <c r="AB865" s="7"/>
      <c r="AC865" s="7"/>
      <c r="AD865" s="7"/>
      <c r="AE865" s="7"/>
      <c r="AF865" s="7"/>
      <c r="AG865" s="7"/>
      <c r="AH865" s="7"/>
      <c r="AI865" s="7"/>
      <c r="AJ865" s="7"/>
    </row>
    <row r="866">
      <c r="A866" s="7"/>
      <c r="B866" s="7"/>
      <c r="C866" s="7"/>
      <c r="D866" s="6" t="str">
        <f>IF(NOT(ISBLANK(C866)), VLOOKUP(C866,'Dataset Descriptions'!$A$2:$B$10, 2, FALSE), "")</f>
        <v/>
      </c>
      <c r="E866" s="7"/>
      <c r="F866" s="7"/>
      <c r="G866" s="7"/>
      <c r="H866" s="7"/>
      <c r="I866" s="7"/>
      <c r="J866" s="7"/>
      <c r="K866" s="7"/>
      <c r="L866" s="7"/>
      <c r="M866" s="7"/>
      <c r="N866" s="7"/>
      <c r="O866" s="7"/>
      <c r="P866" s="7"/>
      <c r="Q866" s="7"/>
      <c r="R866" s="8"/>
      <c r="S866" s="7"/>
      <c r="T866" s="6" t="str">
        <f>IF(NOT(ISBLANK(S866)),VLOOKUP(S866,'Grading Scale'!$A$2:$B$14, 2), "")</f>
        <v/>
      </c>
      <c r="U866" s="7"/>
      <c r="V866" s="7"/>
      <c r="W866" s="7"/>
      <c r="X866" s="7"/>
      <c r="Y866" s="7"/>
      <c r="Z866" s="7"/>
      <c r="AA866" s="7"/>
      <c r="AB866" s="7"/>
      <c r="AC866" s="7"/>
      <c r="AD866" s="7"/>
      <c r="AE866" s="7"/>
      <c r="AF866" s="7"/>
      <c r="AG866" s="7"/>
      <c r="AH866" s="7"/>
      <c r="AI866" s="7"/>
      <c r="AJ866" s="7"/>
    </row>
    <row r="867">
      <c r="A867" s="7"/>
      <c r="B867" s="7"/>
      <c r="C867" s="7"/>
      <c r="D867" s="6" t="str">
        <f>IF(NOT(ISBLANK(C867)), VLOOKUP(C867,'Dataset Descriptions'!$A$2:$B$10, 2, FALSE), "")</f>
        <v/>
      </c>
      <c r="E867" s="7"/>
      <c r="F867" s="7"/>
      <c r="G867" s="7"/>
      <c r="H867" s="7"/>
      <c r="I867" s="7"/>
      <c r="J867" s="7"/>
      <c r="K867" s="7"/>
      <c r="L867" s="7"/>
      <c r="M867" s="7"/>
      <c r="N867" s="7"/>
      <c r="O867" s="7"/>
      <c r="P867" s="7"/>
      <c r="Q867" s="7"/>
      <c r="R867" s="8"/>
      <c r="S867" s="7"/>
      <c r="T867" s="6" t="str">
        <f>IF(NOT(ISBLANK(S867)),VLOOKUP(S867,'Grading Scale'!$A$2:$B$14, 2), "")</f>
        <v/>
      </c>
      <c r="U867" s="7"/>
      <c r="V867" s="7"/>
      <c r="W867" s="7"/>
      <c r="X867" s="7"/>
      <c r="Y867" s="7"/>
      <c r="Z867" s="7"/>
      <c r="AA867" s="7"/>
      <c r="AB867" s="7"/>
      <c r="AC867" s="7"/>
      <c r="AD867" s="7"/>
      <c r="AE867" s="7"/>
      <c r="AF867" s="7"/>
      <c r="AG867" s="7"/>
      <c r="AH867" s="7"/>
      <c r="AI867" s="7"/>
      <c r="AJ867" s="7"/>
    </row>
    <row r="868">
      <c r="A868" s="7"/>
      <c r="B868" s="7"/>
      <c r="C868" s="7"/>
      <c r="D868" s="6" t="str">
        <f>IF(NOT(ISBLANK(C868)), VLOOKUP(C868,'Dataset Descriptions'!$A$2:$B$10, 2, FALSE), "")</f>
        <v/>
      </c>
      <c r="E868" s="7"/>
      <c r="F868" s="7"/>
      <c r="G868" s="7"/>
      <c r="H868" s="7"/>
      <c r="I868" s="7"/>
      <c r="J868" s="7"/>
      <c r="K868" s="7"/>
      <c r="L868" s="7"/>
      <c r="M868" s="7"/>
      <c r="N868" s="7"/>
      <c r="O868" s="7"/>
      <c r="P868" s="7"/>
      <c r="Q868" s="7"/>
      <c r="R868" s="8"/>
      <c r="S868" s="7"/>
      <c r="T868" s="7"/>
      <c r="U868" s="7"/>
      <c r="V868" s="7"/>
      <c r="W868" s="7"/>
      <c r="X868" s="7"/>
      <c r="Y868" s="7"/>
      <c r="Z868" s="7"/>
      <c r="AA868" s="7"/>
      <c r="AB868" s="7"/>
      <c r="AC868" s="7"/>
      <c r="AD868" s="7"/>
      <c r="AE868" s="7"/>
      <c r="AF868" s="7"/>
      <c r="AG868" s="7"/>
      <c r="AH868" s="7"/>
      <c r="AI868" s="7"/>
      <c r="AJ868" s="7"/>
    </row>
    <row r="869">
      <c r="A869" s="7"/>
      <c r="B869" s="7"/>
      <c r="C869" s="7"/>
      <c r="D869" s="6" t="str">
        <f>IF(NOT(ISBLANK(C869)), VLOOKUP(C869,'Dataset Descriptions'!$A$2:$B$10, 2, FALSE), "")</f>
        <v/>
      </c>
      <c r="E869" s="7"/>
      <c r="F869" s="7"/>
      <c r="G869" s="7"/>
      <c r="H869" s="7"/>
      <c r="I869" s="7"/>
      <c r="J869" s="7"/>
      <c r="K869" s="7"/>
      <c r="L869" s="7"/>
      <c r="M869" s="7"/>
      <c r="N869" s="7"/>
      <c r="O869" s="7"/>
      <c r="P869" s="7"/>
      <c r="Q869" s="7"/>
      <c r="R869" s="8"/>
      <c r="S869" s="7"/>
      <c r="T869" s="7"/>
      <c r="U869" s="7"/>
      <c r="V869" s="7"/>
      <c r="W869" s="7"/>
      <c r="X869" s="7"/>
      <c r="Y869" s="7"/>
      <c r="Z869" s="7"/>
      <c r="AA869" s="7"/>
      <c r="AB869" s="7"/>
      <c r="AC869" s="7"/>
      <c r="AD869" s="7"/>
      <c r="AE869" s="7"/>
      <c r="AF869" s="7"/>
      <c r="AG869" s="7"/>
      <c r="AH869" s="7"/>
      <c r="AI869" s="7"/>
      <c r="AJ869" s="7"/>
    </row>
    <row r="870">
      <c r="A870" s="7"/>
      <c r="B870" s="7"/>
      <c r="C870" s="7"/>
      <c r="D870" s="7"/>
      <c r="E870" s="7"/>
      <c r="F870" s="7"/>
      <c r="G870" s="7"/>
      <c r="H870" s="7"/>
      <c r="I870" s="7"/>
      <c r="J870" s="7"/>
      <c r="K870" s="7"/>
      <c r="L870" s="7"/>
      <c r="M870" s="7"/>
      <c r="N870" s="7"/>
      <c r="O870" s="7"/>
      <c r="P870" s="7"/>
      <c r="Q870" s="7"/>
      <c r="R870" s="8"/>
      <c r="S870" s="7"/>
      <c r="T870" s="7"/>
      <c r="U870" s="7"/>
      <c r="V870" s="7"/>
      <c r="W870" s="7"/>
      <c r="X870" s="7"/>
      <c r="Y870" s="7"/>
      <c r="Z870" s="7"/>
      <c r="AA870" s="7"/>
      <c r="AB870" s="7"/>
      <c r="AC870" s="7"/>
      <c r="AD870" s="7"/>
      <c r="AE870" s="7"/>
      <c r="AF870" s="7"/>
      <c r="AG870" s="7"/>
      <c r="AH870" s="7"/>
      <c r="AI870" s="7"/>
      <c r="AJ870" s="7"/>
    </row>
    <row r="871">
      <c r="A871" s="7"/>
      <c r="B871" s="7"/>
      <c r="C871" s="7"/>
      <c r="D871" s="7"/>
      <c r="E871" s="7"/>
      <c r="F871" s="7"/>
      <c r="G871" s="7"/>
      <c r="H871" s="7"/>
      <c r="I871" s="7"/>
      <c r="J871" s="7"/>
      <c r="K871" s="7"/>
      <c r="L871" s="7"/>
      <c r="M871" s="7"/>
      <c r="N871" s="7"/>
      <c r="O871" s="7"/>
      <c r="P871" s="7"/>
      <c r="Q871" s="7"/>
      <c r="R871" s="8"/>
      <c r="S871" s="7"/>
      <c r="T871" s="7"/>
      <c r="U871" s="7"/>
      <c r="V871" s="7"/>
      <c r="W871" s="7"/>
      <c r="X871" s="7"/>
      <c r="Y871" s="7"/>
      <c r="Z871" s="7"/>
      <c r="AA871" s="7"/>
      <c r="AB871" s="7"/>
      <c r="AC871" s="7"/>
      <c r="AD871" s="7"/>
      <c r="AE871" s="7"/>
      <c r="AF871" s="7"/>
      <c r="AG871" s="7"/>
      <c r="AH871" s="7"/>
      <c r="AI871" s="7"/>
      <c r="AJ871" s="7"/>
    </row>
    <row r="872">
      <c r="A872" s="7"/>
      <c r="B872" s="7"/>
      <c r="C872" s="7"/>
      <c r="D872" s="7"/>
      <c r="E872" s="7"/>
      <c r="F872" s="7"/>
      <c r="G872" s="7"/>
      <c r="H872" s="7"/>
      <c r="I872" s="7"/>
      <c r="J872" s="7"/>
      <c r="K872" s="7"/>
      <c r="L872" s="7"/>
      <c r="M872" s="7"/>
      <c r="N872" s="7"/>
      <c r="O872" s="7"/>
      <c r="P872" s="7"/>
      <c r="Q872" s="7"/>
      <c r="R872" s="8"/>
      <c r="S872" s="7"/>
      <c r="T872" s="7"/>
      <c r="U872" s="7"/>
      <c r="V872" s="7"/>
      <c r="W872" s="7"/>
      <c r="X872" s="7"/>
      <c r="Y872" s="7"/>
      <c r="Z872" s="7"/>
      <c r="AA872" s="7"/>
      <c r="AB872" s="7"/>
      <c r="AC872" s="7"/>
      <c r="AD872" s="7"/>
      <c r="AE872" s="7"/>
      <c r="AF872" s="7"/>
      <c r="AG872" s="7"/>
      <c r="AH872" s="7"/>
      <c r="AI872" s="7"/>
      <c r="AJ872" s="7"/>
    </row>
    <row r="873">
      <c r="A873" s="7"/>
      <c r="B873" s="7"/>
      <c r="C873" s="7"/>
      <c r="D873" s="7"/>
      <c r="E873" s="7"/>
      <c r="F873" s="7"/>
      <c r="G873" s="7"/>
      <c r="H873" s="7"/>
      <c r="I873" s="7"/>
      <c r="J873" s="7"/>
      <c r="K873" s="7"/>
      <c r="L873" s="7"/>
      <c r="M873" s="7"/>
      <c r="N873" s="7"/>
      <c r="O873" s="7"/>
      <c r="P873" s="7"/>
      <c r="Q873" s="7"/>
      <c r="R873" s="8"/>
      <c r="S873" s="7"/>
      <c r="T873" s="7"/>
      <c r="U873" s="7"/>
      <c r="V873" s="7"/>
      <c r="W873" s="7"/>
      <c r="X873" s="7"/>
      <c r="Y873" s="7"/>
      <c r="Z873" s="7"/>
      <c r="AA873" s="7"/>
      <c r="AB873" s="7"/>
      <c r="AC873" s="7"/>
      <c r="AD873" s="7"/>
      <c r="AE873" s="7"/>
      <c r="AF873" s="7"/>
      <c r="AG873" s="7"/>
      <c r="AH873" s="7"/>
      <c r="AI873" s="7"/>
      <c r="AJ873" s="7"/>
    </row>
    <row r="874">
      <c r="A874" s="7"/>
      <c r="B874" s="7"/>
      <c r="C874" s="7"/>
      <c r="D874" s="7"/>
      <c r="E874" s="7"/>
      <c r="F874" s="7"/>
      <c r="G874" s="7"/>
      <c r="H874" s="7"/>
      <c r="I874" s="7"/>
      <c r="J874" s="7"/>
      <c r="K874" s="7"/>
      <c r="L874" s="7"/>
      <c r="M874" s="7"/>
      <c r="N874" s="7"/>
      <c r="O874" s="7"/>
      <c r="P874" s="7"/>
      <c r="Q874" s="7"/>
      <c r="R874" s="8"/>
      <c r="S874" s="7"/>
      <c r="T874" s="7"/>
      <c r="U874" s="7"/>
      <c r="V874" s="7"/>
      <c r="W874" s="7"/>
      <c r="X874" s="7"/>
      <c r="Y874" s="7"/>
      <c r="Z874" s="7"/>
      <c r="AA874" s="7"/>
      <c r="AB874" s="7"/>
      <c r="AC874" s="7"/>
      <c r="AD874" s="7"/>
      <c r="AE874" s="7"/>
      <c r="AF874" s="7"/>
      <c r="AG874" s="7"/>
      <c r="AH874" s="7"/>
      <c r="AI874" s="7"/>
      <c r="AJ874" s="7"/>
    </row>
    <row r="875">
      <c r="A875" s="7"/>
      <c r="B875" s="7"/>
      <c r="C875" s="7"/>
      <c r="D875" s="7"/>
      <c r="E875" s="7"/>
      <c r="F875" s="7"/>
      <c r="G875" s="7"/>
      <c r="H875" s="7"/>
      <c r="I875" s="7"/>
      <c r="J875" s="7"/>
      <c r="K875" s="7"/>
      <c r="L875" s="7"/>
      <c r="M875" s="7"/>
      <c r="N875" s="7"/>
      <c r="O875" s="7"/>
      <c r="P875" s="7"/>
      <c r="Q875" s="7"/>
      <c r="R875" s="8"/>
      <c r="S875" s="7"/>
      <c r="T875" s="7"/>
      <c r="U875" s="7"/>
      <c r="V875" s="7"/>
      <c r="W875" s="7"/>
      <c r="X875" s="7"/>
      <c r="Y875" s="7"/>
      <c r="Z875" s="7"/>
      <c r="AA875" s="7"/>
      <c r="AB875" s="7"/>
      <c r="AC875" s="7"/>
      <c r="AD875" s="7"/>
      <c r="AE875" s="7"/>
      <c r="AF875" s="7"/>
      <c r="AG875" s="7"/>
      <c r="AH875" s="7"/>
      <c r="AI875" s="7"/>
      <c r="AJ875" s="7"/>
    </row>
    <row r="876">
      <c r="A876" s="7"/>
      <c r="B876" s="7"/>
      <c r="C876" s="7"/>
      <c r="D876" s="7"/>
      <c r="E876" s="7"/>
      <c r="F876" s="7"/>
      <c r="G876" s="7"/>
      <c r="H876" s="7"/>
      <c r="I876" s="7"/>
      <c r="J876" s="7"/>
      <c r="K876" s="7"/>
      <c r="L876" s="7"/>
      <c r="M876" s="7"/>
      <c r="N876" s="7"/>
      <c r="O876" s="7"/>
      <c r="P876" s="7"/>
      <c r="Q876" s="7"/>
      <c r="R876" s="8"/>
      <c r="S876" s="7"/>
      <c r="T876" s="7"/>
      <c r="U876" s="7"/>
      <c r="V876" s="7"/>
      <c r="W876" s="7"/>
      <c r="X876" s="7"/>
      <c r="Y876" s="7"/>
      <c r="Z876" s="7"/>
      <c r="AA876" s="7"/>
      <c r="AB876" s="7"/>
      <c r="AC876" s="7"/>
      <c r="AD876" s="7"/>
      <c r="AE876" s="7"/>
      <c r="AF876" s="7"/>
      <c r="AG876" s="7"/>
      <c r="AH876" s="7"/>
      <c r="AI876" s="7"/>
      <c r="AJ876" s="7"/>
    </row>
    <row r="877">
      <c r="A877" s="7"/>
      <c r="B877" s="7"/>
      <c r="C877" s="7"/>
      <c r="D877" s="7"/>
      <c r="E877" s="7"/>
      <c r="F877" s="7"/>
      <c r="G877" s="7"/>
      <c r="H877" s="7"/>
      <c r="I877" s="7"/>
      <c r="J877" s="7"/>
      <c r="K877" s="7"/>
      <c r="L877" s="7"/>
      <c r="M877" s="7"/>
      <c r="N877" s="7"/>
      <c r="O877" s="7"/>
      <c r="P877" s="7"/>
      <c r="Q877" s="7"/>
      <c r="R877" s="8"/>
      <c r="S877" s="7"/>
      <c r="T877" s="7"/>
      <c r="U877" s="7"/>
      <c r="V877" s="7"/>
      <c r="W877" s="7"/>
      <c r="X877" s="7"/>
      <c r="Y877" s="7"/>
      <c r="Z877" s="7"/>
      <c r="AA877" s="7"/>
      <c r="AB877" s="7"/>
      <c r="AC877" s="7"/>
      <c r="AD877" s="7"/>
      <c r="AE877" s="7"/>
      <c r="AF877" s="7"/>
      <c r="AG877" s="7"/>
      <c r="AH877" s="7"/>
      <c r="AI877" s="7"/>
      <c r="AJ877" s="7"/>
    </row>
    <row r="878">
      <c r="A878" s="7"/>
      <c r="B878" s="7"/>
      <c r="C878" s="7"/>
      <c r="D878" s="7"/>
      <c r="E878" s="7"/>
      <c r="F878" s="7"/>
      <c r="G878" s="7"/>
      <c r="H878" s="7"/>
      <c r="I878" s="7"/>
      <c r="J878" s="7"/>
      <c r="K878" s="7"/>
      <c r="L878" s="7"/>
      <c r="M878" s="7"/>
      <c r="N878" s="7"/>
      <c r="O878" s="7"/>
      <c r="P878" s="7"/>
      <c r="Q878" s="7"/>
      <c r="R878" s="8"/>
      <c r="S878" s="7"/>
      <c r="T878" s="7"/>
      <c r="U878" s="7"/>
      <c r="V878" s="7"/>
      <c r="W878" s="7"/>
      <c r="X878" s="7"/>
      <c r="Y878" s="7"/>
      <c r="Z878" s="7"/>
      <c r="AA878" s="7"/>
      <c r="AB878" s="7"/>
      <c r="AC878" s="7"/>
      <c r="AD878" s="7"/>
      <c r="AE878" s="7"/>
      <c r="AF878" s="7"/>
      <c r="AG878" s="7"/>
      <c r="AH878" s="7"/>
      <c r="AI878" s="7"/>
      <c r="AJ878" s="7"/>
    </row>
    <row r="879">
      <c r="A879" s="7"/>
      <c r="B879" s="7"/>
      <c r="C879" s="7"/>
      <c r="D879" s="7"/>
      <c r="E879" s="7"/>
      <c r="F879" s="7"/>
      <c r="G879" s="7"/>
      <c r="H879" s="7"/>
      <c r="I879" s="7"/>
      <c r="J879" s="7"/>
      <c r="K879" s="7"/>
      <c r="L879" s="7"/>
      <c r="M879" s="7"/>
      <c r="N879" s="7"/>
      <c r="O879" s="7"/>
      <c r="P879" s="7"/>
      <c r="Q879" s="7"/>
      <c r="R879" s="8"/>
      <c r="S879" s="7"/>
      <c r="T879" s="7"/>
      <c r="U879" s="7"/>
      <c r="V879" s="7"/>
      <c r="W879" s="7"/>
      <c r="X879" s="7"/>
      <c r="Y879" s="7"/>
      <c r="Z879" s="7"/>
      <c r="AA879" s="7"/>
      <c r="AB879" s="7"/>
      <c r="AC879" s="7"/>
      <c r="AD879" s="7"/>
      <c r="AE879" s="7"/>
      <c r="AF879" s="7"/>
      <c r="AG879" s="7"/>
      <c r="AH879" s="7"/>
      <c r="AI879" s="7"/>
      <c r="AJ879" s="7"/>
    </row>
    <row r="880">
      <c r="A880" s="7"/>
      <c r="B880" s="7"/>
      <c r="C880" s="7"/>
      <c r="D880" s="7"/>
      <c r="E880" s="7"/>
      <c r="F880" s="7"/>
      <c r="G880" s="7"/>
      <c r="H880" s="7"/>
      <c r="I880" s="7"/>
      <c r="J880" s="7"/>
      <c r="K880" s="7"/>
      <c r="L880" s="7"/>
      <c r="M880" s="7"/>
      <c r="N880" s="7"/>
      <c r="O880" s="7"/>
      <c r="P880" s="7"/>
      <c r="Q880" s="7"/>
      <c r="R880" s="8"/>
      <c r="S880" s="7"/>
      <c r="T880" s="7"/>
      <c r="U880" s="7"/>
      <c r="V880" s="7"/>
      <c r="W880" s="7"/>
      <c r="X880" s="7"/>
      <c r="Y880" s="7"/>
      <c r="Z880" s="7"/>
      <c r="AA880" s="7"/>
      <c r="AB880" s="7"/>
      <c r="AC880" s="7"/>
      <c r="AD880" s="7"/>
      <c r="AE880" s="7"/>
      <c r="AF880" s="7"/>
      <c r="AG880" s="7"/>
      <c r="AH880" s="7"/>
      <c r="AI880" s="7"/>
      <c r="AJ880" s="7"/>
    </row>
    <row r="881">
      <c r="A881" s="7"/>
      <c r="B881" s="7"/>
      <c r="C881" s="7"/>
      <c r="D881" s="7"/>
      <c r="E881" s="7"/>
      <c r="F881" s="7"/>
      <c r="G881" s="7"/>
      <c r="H881" s="7"/>
      <c r="I881" s="7"/>
      <c r="J881" s="7"/>
      <c r="K881" s="7"/>
      <c r="L881" s="7"/>
      <c r="M881" s="7"/>
      <c r="N881" s="7"/>
      <c r="O881" s="7"/>
      <c r="P881" s="7"/>
      <c r="Q881" s="7"/>
      <c r="R881" s="8"/>
      <c r="S881" s="7"/>
      <c r="T881" s="7"/>
      <c r="U881" s="7"/>
      <c r="V881" s="7"/>
      <c r="W881" s="7"/>
      <c r="X881" s="7"/>
      <c r="Y881" s="7"/>
      <c r="Z881" s="7"/>
      <c r="AA881" s="7"/>
      <c r="AB881" s="7"/>
      <c r="AC881" s="7"/>
      <c r="AD881" s="7"/>
      <c r="AE881" s="7"/>
      <c r="AF881" s="7"/>
      <c r="AG881" s="7"/>
      <c r="AH881" s="7"/>
      <c r="AI881" s="7"/>
      <c r="AJ881" s="7"/>
    </row>
    <row r="882">
      <c r="A882" s="7"/>
      <c r="B882" s="7"/>
      <c r="C882" s="7"/>
      <c r="D882" s="7"/>
      <c r="E882" s="7"/>
      <c r="F882" s="7"/>
      <c r="G882" s="7"/>
      <c r="H882" s="7"/>
      <c r="I882" s="7"/>
      <c r="J882" s="7"/>
      <c r="K882" s="7"/>
      <c r="L882" s="7"/>
      <c r="M882" s="7"/>
      <c r="N882" s="7"/>
      <c r="O882" s="7"/>
      <c r="P882" s="7"/>
      <c r="Q882" s="7"/>
      <c r="R882" s="8"/>
      <c r="S882" s="7"/>
      <c r="T882" s="7"/>
      <c r="U882" s="7"/>
      <c r="V882" s="7"/>
      <c r="W882" s="7"/>
      <c r="X882" s="7"/>
      <c r="Y882" s="7"/>
      <c r="Z882" s="7"/>
      <c r="AA882" s="7"/>
      <c r="AB882" s="7"/>
      <c r="AC882" s="7"/>
      <c r="AD882" s="7"/>
      <c r="AE882" s="7"/>
      <c r="AF882" s="7"/>
      <c r="AG882" s="7"/>
      <c r="AH882" s="7"/>
      <c r="AI882" s="7"/>
      <c r="AJ882" s="7"/>
    </row>
    <row r="883">
      <c r="A883" s="7"/>
      <c r="B883" s="7"/>
      <c r="C883" s="7"/>
      <c r="D883" s="7"/>
      <c r="E883" s="7"/>
      <c r="F883" s="7"/>
      <c r="G883" s="7"/>
      <c r="H883" s="7"/>
      <c r="I883" s="7"/>
      <c r="J883" s="7"/>
      <c r="K883" s="7"/>
      <c r="L883" s="7"/>
      <c r="M883" s="7"/>
      <c r="N883" s="7"/>
      <c r="O883" s="7"/>
      <c r="P883" s="7"/>
      <c r="Q883" s="7"/>
      <c r="R883" s="8"/>
      <c r="S883" s="7"/>
      <c r="T883" s="7"/>
      <c r="U883" s="7"/>
      <c r="V883" s="7"/>
      <c r="W883" s="7"/>
      <c r="X883" s="7"/>
      <c r="Y883" s="7"/>
      <c r="Z883" s="7"/>
      <c r="AA883" s="7"/>
      <c r="AB883" s="7"/>
      <c r="AC883" s="7"/>
      <c r="AD883" s="7"/>
      <c r="AE883" s="7"/>
      <c r="AF883" s="7"/>
      <c r="AG883" s="7"/>
      <c r="AH883" s="7"/>
      <c r="AI883" s="7"/>
      <c r="AJ883" s="7"/>
    </row>
    <row r="884">
      <c r="A884" s="7"/>
      <c r="B884" s="7"/>
      <c r="C884" s="7"/>
      <c r="D884" s="7"/>
      <c r="E884" s="7"/>
      <c r="F884" s="7"/>
      <c r="G884" s="7"/>
      <c r="H884" s="7"/>
      <c r="I884" s="7"/>
      <c r="J884" s="7"/>
      <c r="K884" s="7"/>
      <c r="L884" s="7"/>
      <c r="M884" s="7"/>
      <c r="N884" s="7"/>
      <c r="O884" s="7"/>
      <c r="P884" s="7"/>
      <c r="Q884" s="7"/>
      <c r="R884" s="8"/>
      <c r="S884" s="7"/>
      <c r="T884" s="7"/>
      <c r="U884" s="7"/>
      <c r="V884" s="7"/>
      <c r="W884" s="7"/>
      <c r="X884" s="7"/>
      <c r="Y884" s="7"/>
      <c r="Z884" s="7"/>
      <c r="AA884" s="7"/>
      <c r="AB884" s="7"/>
      <c r="AC884" s="7"/>
      <c r="AD884" s="7"/>
      <c r="AE884" s="7"/>
      <c r="AF884" s="7"/>
      <c r="AG884" s="7"/>
      <c r="AH884" s="7"/>
      <c r="AI884" s="7"/>
      <c r="AJ884" s="7"/>
    </row>
    <row r="885">
      <c r="A885" s="7"/>
      <c r="B885" s="7"/>
      <c r="C885" s="7"/>
      <c r="D885" s="7"/>
      <c r="E885" s="7"/>
      <c r="F885" s="7"/>
      <c r="G885" s="7"/>
      <c r="H885" s="7"/>
      <c r="I885" s="7"/>
      <c r="J885" s="7"/>
      <c r="K885" s="7"/>
      <c r="L885" s="7"/>
      <c r="M885" s="7"/>
      <c r="N885" s="7"/>
      <c r="O885" s="7"/>
      <c r="P885" s="7"/>
      <c r="Q885" s="7"/>
      <c r="R885" s="8"/>
      <c r="S885" s="7"/>
      <c r="T885" s="7"/>
      <c r="U885" s="7"/>
      <c r="V885" s="7"/>
      <c r="W885" s="7"/>
      <c r="X885" s="7"/>
      <c r="Y885" s="7"/>
      <c r="Z885" s="7"/>
      <c r="AA885" s="7"/>
      <c r="AB885" s="7"/>
      <c r="AC885" s="7"/>
      <c r="AD885" s="7"/>
      <c r="AE885" s="7"/>
      <c r="AF885" s="7"/>
      <c r="AG885" s="7"/>
      <c r="AH885" s="7"/>
      <c r="AI885" s="7"/>
      <c r="AJ885" s="7"/>
    </row>
    <row r="886">
      <c r="A886" s="7"/>
      <c r="B886" s="7"/>
      <c r="C886" s="7"/>
      <c r="D886" s="7"/>
      <c r="E886" s="7"/>
      <c r="F886" s="7"/>
      <c r="G886" s="7"/>
      <c r="H886" s="7"/>
      <c r="I886" s="7"/>
      <c r="J886" s="7"/>
      <c r="K886" s="7"/>
      <c r="L886" s="7"/>
      <c r="M886" s="7"/>
      <c r="N886" s="7"/>
      <c r="O886" s="7"/>
      <c r="P886" s="7"/>
      <c r="Q886" s="7"/>
      <c r="R886" s="8"/>
      <c r="S886" s="7"/>
      <c r="T886" s="7"/>
      <c r="U886" s="7"/>
      <c r="V886" s="7"/>
      <c r="W886" s="7"/>
      <c r="X886" s="7"/>
      <c r="Y886" s="7"/>
      <c r="Z886" s="7"/>
      <c r="AA886" s="7"/>
      <c r="AB886" s="7"/>
      <c r="AC886" s="7"/>
      <c r="AD886" s="7"/>
      <c r="AE886" s="7"/>
      <c r="AF886" s="7"/>
      <c r="AG886" s="7"/>
      <c r="AH886" s="7"/>
      <c r="AI886" s="7"/>
      <c r="AJ886" s="7"/>
    </row>
    <row r="887">
      <c r="A887" s="7"/>
      <c r="B887" s="7"/>
      <c r="C887" s="7"/>
      <c r="D887" s="7"/>
      <c r="E887" s="7"/>
      <c r="F887" s="7"/>
      <c r="G887" s="7"/>
      <c r="H887" s="7"/>
      <c r="I887" s="7"/>
      <c r="J887" s="7"/>
      <c r="K887" s="7"/>
      <c r="L887" s="7"/>
      <c r="M887" s="7"/>
      <c r="N887" s="7"/>
      <c r="O887" s="7"/>
      <c r="P887" s="7"/>
      <c r="Q887" s="7"/>
      <c r="R887" s="8"/>
      <c r="S887" s="7"/>
      <c r="T887" s="7"/>
      <c r="U887" s="7"/>
      <c r="V887" s="7"/>
      <c r="W887" s="7"/>
      <c r="X887" s="7"/>
      <c r="Y887" s="7"/>
      <c r="Z887" s="7"/>
      <c r="AA887" s="7"/>
      <c r="AB887" s="7"/>
      <c r="AC887" s="7"/>
      <c r="AD887" s="7"/>
      <c r="AE887" s="7"/>
      <c r="AF887" s="7"/>
      <c r="AG887" s="7"/>
      <c r="AH887" s="7"/>
      <c r="AI887" s="7"/>
      <c r="AJ887" s="7"/>
    </row>
    <row r="888">
      <c r="A888" s="7"/>
      <c r="B888" s="7"/>
      <c r="C888" s="7"/>
      <c r="D888" s="7"/>
      <c r="E888" s="7"/>
      <c r="F888" s="7"/>
      <c r="G888" s="7"/>
      <c r="H888" s="7"/>
      <c r="I888" s="7"/>
      <c r="J888" s="7"/>
      <c r="K888" s="7"/>
      <c r="L888" s="7"/>
      <c r="M888" s="7"/>
      <c r="N888" s="7"/>
      <c r="O888" s="7"/>
      <c r="P888" s="7"/>
      <c r="Q888" s="7"/>
      <c r="R888" s="8"/>
      <c r="S888" s="7"/>
      <c r="T888" s="7"/>
      <c r="U888" s="7"/>
      <c r="V888" s="7"/>
      <c r="W888" s="7"/>
      <c r="X888" s="7"/>
      <c r="Y888" s="7"/>
      <c r="Z888" s="7"/>
      <c r="AA888" s="7"/>
      <c r="AB888" s="7"/>
      <c r="AC888" s="7"/>
      <c r="AD888" s="7"/>
      <c r="AE888" s="7"/>
      <c r="AF888" s="7"/>
      <c r="AG888" s="7"/>
      <c r="AH888" s="7"/>
      <c r="AI888" s="7"/>
      <c r="AJ888" s="7"/>
    </row>
    <row r="889">
      <c r="A889" s="7"/>
      <c r="B889" s="7"/>
      <c r="C889" s="7"/>
      <c r="D889" s="7"/>
      <c r="E889" s="7"/>
      <c r="F889" s="7"/>
      <c r="G889" s="7"/>
      <c r="H889" s="7"/>
      <c r="I889" s="7"/>
      <c r="J889" s="7"/>
      <c r="K889" s="7"/>
      <c r="L889" s="7"/>
      <c r="M889" s="7"/>
      <c r="N889" s="7"/>
      <c r="O889" s="7"/>
      <c r="P889" s="7"/>
      <c r="Q889" s="7"/>
      <c r="R889" s="8"/>
      <c r="S889" s="7"/>
      <c r="T889" s="7"/>
      <c r="U889" s="7"/>
      <c r="V889" s="7"/>
      <c r="W889" s="7"/>
      <c r="X889" s="7"/>
      <c r="Y889" s="7"/>
      <c r="Z889" s="7"/>
      <c r="AA889" s="7"/>
      <c r="AB889" s="7"/>
      <c r="AC889" s="7"/>
      <c r="AD889" s="7"/>
      <c r="AE889" s="7"/>
      <c r="AF889" s="7"/>
      <c r="AG889" s="7"/>
      <c r="AH889" s="7"/>
      <c r="AI889" s="7"/>
      <c r="AJ889" s="7"/>
    </row>
    <row r="890">
      <c r="A890" s="7"/>
      <c r="B890" s="7"/>
      <c r="C890" s="7"/>
      <c r="D890" s="7"/>
      <c r="E890" s="7"/>
      <c r="F890" s="7"/>
      <c r="G890" s="7"/>
      <c r="H890" s="7"/>
      <c r="I890" s="7"/>
      <c r="J890" s="7"/>
      <c r="K890" s="7"/>
      <c r="L890" s="7"/>
      <c r="M890" s="7"/>
      <c r="N890" s="7"/>
      <c r="O890" s="7"/>
      <c r="P890" s="7"/>
      <c r="Q890" s="7"/>
      <c r="R890" s="8"/>
      <c r="S890" s="7"/>
      <c r="T890" s="7"/>
      <c r="U890" s="7"/>
      <c r="V890" s="7"/>
      <c r="W890" s="7"/>
      <c r="X890" s="7"/>
      <c r="Y890" s="7"/>
      <c r="Z890" s="7"/>
      <c r="AA890" s="7"/>
      <c r="AB890" s="7"/>
      <c r="AC890" s="7"/>
      <c r="AD890" s="7"/>
      <c r="AE890" s="7"/>
      <c r="AF890" s="7"/>
      <c r="AG890" s="7"/>
      <c r="AH890" s="7"/>
      <c r="AI890" s="7"/>
      <c r="AJ890" s="7"/>
    </row>
    <row r="891">
      <c r="A891" s="7"/>
      <c r="B891" s="7"/>
      <c r="C891" s="7"/>
      <c r="D891" s="7"/>
      <c r="E891" s="7"/>
      <c r="F891" s="7"/>
      <c r="G891" s="7"/>
      <c r="H891" s="7"/>
      <c r="I891" s="7"/>
      <c r="J891" s="7"/>
      <c r="K891" s="7"/>
      <c r="L891" s="7"/>
      <c r="M891" s="7"/>
      <c r="N891" s="7"/>
      <c r="O891" s="7"/>
      <c r="P891" s="7"/>
      <c r="Q891" s="7"/>
      <c r="R891" s="8"/>
      <c r="S891" s="7"/>
      <c r="T891" s="7"/>
      <c r="U891" s="7"/>
      <c r="V891" s="7"/>
      <c r="W891" s="7"/>
      <c r="X891" s="7"/>
      <c r="Y891" s="7"/>
      <c r="Z891" s="7"/>
      <c r="AA891" s="7"/>
      <c r="AB891" s="7"/>
      <c r="AC891" s="7"/>
      <c r="AD891" s="7"/>
      <c r="AE891" s="7"/>
      <c r="AF891" s="7"/>
      <c r="AG891" s="7"/>
      <c r="AH891" s="7"/>
      <c r="AI891" s="7"/>
      <c r="AJ891" s="7"/>
    </row>
    <row r="892">
      <c r="A892" s="7"/>
      <c r="B892" s="7"/>
      <c r="C892" s="7"/>
      <c r="D892" s="7"/>
      <c r="E892" s="7"/>
      <c r="F892" s="7"/>
      <c r="G892" s="7"/>
      <c r="H892" s="7"/>
      <c r="I892" s="7"/>
      <c r="J892" s="7"/>
      <c r="K892" s="7"/>
      <c r="L892" s="7"/>
      <c r="M892" s="7"/>
      <c r="N892" s="7"/>
      <c r="O892" s="7"/>
      <c r="P892" s="7"/>
      <c r="Q892" s="7"/>
      <c r="R892" s="8"/>
      <c r="S892" s="7"/>
      <c r="T892" s="7"/>
      <c r="U892" s="7"/>
      <c r="V892" s="7"/>
      <c r="W892" s="7"/>
      <c r="X892" s="7"/>
      <c r="Y892" s="7"/>
      <c r="Z892" s="7"/>
      <c r="AA892" s="7"/>
      <c r="AB892" s="7"/>
      <c r="AC892" s="7"/>
      <c r="AD892" s="7"/>
      <c r="AE892" s="7"/>
      <c r="AF892" s="7"/>
      <c r="AG892" s="7"/>
      <c r="AH892" s="7"/>
      <c r="AI892" s="7"/>
      <c r="AJ892" s="7"/>
    </row>
    <row r="893">
      <c r="A893" s="7"/>
      <c r="B893" s="7"/>
      <c r="C893" s="7"/>
      <c r="D893" s="7"/>
      <c r="E893" s="7"/>
      <c r="F893" s="7"/>
      <c r="G893" s="7"/>
      <c r="H893" s="7"/>
      <c r="I893" s="7"/>
      <c r="J893" s="7"/>
      <c r="K893" s="7"/>
      <c r="L893" s="7"/>
      <c r="M893" s="7"/>
      <c r="N893" s="7"/>
      <c r="O893" s="7"/>
      <c r="P893" s="7"/>
      <c r="Q893" s="7"/>
      <c r="R893" s="8"/>
      <c r="S893" s="7"/>
      <c r="T893" s="7"/>
      <c r="U893" s="7"/>
      <c r="V893" s="7"/>
      <c r="W893" s="7"/>
      <c r="X893" s="7"/>
      <c r="Y893" s="7"/>
      <c r="Z893" s="7"/>
      <c r="AA893" s="7"/>
      <c r="AB893" s="7"/>
      <c r="AC893" s="7"/>
      <c r="AD893" s="7"/>
      <c r="AE893" s="7"/>
      <c r="AF893" s="7"/>
      <c r="AG893" s="7"/>
      <c r="AH893" s="7"/>
      <c r="AI893" s="7"/>
      <c r="AJ893" s="7"/>
    </row>
    <row r="894">
      <c r="A894" s="7"/>
      <c r="B894" s="7"/>
      <c r="C894" s="7"/>
      <c r="D894" s="7"/>
      <c r="E894" s="7"/>
      <c r="F894" s="7"/>
      <c r="G894" s="7"/>
      <c r="H894" s="7"/>
      <c r="I894" s="7"/>
      <c r="J894" s="7"/>
      <c r="K894" s="7"/>
      <c r="L894" s="7"/>
      <c r="M894" s="7"/>
      <c r="N894" s="7"/>
      <c r="O894" s="7"/>
      <c r="P894" s="7"/>
      <c r="Q894" s="7"/>
      <c r="R894" s="8"/>
      <c r="S894" s="7"/>
      <c r="T894" s="7"/>
      <c r="U894" s="7"/>
      <c r="V894" s="7"/>
      <c r="W894" s="7"/>
      <c r="X894" s="7"/>
      <c r="Y894" s="7"/>
      <c r="Z894" s="7"/>
      <c r="AA894" s="7"/>
      <c r="AB894" s="7"/>
      <c r="AC894" s="7"/>
      <c r="AD894" s="7"/>
      <c r="AE894" s="7"/>
      <c r="AF894" s="7"/>
      <c r="AG894" s="7"/>
      <c r="AH894" s="7"/>
      <c r="AI894" s="7"/>
      <c r="AJ894" s="7"/>
    </row>
    <row r="895">
      <c r="A895" s="7"/>
      <c r="B895" s="7"/>
      <c r="C895" s="7"/>
      <c r="D895" s="7"/>
      <c r="E895" s="7"/>
      <c r="F895" s="7"/>
      <c r="G895" s="7"/>
      <c r="H895" s="7"/>
      <c r="I895" s="7"/>
      <c r="J895" s="7"/>
      <c r="K895" s="7"/>
      <c r="L895" s="7"/>
      <c r="M895" s="7"/>
      <c r="N895" s="7"/>
      <c r="O895" s="7"/>
      <c r="P895" s="7"/>
      <c r="Q895" s="7"/>
      <c r="R895" s="8"/>
      <c r="S895" s="7"/>
      <c r="T895" s="7"/>
      <c r="U895" s="7"/>
      <c r="V895" s="7"/>
      <c r="W895" s="7"/>
      <c r="X895" s="7"/>
      <c r="Y895" s="7"/>
      <c r="Z895" s="7"/>
      <c r="AA895" s="7"/>
      <c r="AB895" s="7"/>
      <c r="AC895" s="7"/>
      <c r="AD895" s="7"/>
      <c r="AE895" s="7"/>
      <c r="AF895" s="7"/>
      <c r="AG895" s="7"/>
      <c r="AH895" s="7"/>
      <c r="AI895" s="7"/>
      <c r="AJ895" s="7"/>
    </row>
    <row r="896">
      <c r="A896" s="7"/>
      <c r="B896" s="7"/>
      <c r="C896" s="7"/>
      <c r="D896" s="7"/>
      <c r="E896" s="7"/>
      <c r="F896" s="7"/>
      <c r="G896" s="7"/>
      <c r="H896" s="7"/>
      <c r="I896" s="7"/>
      <c r="J896" s="7"/>
      <c r="K896" s="7"/>
      <c r="L896" s="7"/>
      <c r="M896" s="7"/>
      <c r="N896" s="7"/>
      <c r="O896" s="7"/>
      <c r="P896" s="7"/>
      <c r="Q896" s="7"/>
      <c r="R896" s="8"/>
      <c r="S896" s="7"/>
      <c r="T896" s="7"/>
      <c r="U896" s="7"/>
      <c r="V896" s="7"/>
      <c r="W896" s="7"/>
      <c r="X896" s="7"/>
      <c r="Y896" s="7"/>
      <c r="Z896" s="7"/>
      <c r="AA896" s="7"/>
      <c r="AB896" s="7"/>
      <c r="AC896" s="7"/>
      <c r="AD896" s="7"/>
      <c r="AE896" s="7"/>
      <c r="AF896" s="7"/>
      <c r="AG896" s="7"/>
      <c r="AH896" s="7"/>
      <c r="AI896" s="7"/>
      <c r="AJ896" s="7"/>
    </row>
    <row r="897">
      <c r="A897" s="7"/>
      <c r="B897" s="7"/>
      <c r="C897" s="7"/>
      <c r="D897" s="7"/>
      <c r="E897" s="7"/>
      <c r="F897" s="7"/>
      <c r="G897" s="7"/>
      <c r="H897" s="7"/>
      <c r="I897" s="7"/>
      <c r="J897" s="7"/>
      <c r="K897" s="7"/>
      <c r="L897" s="7"/>
      <c r="M897" s="7"/>
      <c r="N897" s="7"/>
      <c r="O897" s="7"/>
      <c r="P897" s="7"/>
      <c r="Q897" s="7"/>
      <c r="R897" s="8"/>
      <c r="S897" s="7"/>
      <c r="T897" s="7"/>
      <c r="U897" s="7"/>
      <c r="V897" s="7"/>
      <c r="W897" s="7"/>
      <c r="X897" s="7"/>
      <c r="Y897" s="7"/>
      <c r="Z897" s="7"/>
      <c r="AA897" s="7"/>
      <c r="AB897" s="7"/>
      <c r="AC897" s="7"/>
      <c r="AD897" s="7"/>
      <c r="AE897" s="7"/>
      <c r="AF897" s="7"/>
      <c r="AG897" s="7"/>
      <c r="AH897" s="7"/>
      <c r="AI897" s="7"/>
      <c r="AJ897" s="7"/>
    </row>
    <row r="898">
      <c r="A898" s="7"/>
      <c r="B898" s="7"/>
      <c r="C898" s="7"/>
      <c r="D898" s="7"/>
      <c r="E898" s="7"/>
      <c r="F898" s="7"/>
      <c r="G898" s="7"/>
      <c r="H898" s="7"/>
      <c r="I898" s="7"/>
      <c r="J898" s="7"/>
      <c r="K898" s="7"/>
      <c r="L898" s="7"/>
      <c r="M898" s="7"/>
      <c r="N898" s="7"/>
      <c r="O898" s="7"/>
      <c r="P898" s="7"/>
      <c r="Q898" s="7"/>
      <c r="R898" s="8"/>
      <c r="S898" s="7"/>
      <c r="T898" s="7"/>
      <c r="U898" s="7"/>
      <c r="V898" s="7"/>
      <c r="W898" s="7"/>
      <c r="X898" s="7"/>
      <c r="Y898" s="7"/>
      <c r="Z898" s="7"/>
      <c r="AA898" s="7"/>
      <c r="AB898" s="7"/>
      <c r="AC898" s="7"/>
      <c r="AD898" s="7"/>
      <c r="AE898" s="7"/>
      <c r="AF898" s="7"/>
      <c r="AG898" s="7"/>
      <c r="AH898" s="7"/>
      <c r="AI898" s="7"/>
      <c r="AJ898" s="7"/>
    </row>
    <row r="899">
      <c r="A899" s="7"/>
      <c r="B899" s="7"/>
      <c r="C899" s="7"/>
      <c r="D899" s="7"/>
      <c r="E899" s="7"/>
      <c r="F899" s="7"/>
      <c r="G899" s="7"/>
      <c r="H899" s="7"/>
      <c r="I899" s="7"/>
      <c r="J899" s="7"/>
      <c r="K899" s="7"/>
      <c r="L899" s="7"/>
      <c r="M899" s="7"/>
      <c r="N899" s="7"/>
      <c r="O899" s="7"/>
      <c r="P899" s="7"/>
      <c r="Q899" s="7"/>
      <c r="R899" s="8"/>
      <c r="S899" s="7"/>
      <c r="T899" s="7"/>
      <c r="U899" s="7"/>
      <c r="V899" s="7"/>
      <c r="W899" s="7"/>
      <c r="X899" s="7"/>
      <c r="Y899" s="7"/>
      <c r="Z899" s="7"/>
      <c r="AA899" s="7"/>
      <c r="AB899" s="7"/>
      <c r="AC899" s="7"/>
      <c r="AD899" s="7"/>
      <c r="AE899" s="7"/>
      <c r="AF899" s="7"/>
      <c r="AG899" s="7"/>
      <c r="AH899" s="7"/>
      <c r="AI899" s="7"/>
      <c r="AJ899" s="7"/>
    </row>
    <row r="900">
      <c r="A900" s="7"/>
      <c r="B900" s="7"/>
      <c r="C900" s="7"/>
      <c r="D900" s="7"/>
      <c r="E900" s="7"/>
      <c r="F900" s="7"/>
      <c r="G900" s="7"/>
      <c r="H900" s="7"/>
      <c r="I900" s="7"/>
      <c r="J900" s="7"/>
      <c r="K900" s="7"/>
      <c r="L900" s="7"/>
      <c r="M900" s="7"/>
      <c r="N900" s="7"/>
      <c r="O900" s="7"/>
      <c r="P900" s="7"/>
      <c r="Q900" s="7"/>
      <c r="R900" s="8"/>
      <c r="S900" s="7"/>
      <c r="T900" s="7"/>
      <c r="U900" s="7"/>
      <c r="V900" s="7"/>
      <c r="W900" s="7"/>
      <c r="X900" s="7"/>
      <c r="Y900" s="7"/>
      <c r="Z900" s="7"/>
      <c r="AA900" s="7"/>
      <c r="AB900" s="7"/>
      <c r="AC900" s="7"/>
      <c r="AD900" s="7"/>
      <c r="AE900" s="7"/>
      <c r="AF900" s="7"/>
      <c r="AG900" s="7"/>
      <c r="AH900" s="7"/>
      <c r="AI900" s="7"/>
      <c r="AJ900" s="7"/>
    </row>
    <row r="901">
      <c r="A901" s="7"/>
      <c r="B901" s="7"/>
      <c r="C901" s="7"/>
      <c r="D901" s="7"/>
      <c r="E901" s="7"/>
      <c r="F901" s="7"/>
      <c r="G901" s="7"/>
      <c r="H901" s="7"/>
      <c r="I901" s="7"/>
      <c r="J901" s="7"/>
      <c r="K901" s="7"/>
      <c r="L901" s="7"/>
      <c r="M901" s="7"/>
      <c r="N901" s="7"/>
      <c r="O901" s="7"/>
      <c r="P901" s="7"/>
      <c r="Q901" s="7"/>
      <c r="R901" s="8"/>
      <c r="S901" s="7"/>
      <c r="T901" s="7"/>
      <c r="U901" s="7"/>
      <c r="V901" s="7"/>
      <c r="W901" s="7"/>
      <c r="X901" s="7"/>
      <c r="Y901" s="7"/>
      <c r="Z901" s="7"/>
      <c r="AA901" s="7"/>
      <c r="AB901" s="7"/>
      <c r="AC901" s="7"/>
      <c r="AD901" s="7"/>
      <c r="AE901" s="7"/>
      <c r="AF901" s="7"/>
      <c r="AG901" s="7"/>
      <c r="AH901" s="7"/>
      <c r="AI901" s="7"/>
      <c r="AJ901" s="7"/>
    </row>
    <row r="902">
      <c r="A902" s="7"/>
      <c r="B902" s="7"/>
      <c r="C902" s="7"/>
      <c r="D902" s="7"/>
      <c r="E902" s="7"/>
      <c r="F902" s="7"/>
      <c r="G902" s="7"/>
      <c r="H902" s="7"/>
      <c r="I902" s="7"/>
      <c r="J902" s="7"/>
      <c r="K902" s="7"/>
      <c r="L902" s="7"/>
      <c r="M902" s="7"/>
      <c r="N902" s="7"/>
      <c r="O902" s="7"/>
      <c r="P902" s="7"/>
      <c r="Q902" s="7"/>
      <c r="R902" s="8"/>
      <c r="S902" s="7"/>
      <c r="T902" s="7"/>
      <c r="U902" s="7"/>
      <c r="V902" s="7"/>
      <c r="W902" s="7"/>
      <c r="X902" s="7"/>
      <c r="Y902" s="7"/>
      <c r="Z902" s="7"/>
      <c r="AA902" s="7"/>
      <c r="AB902" s="7"/>
      <c r="AC902" s="7"/>
      <c r="AD902" s="7"/>
      <c r="AE902" s="7"/>
      <c r="AF902" s="7"/>
      <c r="AG902" s="7"/>
      <c r="AH902" s="7"/>
      <c r="AI902" s="7"/>
      <c r="AJ902" s="7"/>
    </row>
    <row r="903">
      <c r="A903" s="7"/>
      <c r="B903" s="7"/>
      <c r="C903" s="7"/>
      <c r="D903" s="7"/>
      <c r="E903" s="7"/>
      <c r="F903" s="7"/>
      <c r="G903" s="7"/>
      <c r="H903" s="7"/>
      <c r="I903" s="7"/>
      <c r="J903" s="7"/>
      <c r="K903" s="7"/>
      <c r="L903" s="7"/>
      <c r="M903" s="7"/>
      <c r="N903" s="7"/>
      <c r="O903" s="7"/>
      <c r="P903" s="7"/>
      <c r="Q903" s="7"/>
      <c r="R903" s="8"/>
      <c r="S903" s="7"/>
      <c r="T903" s="7"/>
      <c r="U903" s="7"/>
      <c r="V903" s="7"/>
      <c r="W903" s="7"/>
      <c r="X903" s="7"/>
      <c r="Y903" s="7"/>
      <c r="Z903" s="7"/>
      <c r="AA903" s="7"/>
      <c r="AB903" s="7"/>
      <c r="AC903" s="7"/>
      <c r="AD903" s="7"/>
      <c r="AE903" s="7"/>
      <c r="AF903" s="7"/>
      <c r="AG903" s="7"/>
      <c r="AH903" s="7"/>
      <c r="AI903" s="7"/>
      <c r="AJ903" s="7"/>
    </row>
    <row r="904">
      <c r="A904" s="7"/>
      <c r="B904" s="7"/>
      <c r="C904" s="7"/>
      <c r="D904" s="7"/>
      <c r="E904" s="7"/>
      <c r="F904" s="7"/>
      <c r="G904" s="7"/>
      <c r="H904" s="7"/>
      <c r="I904" s="7"/>
      <c r="J904" s="7"/>
      <c r="K904" s="7"/>
      <c r="L904" s="7"/>
      <c r="M904" s="7"/>
      <c r="N904" s="7"/>
      <c r="O904" s="7"/>
      <c r="P904" s="7"/>
      <c r="Q904" s="7"/>
      <c r="R904" s="8"/>
      <c r="S904" s="7"/>
      <c r="T904" s="7"/>
      <c r="U904" s="7"/>
      <c r="V904" s="7"/>
      <c r="W904" s="7"/>
      <c r="X904" s="7"/>
      <c r="Y904" s="7"/>
      <c r="Z904" s="7"/>
      <c r="AA904" s="7"/>
      <c r="AB904" s="7"/>
      <c r="AC904" s="7"/>
      <c r="AD904" s="7"/>
      <c r="AE904" s="7"/>
      <c r="AF904" s="7"/>
      <c r="AG904" s="7"/>
      <c r="AH904" s="7"/>
      <c r="AI904" s="7"/>
      <c r="AJ904" s="7"/>
    </row>
    <row r="905">
      <c r="A905" s="7"/>
      <c r="B905" s="7"/>
      <c r="C905" s="7"/>
      <c r="D905" s="7"/>
      <c r="E905" s="7"/>
      <c r="F905" s="7"/>
      <c r="G905" s="7"/>
      <c r="H905" s="7"/>
      <c r="I905" s="7"/>
      <c r="J905" s="7"/>
      <c r="K905" s="7"/>
      <c r="L905" s="7"/>
      <c r="M905" s="7"/>
      <c r="N905" s="7"/>
      <c r="O905" s="7"/>
      <c r="P905" s="7"/>
      <c r="Q905" s="7"/>
      <c r="R905" s="8"/>
      <c r="S905" s="7"/>
      <c r="T905" s="7"/>
      <c r="U905" s="7"/>
      <c r="V905" s="7"/>
      <c r="W905" s="7"/>
      <c r="X905" s="7"/>
      <c r="Y905" s="7"/>
      <c r="Z905" s="7"/>
      <c r="AA905" s="7"/>
      <c r="AB905" s="7"/>
      <c r="AC905" s="7"/>
      <c r="AD905" s="7"/>
      <c r="AE905" s="7"/>
      <c r="AF905" s="7"/>
      <c r="AG905" s="7"/>
      <c r="AH905" s="7"/>
      <c r="AI905" s="7"/>
      <c r="AJ905" s="7"/>
    </row>
    <row r="906">
      <c r="A906" s="7"/>
      <c r="B906" s="7"/>
      <c r="C906" s="7"/>
      <c r="D906" s="7"/>
      <c r="E906" s="7"/>
      <c r="F906" s="7"/>
      <c r="G906" s="7"/>
      <c r="H906" s="7"/>
      <c r="I906" s="7"/>
      <c r="J906" s="7"/>
      <c r="K906" s="7"/>
      <c r="L906" s="7"/>
      <c r="M906" s="7"/>
      <c r="N906" s="7"/>
      <c r="O906" s="7"/>
      <c r="P906" s="7"/>
      <c r="Q906" s="7"/>
      <c r="R906" s="8"/>
      <c r="S906" s="7"/>
      <c r="T906" s="7"/>
      <c r="U906" s="7"/>
      <c r="V906" s="7"/>
      <c r="W906" s="7"/>
      <c r="X906" s="7"/>
      <c r="Y906" s="7"/>
      <c r="Z906" s="7"/>
      <c r="AA906" s="7"/>
      <c r="AB906" s="7"/>
      <c r="AC906" s="7"/>
      <c r="AD906" s="7"/>
      <c r="AE906" s="7"/>
      <c r="AF906" s="7"/>
      <c r="AG906" s="7"/>
      <c r="AH906" s="7"/>
      <c r="AI906" s="7"/>
      <c r="AJ906" s="7"/>
    </row>
    <row r="907">
      <c r="A907" s="7"/>
      <c r="B907" s="7"/>
      <c r="C907" s="7"/>
      <c r="D907" s="7"/>
      <c r="E907" s="7"/>
      <c r="F907" s="7"/>
      <c r="G907" s="7"/>
      <c r="H907" s="7"/>
      <c r="I907" s="7"/>
      <c r="J907" s="7"/>
      <c r="K907" s="7"/>
      <c r="L907" s="7"/>
      <c r="M907" s="7"/>
      <c r="N907" s="7"/>
      <c r="O907" s="7"/>
      <c r="P907" s="7"/>
      <c r="Q907" s="7"/>
      <c r="R907" s="8"/>
      <c r="S907" s="7"/>
      <c r="T907" s="7"/>
      <c r="U907" s="7"/>
      <c r="V907" s="7"/>
      <c r="W907" s="7"/>
      <c r="X907" s="7"/>
      <c r="Y907" s="7"/>
      <c r="Z907" s="7"/>
      <c r="AA907" s="7"/>
      <c r="AB907" s="7"/>
      <c r="AC907" s="7"/>
      <c r="AD907" s="7"/>
      <c r="AE907" s="7"/>
      <c r="AF907" s="7"/>
      <c r="AG907" s="7"/>
      <c r="AH907" s="7"/>
      <c r="AI907" s="7"/>
      <c r="AJ907" s="7"/>
    </row>
    <row r="908">
      <c r="A908" s="7"/>
      <c r="B908" s="7"/>
      <c r="C908" s="7"/>
      <c r="D908" s="7"/>
      <c r="E908" s="7"/>
      <c r="F908" s="7"/>
      <c r="G908" s="7"/>
      <c r="H908" s="7"/>
      <c r="I908" s="7"/>
      <c r="J908" s="7"/>
      <c r="K908" s="7"/>
      <c r="L908" s="7"/>
      <c r="M908" s="7"/>
      <c r="N908" s="7"/>
      <c r="O908" s="7"/>
      <c r="P908" s="7"/>
      <c r="Q908" s="7"/>
      <c r="R908" s="8"/>
      <c r="S908" s="7"/>
      <c r="T908" s="7"/>
      <c r="U908" s="7"/>
      <c r="V908" s="7"/>
      <c r="W908" s="7"/>
      <c r="X908" s="7"/>
      <c r="Y908" s="7"/>
      <c r="Z908" s="7"/>
      <c r="AA908" s="7"/>
      <c r="AB908" s="7"/>
      <c r="AC908" s="7"/>
      <c r="AD908" s="7"/>
      <c r="AE908" s="7"/>
      <c r="AF908" s="7"/>
      <c r="AG908" s="7"/>
      <c r="AH908" s="7"/>
      <c r="AI908" s="7"/>
      <c r="AJ908" s="7"/>
    </row>
    <row r="909">
      <c r="A909" s="7"/>
      <c r="B909" s="7"/>
      <c r="C909" s="7"/>
      <c r="D909" s="7"/>
      <c r="E909" s="7"/>
      <c r="F909" s="7"/>
      <c r="G909" s="7"/>
      <c r="H909" s="7"/>
      <c r="I909" s="7"/>
      <c r="J909" s="7"/>
      <c r="K909" s="7"/>
      <c r="L909" s="7"/>
      <c r="M909" s="7"/>
      <c r="N909" s="7"/>
      <c r="O909" s="7"/>
      <c r="P909" s="7"/>
      <c r="Q909" s="7"/>
      <c r="R909" s="8"/>
      <c r="S909" s="7"/>
      <c r="T909" s="7"/>
      <c r="U909" s="7"/>
      <c r="V909" s="7"/>
      <c r="W909" s="7"/>
      <c r="X909" s="7"/>
      <c r="Y909" s="7"/>
      <c r="Z909" s="7"/>
      <c r="AA909" s="7"/>
      <c r="AB909" s="7"/>
      <c r="AC909" s="7"/>
      <c r="AD909" s="7"/>
      <c r="AE909" s="7"/>
      <c r="AF909" s="7"/>
      <c r="AG909" s="7"/>
      <c r="AH909" s="7"/>
      <c r="AI909" s="7"/>
      <c r="AJ909" s="7"/>
    </row>
    <row r="910">
      <c r="A910" s="7"/>
      <c r="B910" s="7"/>
      <c r="C910" s="7"/>
      <c r="D910" s="7"/>
      <c r="E910" s="7"/>
      <c r="F910" s="7"/>
      <c r="G910" s="7"/>
      <c r="H910" s="7"/>
      <c r="I910" s="7"/>
      <c r="J910" s="7"/>
      <c r="K910" s="7"/>
      <c r="L910" s="7"/>
      <c r="M910" s="7"/>
      <c r="N910" s="7"/>
      <c r="O910" s="7"/>
      <c r="P910" s="7"/>
      <c r="Q910" s="7"/>
      <c r="R910" s="8"/>
      <c r="S910" s="7"/>
      <c r="T910" s="7"/>
      <c r="U910" s="7"/>
      <c r="V910" s="7"/>
      <c r="W910" s="7"/>
      <c r="X910" s="7"/>
      <c r="Y910" s="7"/>
      <c r="Z910" s="7"/>
      <c r="AA910" s="7"/>
      <c r="AB910" s="7"/>
      <c r="AC910" s="7"/>
      <c r="AD910" s="7"/>
      <c r="AE910" s="7"/>
      <c r="AF910" s="7"/>
      <c r="AG910" s="7"/>
      <c r="AH910" s="7"/>
      <c r="AI910" s="7"/>
      <c r="AJ910" s="7"/>
    </row>
    <row r="911">
      <c r="A911" s="7"/>
      <c r="B911" s="7"/>
      <c r="C911" s="7"/>
      <c r="D911" s="7"/>
      <c r="E911" s="7"/>
      <c r="F911" s="7"/>
      <c r="G911" s="7"/>
      <c r="H911" s="7"/>
      <c r="I911" s="7"/>
      <c r="J911" s="7"/>
      <c r="K911" s="7"/>
      <c r="L911" s="7"/>
      <c r="M911" s="7"/>
      <c r="N911" s="7"/>
      <c r="O911" s="7"/>
      <c r="P911" s="7"/>
      <c r="Q911" s="7"/>
      <c r="R911" s="8"/>
      <c r="S911" s="7"/>
      <c r="T911" s="7"/>
      <c r="U911" s="7"/>
      <c r="V911" s="7"/>
      <c r="W911" s="7"/>
      <c r="X911" s="7"/>
      <c r="Y911" s="7"/>
      <c r="Z911" s="7"/>
      <c r="AA911" s="7"/>
      <c r="AB911" s="7"/>
      <c r="AC911" s="7"/>
      <c r="AD911" s="7"/>
      <c r="AE911" s="7"/>
      <c r="AF911" s="7"/>
      <c r="AG911" s="7"/>
      <c r="AH911" s="7"/>
      <c r="AI911" s="7"/>
      <c r="AJ911" s="7"/>
    </row>
    <row r="912">
      <c r="A912" s="7"/>
      <c r="B912" s="7"/>
      <c r="C912" s="7"/>
      <c r="D912" s="7"/>
      <c r="E912" s="7"/>
      <c r="F912" s="7"/>
      <c r="G912" s="7"/>
      <c r="H912" s="7"/>
      <c r="I912" s="7"/>
      <c r="J912" s="7"/>
      <c r="K912" s="7"/>
      <c r="L912" s="7"/>
      <c r="M912" s="7"/>
      <c r="N912" s="7"/>
      <c r="O912" s="7"/>
      <c r="P912" s="7"/>
      <c r="Q912" s="7"/>
      <c r="R912" s="8"/>
      <c r="S912" s="7"/>
      <c r="T912" s="7"/>
      <c r="U912" s="7"/>
      <c r="V912" s="7"/>
      <c r="W912" s="7"/>
      <c r="X912" s="7"/>
      <c r="Y912" s="7"/>
      <c r="Z912" s="7"/>
      <c r="AA912" s="7"/>
      <c r="AB912" s="7"/>
      <c r="AC912" s="7"/>
      <c r="AD912" s="7"/>
      <c r="AE912" s="7"/>
      <c r="AF912" s="7"/>
      <c r="AG912" s="7"/>
      <c r="AH912" s="7"/>
      <c r="AI912" s="7"/>
      <c r="AJ912" s="7"/>
    </row>
    <row r="913">
      <c r="A913" s="7"/>
      <c r="B913" s="7"/>
      <c r="C913" s="7"/>
      <c r="D913" s="7"/>
      <c r="E913" s="7"/>
      <c r="F913" s="7"/>
      <c r="G913" s="7"/>
      <c r="H913" s="7"/>
      <c r="I913" s="7"/>
      <c r="J913" s="7"/>
      <c r="K913" s="7"/>
      <c r="L913" s="7"/>
      <c r="M913" s="7"/>
      <c r="N913" s="7"/>
      <c r="O913" s="7"/>
      <c r="P913" s="7"/>
      <c r="Q913" s="7"/>
      <c r="R913" s="8"/>
      <c r="S913" s="7"/>
      <c r="T913" s="7"/>
      <c r="U913" s="7"/>
      <c r="V913" s="7"/>
      <c r="W913" s="7"/>
      <c r="X913" s="7"/>
      <c r="Y913" s="7"/>
      <c r="Z913" s="7"/>
      <c r="AA913" s="7"/>
      <c r="AB913" s="7"/>
      <c r="AC913" s="7"/>
      <c r="AD913" s="7"/>
      <c r="AE913" s="7"/>
      <c r="AF913" s="7"/>
      <c r="AG913" s="7"/>
      <c r="AH913" s="7"/>
      <c r="AI913" s="7"/>
      <c r="AJ913" s="7"/>
    </row>
    <row r="914">
      <c r="A914" s="7"/>
      <c r="B914" s="7"/>
      <c r="C914" s="7"/>
      <c r="D914" s="7"/>
      <c r="E914" s="7"/>
      <c r="F914" s="7"/>
      <c r="G914" s="7"/>
      <c r="H914" s="7"/>
      <c r="I914" s="7"/>
      <c r="J914" s="7"/>
      <c r="K914" s="7"/>
      <c r="L914" s="7"/>
      <c r="M914" s="7"/>
      <c r="N914" s="7"/>
      <c r="O914" s="7"/>
      <c r="P914" s="7"/>
      <c r="Q914" s="7"/>
      <c r="R914" s="8"/>
      <c r="S914" s="7"/>
      <c r="T914" s="7"/>
      <c r="U914" s="7"/>
      <c r="V914" s="7"/>
      <c r="W914" s="7"/>
      <c r="X914" s="7"/>
      <c r="Y914" s="7"/>
      <c r="Z914" s="7"/>
      <c r="AA914" s="7"/>
      <c r="AB914" s="7"/>
      <c r="AC914" s="7"/>
      <c r="AD914" s="7"/>
      <c r="AE914" s="7"/>
      <c r="AF914" s="7"/>
      <c r="AG914" s="7"/>
      <c r="AH914" s="7"/>
      <c r="AI914" s="7"/>
      <c r="AJ914" s="7"/>
    </row>
    <row r="915">
      <c r="A915" s="7"/>
      <c r="B915" s="7"/>
      <c r="C915" s="7"/>
      <c r="D915" s="7"/>
      <c r="E915" s="7"/>
      <c r="F915" s="7"/>
      <c r="G915" s="7"/>
      <c r="H915" s="7"/>
      <c r="I915" s="7"/>
      <c r="J915" s="7"/>
      <c r="K915" s="7"/>
      <c r="L915" s="7"/>
      <c r="M915" s="7"/>
      <c r="N915" s="7"/>
      <c r="O915" s="7"/>
      <c r="P915" s="7"/>
      <c r="Q915" s="7"/>
      <c r="R915" s="8"/>
      <c r="S915" s="7"/>
      <c r="T915" s="7"/>
      <c r="U915" s="7"/>
      <c r="V915" s="7"/>
      <c r="W915" s="7"/>
      <c r="X915" s="7"/>
      <c r="Y915" s="7"/>
      <c r="Z915" s="7"/>
      <c r="AA915" s="7"/>
      <c r="AB915" s="7"/>
      <c r="AC915" s="7"/>
      <c r="AD915" s="7"/>
      <c r="AE915" s="7"/>
      <c r="AF915" s="7"/>
      <c r="AG915" s="7"/>
      <c r="AH915" s="7"/>
      <c r="AI915" s="7"/>
      <c r="AJ915" s="7"/>
    </row>
    <row r="916">
      <c r="A916" s="7"/>
      <c r="B916" s="7"/>
      <c r="C916" s="7"/>
      <c r="D916" s="7"/>
      <c r="E916" s="7"/>
      <c r="F916" s="7"/>
      <c r="G916" s="7"/>
      <c r="H916" s="7"/>
      <c r="I916" s="7"/>
      <c r="J916" s="7"/>
      <c r="K916" s="7"/>
      <c r="L916" s="7"/>
      <c r="M916" s="7"/>
      <c r="N916" s="7"/>
      <c r="O916" s="7"/>
      <c r="P916" s="7"/>
      <c r="Q916" s="7"/>
      <c r="R916" s="8"/>
      <c r="S916" s="7"/>
      <c r="T916" s="7"/>
      <c r="U916" s="7"/>
      <c r="V916" s="7"/>
      <c r="W916" s="7"/>
      <c r="X916" s="7"/>
      <c r="Y916" s="7"/>
      <c r="Z916" s="7"/>
      <c r="AA916" s="7"/>
      <c r="AB916" s="7"/>
      <c r="AC916" s="7"/>
      <c r="AD916" s="7"/>
      <c r="AE916" s="7"/>
      <c r="AF916" s="7"/>
      <c r="AG916" s="7"/>
      <c r="AH916" s="7"/>
      <c r="AI916" s="7"/>
      <c r="AJ916" s="7"/>
    </row>
    <row r="917">
      <c r="A917" s="7"/>
      <c r="B917" s="7"/>
      <c r="C917" s="7"/>
      <c r="D917" s="7"/>
      <c r="E917" s="7"/>
      <c r="F917" s="7"/>
      <c r="G917" s="7"/>
      <c r="H917" s="7"/>
      <c r="I917" s="7"/>
      <c r="J917" s="7"/>
      <c r="K917" s="7"/>
      <c r="L917" s="7"/>
      <c r="M917" s="7"/>
      <c r="N917" s="7"/>
      <c r="O917" s="7"/>
      <c r="P917" s="7"/>
      <c r="Q917" s="7"/>
      <c r="R917" s="8"/>
      <c r="S917" s="7"/>
      <c r="T917" s="7"/>
      <c r="U917" s="7"/>
      <c r="V917" s="7"/>
      <c r="W917" s="7"/>
      <c r="X917" s="7"/>
      <c r="Y917" s="7"/>
      <c r="Z917" s="7"/>
      <c r="AA917" s="7"/>
      <c r="AB917" s="7"/>
      <c r="AC917" s="7"/>
      <c r="AD917" s="7"/>
      <c r="AE917" s="7"/>
      <c r="AF917" s="7"/>
      <c r="AG917" s="7"/>
      <c r="AH917" s="7"/>
      <c r="AI917" s="7"/>
      <c r="AJ917" s="7"/>
    </row>
    <row r="918">
      <c r="A918" s="7"/>
      <c r="B918" s="7"/>
      <c r="C918" s="7"/>
      <c r="D918" s="7"/>
      <c r="E918" s="7"/>
      <c r="F918" s="7"/>
      <c r="G918" s="7"/>
      <c r="H918" s="7"/>
      <c r="I918" s="7"/>
      <c r="J918" s="7"/>
      <c r="K918" s="7"/>
      <c r="L918" s="7"/>
      <c r="M918" s="7"/>
      <c r="N918" s="7"/>
      <c r="O918" s="7"/>
      <c r="P918" s="7"/>
      <c r="Q918" s="7"/>
      <c r="R918" s="8"/>
      <c r="S918" s="7"/>
      <c r="T918" s="7"/>
      <c r="U918" s="7"/>
      <c r="V918" s="7"/>
      <c r="W918" s="7"/>
      <c r="X918" s="7"/>
      <c r="Y918" s="7"/>
      <c r="Z918" s="7"/>
      <c r="AA918" s="7"/>
      <c r="AB918" s="7"/>
      <c r="AC918" s="7"/>
      <c r="AD918" s="7"/>
      <c r="AE918" s="7"/>
      <c r="AF918" s="7"/>
      <c r="AG918" s="7"/>
      <c r="AH918" s="7"/>
      <c r="AI918" s="7"/>
      <c r="AJ918" s="7"/>
    </row>
    <row r="919">
      <c r="A919" s="7"/>
      <c r="B919" s="7"/>
      <c r="C919" s="7"/>
      <c r="D919" s="7"/>
      <c r="E919" s="7"/>
      <c r="F919" s="7"/>
      <c r="G919" s="7"/>
      <c r="H919" s="7"/>
      <c r="I919" s="7"/>
      <c r="J919" s="7"/>
      <c r="K919" s="7"/>
      <c r="L919" s="7"/>
      <c r="M919" s="7"/>
      <c r="N919" s="7"/>
      <c r="O919" s="7"/>
      <c r="P919" s="7"/>
      <c r="Q919" s="7"/>
      <c r="R919" s="8"/>
      <c r="S919" s="7"/>
      <c r="T919" s="7"/>
      <c r="U919" s="7"/>
      <c r="V919" s="7"/>
      <c r="W919" s="7"/>
      <c r="X919" s="7"/>
      <c r="Y919" s="7"/>
      <c r="Z919" s="7"/>
      <c r="AA919" s="7"/>
      <c r="AB919" s="7"/>
      <c r="AC919" s="7"/>
      <c r="AD919" s="7"/>
      <c r="AE919" s="7"/>
      <c r="AF919" s="7"/>
      <c r="AG919" s="7"/>
      <c r="AH919" s="7"/>
      <c r="AI919" s="7"/>
      <c r="AJ919" s="7"/>
    </row>
    <row r="920">
      <c r="A920" s="7"/>
      <c r="B920" s="7"/>
      <c r="C920" s="7"/>
      <c r="D920" s="7"/>
      <c r="E920" s="7"/>
      <c r="F920" s="7"/>
      <c r="G920" s="7"/>
      <c r="H920" s="7"/>
      <c r="I920" s="7"/>
      <c r="J920" s="7"/>
      <c r="K920" s="7"/>
      <c r="L920" s="7"/>
      <c r="M920" s="7"/>
      <c r="N920" s="7"/>
      <c r="O920" s="7"/>
      <c r="P920" s="7"/>
      <c r="Q920" s="7"/>
      <c r="R920" s="8"/>
      <c r="S920" s="7"/>
      <c r="T920" s="7"/>
      <c r="U920" s="7"/>
      <c r="V920" s="7"/>
      <c r="W920" s="7"/>
      <c r="X920" s="7"/>
      <c r="Y920" s="7"/>
      <c r="Z920" s="7"/>
      <c r="AA920" s="7"/>
      <c r="AB920" s="7"/>
      <c r="AC920" s="7"/>
      <c r="AD920" s="7"/>
      <c r="AE920" s="7"/>
      <c r="AF920" s="7"/>
      <c r="AG920" s="7"/>
      <c r="AH920" s="7"/>
      <c r="AI920" s="7"/>
      <c r="AJ920" s="7"/>
    </row>
    <row r="921">
      <c r="A921" s="7"/>
      <c r="B921" s="7"/>
      <c r="C921" s="7"/>
      <c r="D921" s="7"/>
      <c r="E921" s="7"/>
      <c r="F921" s="7"/>
      <c r="G921" s="7"/>
      <c r="H921" s="7"/>
      <c r="I921" s="7"/>
      <c r="J921" s="7"/>
      <c r="K921" s="7"/>
      <c r="L921" s="7"/>
      <c r="M921" s="7"/>
      <c r="N921" s="7"/>
      <c r="O921" s="7"/>
      <c r="P921" s="7"/>
      <c r="Q921" s="7"/>
      <c r="R921" s="8"/>
      <c r="S921" s="7"/>
      <c r="T921" s="7"/>
      <c r="U921" s="7"/>
      <c r="V921" s="7"/>
      <c r="W921" s="7"/>
      <c r="X921" s="7"/>
      <c r="Y921" s="7"/>
      <c r="Z921" s="7"/>
      <c r="AA921" s="7"/>
      <c r="AB921" s="7"/>
      <c r="AC921" s="7"/>
      <c r="AD921" s="7"/>
      <c r="AE921" s="7"/>
      <c r="AF921" s="7"/>
      <c r="AG921" s="7"/>
      <c r="AH921" s="7"/>
      <c r="AI921" s="7"/>
      <c r="AJ921" s="7"/>
    </row>
    <row r="922">
      <c r="A922" s="7"/>
      <c r="B922" s="7"/>
      <c r="C922" s="7"/>
      <c r="D922" s="7"/>
      <c r="E922" s="7"/>
      <c r="F922" s="7"/>
      <c r="G922" s="7"/>
      <c r="H922" s="7"/>
      <c r="I922" s="7"/>
      <c r="J922" s="7"/>
      <c r="K922" s="7"/>
      <c r="L922" s="7"/>
      <c r="M922" s="7"/>
      <c r="N922" s="7"/>
      <c r="O922" s="7"/>
      <c r="P922" s="7"/>
      <c r="Q922" s="7"/>
      <c r="R922" s="8"/>
      <c r="S922" s="7"/>
      <c r="T922" s="7"/>
      <c r="U922" s="7"/>
      <c r="V922" s="7"/>
      <c r="W922" s="7"/>
      <c r="X922" s="7"/>
      <c r="Y922" s="7"/>
      <c r="Z922" s="7"/>
      <c r="AA922" s="7"/>
      <c r="AB922" s="7"/>
      <c r="AC922" s="7"/>
      <c r="AD922" s="7"/>
      <c r="AE922" s="7"/>
      <c r="AF922" s="7"/>
      <c r="AG922" s="7"/>
      <c r="AH922" s="7"/>
      <c r="AI922" s="7"/>
      <c r="AJ922" s="7"/>
    </row>
    <row r="923">
      <c r="A923" s="7"/>
      <c r="B923" s="7"/>
      <c r="C923" s="7"/>
      <c r="D923" s="7"/>
      <c r="E923" s="7"/>
      <c r="F923" s="7"/>
      <c r="G923" s="7"/>
      <c r="H923" s="7"/>
      <c r="I923" s="7"/>
      <c r="J923" s="7"/>
      <c r="K923" s="7"/>
      <c r="L923" s="7"/>
      <c r="M923" s="7"/>
      <c r="N923" s="7"/>
      <c r="O923" s="7"/>
      <c r="P923" s="7"/>
      <c r="Q923" s="7"/>
      <c r="R923" s="8"/>
      <c r="S923" s="7"/>
      <c r="T923" s="7"/>
      <c r="U923" s="7"/>
      <c r="V923" s="7"/>
      <c r="W923" s="7"/>
      <c r="X923" s="7"/>
      <c r="Y923" s="7"/>
      <c r="Z923" s="7"/>
      <c r="AA923" s="7"/>
      <c r="AB923" s="7"/>
      <c r="AC923" s="7"/>
      <c r="AD923" s="7"/>
      <c r="AE923" s="7"/>
      <c r="AF923" s="7"/>
      <c r="AG923" s="7"/>
      <c r="AH923" s="7"/>
      <c r="AI923" s="7"/>
      <c r="AJ923" s="7"/>
    </row>
    <row r="924">
      <c r="A924" s="7"/>
      <c r="B924" s="7"/>
      <c r="C924" s="7"/>
      <c r="D924" s="7"/>
      <c r="E924" s="7"/>
      <c r="F924" s="7"/>
      <c r="G924" s="7"/>
      <c r="H924" s="7"/>
      <c r="I924" s="7"/>
      <c r="J924" s="7"/>
      <c r="K924" s="7"/>
      <c r="L924" s="7"/>
      <c r="M924" s="7"/>
      <c r="N924" s="7"/>
      <c r="O924" s="7"/>
      <c r="P924" s="7"/>
      <c r="Q924" s="7"/>
      <c r="R924" s="8"/>
      <c r="S924" s="7"/>
      <c r="T924" s="7"/>
      <c r="U924" s="7"/>
      <c r="V924" s="7"/>
      <c r="W924" s="7"/>
      <c r="X924" s="7"/>
      <c r="Y924" s="7"/>
      <c r="Z924" s="7"/>
      <c r="AA924" s="7"/>
      <c r="AB924" s="7"/>
      <c r="AC924" s="7"/>
      <c r="AD924" s="7"/>
      <c r="AE924" s="7"/>
      <c r="AF924" s="7"/>
      <c r="AG924" s="7"/>
      <c r="AH924" s="7"/>
      <c r="AI924" s="7"/>
      <c r="AJ924" s="7"/>
    </row>
    <row r="925">
      <c r="A925" s="7"/>
      <c r="B925" s="7"/>
      <c r="C925" s="7"/>
      <c r="D925" s="7"/>
      <c r="E925" s="7"/>
      <c r="F925" s="7"/>
      <c r="G925" s="7"/>
      <c r="H925" s="7"/>
      <c r="I925" s="7"/>
      <c r="J925" s="7"/>
      <c r="K925" s="7"/>
      <c r="L925" s="7"/>
      <c r="M925" s="7"/>
      <c r="N925" s="7"/>
      <c r="O925" s="7"/>
      <c r="P925" s="7"/>
      <c r="Q925" s="7"/>
      <c r="R925" s="8"/>
      <c r="S925" s="7"/>
      <c r="T925" s="7"/>
      <c r="U925" s="7"/>
      <c r="V925" s="7"/>
      <c r="W925" s="7"/>
      <c r="X925" s="7"/>
      <c r="Y925" s="7"/>
      <c r="Z925" s="7"/>
      <c r="AA925" s="7"/>
      <c r="AB925" s="7"/>
      <c r="AC925" s="7"/>
      <c r="AD925" s="7"/>
      <c r="AE925" s="7"/>
      <c r="AF925" s="7"/>
      <c r="AG925" s="7"/>
      <c r="AH925" s="7"/>
      <c r="AI925" s="7"/>
      <c r="AJ925" s="7"/>
    </row>
    <row r="926">
      <c r="A926" s="7"/>
      <c r="B926" s="7"/>
      <c r="C926" s="7"/>
      <c r="D926" s="7"/>
      <c r="E926" s="7"/>
      <c r="F926" s="7"/>
      <c r="G926" s="7"/>
      <c r="H926" s="7"/>
      <c r="I926" s="7"/>
      <c r="J926" s="7"/>
      <c r="K926" s="7"/>
      <c r="L926" s="7"/>
      <c r="M926" s="7"/>
      <c r="N926" s="7"/>
      <c r="O926" s="7"/>
      <c r="P926" s="7"/>
      <c r="Q926" s="7"/>
      <c r="R926" s="8"/>
      <c r="S926" s="7"/>
      <c r="T926" s="7"/>
      <c r="U926" s="7"/>
      <c r="V926" s="7"/>
      <c r="W926" s="7"/>
      <c r="X926" s="7"/>
      <c r="Y926" s="7"/>
      <c r="Z926" s="7"/>
      <c r="AA926" s="7"/>
      <c r="AB926" s="7"/>
      <c r="AC926" s="7"/>
      <c r="AD926" s="7"/>
      <c r="AE926" s="7"/>
      <c r="AF926" s="7"/>
      <c r="AG926" s="7"/>
      <c r="AH926" s="7"/>
      <c r="AI926" s="7"/>
      <c r="AJ926" s="7"/>
    </row>
    <row r="927">
      <c r="A927" s="7"/>
      <c r="B927" s="7"/>
      <c r="C927" s="7"/>
      <c r="D927" s="7"/>
      <c r="E927" s="7"/>
      <c r="F927" s="7"/>
      <c r="G927" s="7"/>
      <c r="H927" s="7"/>
      <c r="I927" s="7"/>
      <c r="J927" s="7"/>
      <c r="K927" s="7"/>
      <c r="L927" s="7"/>
      <c r="M927" s="7"/>
      <c r="N927" s="7"/>
      <c r="O927" s="7"/>
      <c r="P927" s="7"/>
      <c r="Q927" s="7"/>
      <c r="R927" s="8"/>
      <c r="S927" s="7"/>
      <c r="T927" s="7"/>
      <c r="U927" s="7"/>
      <c r="V927" s="7"/>
      <c r="W927" s="7"/>
      <c r="X927" s="7"/>
      <c r="Y927" s="7"/>
      <c r="Z927" s="7"/>
      <c r="AA927" s="7"/>
      <c r="AB927" s="7"/>
      <c r="AC927" s="7"/>
      <c r="AD927" s="7"/>
      <c r="AE927" s="7"/>
      <c r="AF927" s="7"/>
      <c r="AG927" s="7"/>
      <c r="AH927" s="7"/>
      <c r="AI927" s="7"/>
      <c r="AJ927" s="7"/>
    </row>
    <row r="928">
      <c r="A928" s="7"/>
      <c r="B928" s="7"/>
      <c r="C928" s="7"/>
      <c r="D928" s="7"/>
      <c r="E928" s="7"/>
      <c r="F928" s="7"/>
      <c r="G928" s="7"/>
      <c r="H928" s="7"/>
      <c r="I928" s="7"/>
      <c r="J928" s="7"/>
      <c r="K928" s="7"/>
      <c r="L928" s="7"/>
      <c r="M928" s="7"/>
      <c r="N928" s="7"/>
      <c r="O928" s="7"/>
      <c r="P928" s="7"/>
      <c r="Q928" s="7"/>
      <c r="R928" s="8"/>
      <c r="S928" s="7"/>
      <c r="T928" s="7"/>
      <c r="U928" s="7"/>
      <c r="V928" s="7"/>
      <c r="W928" s="7"/>
      <c r="X928" s="7"/>
      <c r="Y928" s="7"/>
      <c r="Z928" s="7"/>
      <c r="AA928" s="7"/>
      <c r="AB928" s="7"/>
      <c r="AC928" s="7"/>
      <c r="AD928" s="7"/>
      <c r="AE928" s="7"/>
      <c r="AF928" s="7"/>
      <c r="AG928" s="7"/>
      <c r="AH928" s="7"/>
      <c r="AI928" s="7"/>
      <c r="AJ928" s="7"/>
    </row>
    <row r="929">
      <c r="A929" s="7"/>
      <c r="B929" s="7"/>
      <c r="C929" s="7"/>
      <c r="D929" s="7"/>
      <c r="E929" s="7"/>
      <c r="F929" s="7"/>
      <c r="G929" s="7"/>
      <c r="H929" s="7"/>
      <c r="I929" s="7"/>
      <c r="J929" s="7"/>
      <c r="K929" s="7"/>
      <c r="L929" s="7"/>
      <c r="M929" s="7"/>
      <c r="N929" s="7"/>
      <c r="O929" s="7"/>
      <c r="P929" s="7"/>
      <c r="Q929" s="7"/>
      <c r="R929" s="8"/>
      <c r="S929" s="7"/>
      <c r="T929" s="7"/>
      <c r="U929" s="7"/>
      <c r="V929" s="7"/>
      <c r="W929" s="7"/>
      <c r="X929" s="7"/>
      <c r="Y929" s="7"/>
      <c r="Z929" s="7"/>
      <c r="AA929" s="7"/>
      <c r="AB929" s="7"/>
      <c r="AC929" s="7"/>
      <c r="AD929" s="7"/>
      <c r="AE929" s="7"/>
      <c r="AF929" s="7"/>
      <c r="AG929" s="7"/>
      <c r="AH929" s="7"/>
      <c r="AI929" s="7"/>
      <c r="AJ929" s="7"/>
    </row>
    <row r="930">
      <c r="A930" s="7"/>
      <c r="B930" s="7"/>
      <c r="C930" s="7"/>
      <c r="D930" s="7"/>
      <c r="E930" s="7"/>
      <c r="F930" s="7"/>
      <c r="G930" s="7"/>
      <c r="H930" s="7"/>
      <c r="I930" s="7"/>
      <c r="J930" s="7"/>
      <c r="K930" s="7"/>
      <c r="L930" s="7"/>
      <c r="M930" s="7"/>
      <c r="N930" s="7"/>
      <c r="O930" s="7"/>
      <c r="P930" s="7"/>
      <c r="Q930" s="7"/>
      <c r="R930" s="8"/>
      <c r="S930" s="7"/>
      <c r="T930" s="7"/>
      <c r="U930" s="7"/>
      <c r="V930" s="7"/>
      <c r="W930" s="7"/>
      <c r="X930" s="7"/>
      <c r="Y930" s="7"/>
      <c r="Z930" s="7"/>
      <c r="AA930" s="7"/>
      <c r="AB930" s="7"/>
      <c r="AC930" s="7"/>
      <c r="AD930" s="7"/>
      <c r="AE930" s="7"/>
      <c r="AF930" s="7"/>
      <c r="AG930" s="7"/>
      <c r="AH930" s="7"/>
      <c r="AI930" s="7"/>
      <c r="AJ930" s="7"/>
    </row>
    <row r="931">
      <c r="A931" s="7"/>
      <c r="B931" s="7"/>
      <c r="C931" s="7"/>
      <c r="D931" s="7"/>
      <c r="E931" s="7"/>
      <c r="F931" s="7"/>
      <c r="G931" s="7"/>
      <c r="H931" s="7"/>
      <c r="I931" s="7"/>
      <c r="J931" s="7"/>
      <c r="K931" s="7"/>
      <c r="L931" s="7"/>
      <c r="M931" s="7"/>
      <c r="N931" s="7"/>
      <c r="O931" s="7"/>
      <c r="P931" s="7"/>
      <c r="Q931" s="7"/>
      <c r="R931" s="8"/>
      <c r="S931" s="7"/>
      <c r="T931" s="7"/>
      <c r="U931" s="7"/>
      <c r="V931" s="7"/>
      <c r="W931" s="7"/>
      <c r="X931" s="7"/>
      <c r="Y931" s="7"/>
      <c r="Z931" s="7"/>
      <c r="AA931" s="7"/>
      <c r="AB931" s="7"/>
      <c r="AC931" s="7"/>
      <c r="AD931" s="7"/>
      <c r="AE931" s="7"/>
      <c r="AF931" s="7"/>
      <c r="AG931" s="7"/>
      <c r="AH931" s="7"/>
      <c r="AI931" s="7"/>
      <c r="AJ931" s="7"/>
    </row>
    <row r="932">
      <c r="A932" s="7"/>
      <c r="B932" s="7"/>
      <c r="C932" s="7"/>
      <c r="D932" s="7"/>
      <c r="E932" s="7"/>
      <c r="F932" s="7"/>
      <c r="G932" s="7"/>
      <c r="H932" s="7"/>
      <c r="I932" s="7"/>
      <c r="J932" s="7"/>
      <c r="K932" s="7"/>
      <c r="L932" s="7"/>
      <c r="M932" s="7"/>
      <c r="N932" s="7"/>
      <c r="O932" s="7"/>
      <c r="P932" s="7"/>
      <c r="Q932" s="7"/>
      <c r="R932" s="8"/>
      <c r="S932" s="7"/>
      <c r="T932" s="7"/>
      <c r="U932" s="7"/>
      <c r="V932" s="7"/>
      <c r="W932" s="7"/>
      <c r="X932" s="7"/>
      <c r="Y932" s="7"/>
      <c r="Z932" s="7"/>
      <c r="AA932" s="7"/>
      <c r="AB932" s="7"/>
      <c r="AC932" s="7"/>
      <c r="AD932" s="7"/>
      <c r="AE932" s="7"/>
      <c r="AF932" s="7"/>
      <c r="AG932" s="7"/>
      <c r="AH932" s="7"/>
      <c r="AI932" s="7"/>
      <c r="AJ932" s="7"/>
    </row>
    <row r="933">
      <c r="A933" s="7"/>
      <c r="B933" s="7"/>
      <c r="C933" s="7"/>
      <c r="D933" s="7"/>
      <c r="E933" s="7"/>
      <c r="F933" s="7"/>
      <c r="G933" s="7"/>
      <c r="H933" s="7"/>
      <c r="I933" s="7"/>
      <c r="J933" s="7"/>
      <c r="K933" s="7"/>
      <c r="L933" s="7"/>
      <c r="M933" s="7"/>
      <c r="N933" s="7"/>
      <c r="O933" s="7"/>
      <c r="P933" s="7"/>
      <c r="Q933" s="7"/>
      <c r="R933" s="8"/>
      <c r="S933" s="7"/>
      <c r="T933" s="7"/>
      <c r="U933" s="7"/>
      <c r="V933" s="7"/>
      <c r="W933" s="7"/>
      <c r="X933" s="7"/>
      <c r="Y933" s="7"/>
      <c r="Z933" s="7"/>
      <c r="AA933" s="7"/>
      <c r="AB933" s="7"/>
      <c r="AC933" s="7"/>
      <c r="AD933" s="7"/>
      <c r="AE933" s="7"/>
      <c r="AF933" s="7"/>
      <c r="AG933" s="7"/>
      <c r="AH933" s="7"/>
      <c r="AI933" s="7"/>
      <c r="AJ933" s="7"/>
    </row>
    <row r="934">
      <c r="A934" s="7"/>
      <c r="B934" s="7"/>
      <c r="C934" s="7"/>
      <c r="D934" s="7"/>
      <c r="E934" s="7"/>
      <c r="F934" s="7"/>
      <c r="G934" s="7"/>
      <c r="H934" s="7"/>
      <c r="I934" s="7"/>
      <c r="J934" s="7"/>
      <c r="K934" s="7"/>
      <c r="L934" s="7"/>
      <c r="M934" s="7"/>
      <c r="N934" s="7"/>
      <c r="O934" s="7"/>
      <c r="P934" s="7"/>
      <c r="Q934" s="7"/>
      <c r="R934" s="8"/>
      <c r="S934" s="7"/>
      <c r="T934" s="7"/>
      <c r="U934" s="7"/>
      <c r="V934" s="7"/>
      <c r="W934" s="7"/>
      <c r="X934" s="7"/>
      <c r="Y934" s="7"/>
      <c r="Z934" s="7"/>
      <c r="AA934" s="7"/>
      <c r="AB934" s="7"/>
      <c r="AC934" s="7"/>
      <c r="AD934" s="7"/>
      <c r="AE934" s="7"/>
      <c r="AF934" s="7"/>
      <c r="AG934" s="7"/>
      <c r="AH934" s="7"/>
      <c r="AI934" s="7"/>
      <c r="AJ934" s="7"/>
    </row>
    <row r="935">
      <c r="A935" s="7"/>
      <c r="B935" s="7"/>
      <c r="C935" s="7"/>
      <c r="D935" s="7"/>
      <c r="E935" s="7"/>
      <c r="F935" s="7"/>
      <c r="G935" s="7"/>
      <c r="H935" s="7"/>
      <c r="I935" s="7"/>
      <c r="J935" s="7"/>
      <c r="K935" s="7"/>
      <c r="L935" s="7"/>
      <c r="M935" s="7"/>
      <c r="N935" s="7"/>
      <c r="O935" s="7"/>
      <c r="P935" s="7"/>
      <c r="Q935" s="7"/>
      <c r="R935" s="8"/>
      <c r="S935" s="7"/>
      <c r="T935" s="7"/>
      <c r="U935" s="7"/>
      <c r="V935" s="7"/>
      <c r="W935" s="7"/>
      <c r="X935" s="7"/>
      <c r="Y935" s="7"/>
      <c r="Z935" s="7"/>
      <c r="AA935" s="7"/>
      <c r="AB935" s="7"/>
      <c r="AC935" s="7"/>
      <c r="AD935" s="7"/>
      <c r="AE935" s="7"/>
      <c r="AF935" s="7"/>
      <c r="AG935" s="7"/>
      <c r="AH935" s="7"/>
      <c r="AI935" s="7"/>
      <c r="AJ935" s="7"/>
    </row>
    <row r="936">
      <c r="A936" s="7"/>
      <c r="B936" s="7"/>
      <c r="C936" s="7"/>
      <c r="D936" s="7"/>
      <c r="E936" s="7"/>
      <c r="F936" s="7"/>
      <c r="G936" s="7"/>
      <c r="H936" s="7"/>
      <c r="I936" s="7"/>
      <c r="J936" s="7"/>
      <c r="K936" s="7"/>
      <c r="L936" s="7"/>
      <c r="M936" s="7"/>
      <c r="N936" s="7"/>
      <c r="O936" s="7"/>
      <c r="P936" s="7"/>
      <c r="Q936" s="7"/>
      <c r="R936" s="8"/>
      <c r="S936" s="7"/>
      <c r="T936" s="7"/>
      <c r="U936" s="7"/>
      <c r="V936" s="7"/>
      <c r="W936" s="7"/>
      <c r="X936" s="7"/>
      <c r="Y936" s="7"/>
      <c r="Z936" s="7"/>
      <c r="AA936" s="7"/>
      <c r="AB936" s="7"/>
      <c r="AC936" s="7"/>
      <c r="AD936" s="7"/>
      <c r="AE936" s="7"/>
      <c r="AF936" s="7"/>
      <c r="AG936" s="7"/>
      <c r="AH936" s="7"/>
      <c r="AI936" s="7"/>
      <c r="AJ936" s="7"/>
    </row>
    <row r="937">
      <c r="A937" s="7"/>
      <c r="B937" s="7"/>
      <c r="C937" s="7"/>
      <c r="D937" s="7"/>
      <c r="E937" s="7"/>
      <c r="F937" s="7"/>
      <c r="G937" s="7"/>
      <c r="H937" s="7"/>
      <c r="I937" s="7"/>
      <c r="J937" s="7"/>
      <c r="K937" s="7"/>
      <c r="L937" s="7"/>
      <c r="M937" s="7"/>
      <c r="N937" s="7"/>
      <c r="O937" s="7"/>
      <c r="P937" s="7"/>
      <c r="Q937" s="7"/>
      <c r="R937" s="8"/>
      <c r="S937" s="7"/>
      <c r="T937" s="7"/>
      <c r="U937" s="7"/>
      <c r="V937" s="7"/>
      <c r="W937" s="7"/>
      <c r="X937" s="7"/>
      <c r="Y937" s="7"/>
      <c r="Z937" s="7"/>
      <c r="AA937" s="7"/>
      <c r="AB937" s="7"/>
      <c r="AC937" s="7"/>
      <c r="AD937" s="7"/>
      <c r="AE937" s="7"/>
      <c r="AF937" s="7"/>
      <c r="AG937" s="7"/>
      <c r="AH937" s="7"/>
      <c r="AI937" s="7"/>
      <c r="AJ937" s="7"/>
    </row>
    <row r="938">
      <c r="A938" s="7"/>
      <c r="B938" s="7"/>
      <c r="C938" s="7"/>
      <c r="D938" s="7"/>
      <c r="E938" s="7"/>
      <c r="F938" s="7"/>
      <c r="G938" s="7"/>
      <c r="H938" s="7"/>
      <c r="I938" s="7"/>
      <c r="J938" s="7"/>
      <c r="K938" s="7"/>
      <c r="L938" s="7"/>
      <c r="M938" s="7"/>
      <c r="N938" s="7"/>
      <c r="O938" s="7"/>
      <c r="P938" s="7"/>
      <c r="Q938" s="7"/>
      <c r="R938" s="8"/>
      <c r="S938" s="7"/>
      <c r="T938" s="7"/>
      <c r="U938" s="7"/>
      <c r="V938" s="7"/>
      <c r="W938" s="7"/>
      <c r="X938" s="7"/>
      <c r="Y938" s="7"/>
      <c r="Z938" s="7"/>
      <c r="AA938" s="7"/>
      <c r="AB938" s="7"/>
      <c r="AC938" s="7"/>
      <c r="AD938" s="7"/>
      <c r="AE938" s="7"/>
      <c r="AF938" s="7"/>
      <c r="AG938" s="7"/>
      <c r="AH938" s="7"/>
      <c r="AI938" s="7"/>
      <c r="AJ938" s="7"/>
    </row>
    <row r="939">
      <c r="A939" s="7"/>
      <c r="B939" s="7"/>
      <c r="C939" s="7"/>
      <c r="D939" s="7"/>
      <c r="E939" s="7"/>
      <c r="F939" s="7"/>
      <c r="G939" s="7"/>
      <c r="H939" s="7"/>
      <c r="I939" s="7"/>
      <c r="J939" s="7"/>
      <c r="K939" s="7"/>
      <c r="L939" s="7"/>
      <c r="M939" s="7"/>
      <c r="N939" s="7"/>
      <c r="O939" s="7"/>
      <c r="P939" s="7"/>
      <c r="Q939" s="7"/>
      <c r="R939" s="8"/>
      <c r="S939" s="7"/>
      <c r="T939" s="7"/>
      <c r="U939" s="7"/>
      <c r="V939" s="7"/>
      <c r="W939" s="7"/>
      <c r="X939" s="7"/>
      <c r="Y939" s="7"/>
      <c r="Z939" s="7"/>
      <c r="AA939" s="7"/>
      <c r="AB939" s="7"/>
      <c r="AC939" s="7"/>
      <c r="AD939" s="7"/>
      <c r="AE939" s="7"/>
      <c r="AF939" s="7"/>
      <c r="AG939" s="7"/>
      <c r="AH939" s="7"/>
      <c r="AI939" s="7"/>
      <c r="AJ939" s="7"/>
    </row>
    <row r="940">
      <c r="A940" s="7"/>
      <c r="B940" s="7"/>
      <c r="C940" s="7"/>
      <c r="D940" s="7"/>
      <c r="E940" s="7"/>
      <c r="F940" s="7"/>
      <c r="G940" s="7"/>
      <c r="H940" s="7"/>
      <c r="I940" s="7"/>
      <c r="J940" s="7"/>
      <c r="K940" s="7"/>
      <c r="L940" s="7"/>
      <c r="M940" s="7"/>
      <c r="N940" s="7"/>
      <c r="O940" s="7"/>
      <c r="P940" s="7"/>
      <c r="Q940" s="7"/>
      <c r="R940" s="8"/>
      <c r="S940" s="7"/>
      <c r="T940" s="7"/>
      <c r="U940" s="7"/>
      <c r="V940" s="7"/>
      <c r="W940" s="7"/>
      <c r="X940" s="7"/>
      <c r="Y940" s="7"/>
      <c r="Z940" s="7"/>
      <c r="AA940" s="7"/>
      <c r="AB940" s="7"/>
      <c r="AC940" s="7"/>
      <c r="AD940" s="7"/>
      <c r="AE940" s="7"/>
      <c r="AF940" s="7"/>
      <c r="AG940" s="7"/>
      <c r="AH940" s="7"/>
      <c r="AI940" s="7"/>
      <c r="AJ940" s="7"/>
    </row>
  </sheetData>
  <dataValidations>
    <dataValidation type="list" allowBlank="1" showDropDown="1" showErrorMessage="1" sqref="E2:P940">
      <formula1>"yes,no,unsure"</formula1>
    </dataValidation>
    <dataValidation type="list" allowBlank="1" sqref="C1:C940">
      <formula1>'Dataset Descriptions'!$A$2:$A$10</formula1>
    </dataValidation>
  </dataValidations>
  <hyperlinks>
    <hyperlink r:id="rId1" ref="Q3"/>
    <hyperlink r:id="rId2" ref="Q4"/>
    <hyperlink r:id="rId3" ref="Q5"/>
    <hyperlink r:id="rId4" ref="Q6"/>
    <hyperlink r:id="rId5" ref="Q7"/>
    <hyperlink r:id="rId6" ref="Q8"/>
    <hyperlink r:id="rId7" ref="Q9"/>
    <hyperlink r:id="rId8" ref="Q10"/>
    <hyperlink r:id="rId9" ref="Q12"/>
    <hyperlink r:id="rId10" ref="Q13"/>
    <hyperlink r:id="rId11" ref="Q14"/>
    <hyperlink r:id="rId12" ref="Q15"/>
    <hyperlink r:id="rId13" ref="Q16"/>
    <hyperlink r:id="rId14" ref="Q18"/>
    <hyperlink r:id="rId15" ref="Q19"/>
    <hyperlink r:id="rId16" ref="Q21"/>
    <hyperlink r:id="rId17" ref="Q22"/>
    <hyperlink r:id="rId18" ref="Q23"/>
    <hyperlink r:id="rId19" ref="Q24"/>
    <hyperlink r:id="rId20" ref="Q25"/>
    <hyperlink r:id="rId21" ref="Q28"/>
    <hyperlink r:id="rId22" ref="Q29"/>
    <hyperlink r:id="rId23" ref="Q30"/>
    <hyperlink r:id="rId24" ref="Q31"/>
    <hyperlink r:id="rId25" ref="Q33"/>
    <hyperlink r:id="rId26" location="proj" ref="Q34"/>
    <hyperlink r:id="rId27" ref="Q37"/>
    <hyperlink r:id="rId28" ref="Q40"/>
    <hyperlink r:id="rId29" ref="Q41"/>
    <hyperlink r:id="rId30" ref="Q42"/>
    <hyperlink r:id="rId31" ref="Q43"/>
    <hyperlink r:id="rId32" ref="Q44"/>
    <hyperlink r:id="rId33" ref="Q45"/>
    <hyperlink r:id="rId34" ref="Q46"/>
    <hyperlink r:id="rId35" ref="Q47"/>
    <hyperlink r:id="rId36" ref="Q48"/>
    <hyperlink r:id="rId37" ref="Q49"/>
    <hyperlink r:id="rId38" ref="Q50"/>
    <hyperlink r:id="rId39" ref="Q51"/>
    <hyperlink r:id="rId40" ref="Q52"/>
    <hyperlink r:id="rId41" ref="Q54"/>
    <hyperlink r:id="rId42" ref="Q55"/>
    <hyperlink r:id="rId43" ref="Q56"/>
    <hyperlink r:id="rId44" ref="Q57"/>
    <hyperlink r:id="rId45" ref="Q58"/>
    <hyperlink r:id="rId46" ref="Q59"/>
    <hyperlink r:id="rId47" ref="Q60"/>
    <hyperlink r:id="rId48" ref="Q61"/>
    <hyperlink r:id="rId49" ref="Q62"/>
    <hyperlink r:id="rId50" ref="Q63"/>
    <hyperlink r:id="rId51" ref="Q64"/>
    <hyperlink r:id="rId52" ref="Q66"/>
    <hyperlink r:id="rId53" ref="Q67"/>
    <hyperlink r:id="rId54" ref="Q69"/>
    <hyperlink r:id="rId55" ref="Q70"/>
    <hyperlink r:id="rId56" ref="Q72"/>
    <hyperlink r:id="rId57" ref="Q75"/>
    <hyperlink r:id="rId58" ref="Q76"/>
    <hyperlink r:id="rId59" ref="Q77"/>
    <hyperlink r:id="rId60" ref="Q78"/>
    <hyperlink r:id="rId61" ref="Q79"/>
    <hyperlink r:id="rId62" ref="Q80"/>
    <hyperlink r:id="rId63" ref="Q81"/>
    <hyperlink r:id="rId64" ref="Q82"/>
    <hyperlink r:id="rId65" ref="Q84"/>
    <hyperlink r:id="rId66" ref="Q85"/>
    <hyperlink r:id="rId67" ref="Q87"/>
    <hyperlink r:id="rId68" ref="Q88"/>
    <hyperlink r:id="rId69" ref="Q89"/>
    <hyperlink r:id="rId70" ref="Q90"/>
    <hyperlink r:id="rId71" ref="Q91"/>
    <hyperlink r:id="rId72" ref="Q93"/>
    <hyperlink r:id="rId73" ref="Q94"/>
    <hyperlink r:id="rId74" ref="Q95"/>
    <hyperlink r:id="rId75" ref="Q96"/>
    <hyperlink r:id="rId76" ref="Q97"/>
    <hyperlink r:id="rId77" ref="Q102"/>
    <hyperlink r:id="rId78" ref="Q103"/>
    <hyperlink r:id="rId79" ref="Q105"/>
    <hyperlink r:id="rId80" ref="Q111"/>
    <hyperlink r:id="rId81" ref="Q112"/>
    <hyperlink r:id="rId82" ref="Q113"/>
    <hyperlink r:id="rId83" ref="Q114"/>
    <hyperlink r:id="rId84" ref="Q115"/>
    <hyperlink r:id="rId85" ref="Q118"/>
    <hyperlink r:id="rId86" ref="Q119"/>
    <hyperlink r:id="rId87" ref="Q120"/>
    <hyperlink r:id="rId88" ref="Q121"/>
    <hyperlink r:id="rId89" ref="Q122"/>
    <hyperlink r:id="rId90" ref="Q123"/>
    <hyperlink r:id="rId91" ref="Q124"/>
    <hyperlink r:id="rId92" ref="Q125"/>
    <hyperlink r:id="rId93" ref="Q128"/>
    <hyperlink r:id="rId94" location="!/year/2016/" ref="Q129"/>
    <hyperlink r:id="rId95" ref="Q130"/>
    <hyperlink r:id="rId96" location="map" ref="Q131"/>
    <hyperlink r:id="rId97" ref="Q132"/>
    <hyperlink r:id="rId98" ref="Q133"/>
    <hyperlink r:id="rId99" ref="Q135"/>
    <hyperlink r:id="rId100" ref="Q136"/>
    <hyperlink r:id="rId101" ref="Q138"/>
    <hyperlink r:id="rId102" ref="Q139"/>
    <hyperlink r:id="rId103" ref="Q140"/>
    <hyperlink r:id="rId104" ref="Q141"/>
    <hyperlink r:id="rId105" ref="Q142"/>
    <hyperlink r:id="rId106" ref="Q144"/>
    <hyperlink r:id="rId107" ref="Q145"/>
    <hyperlink r:id="rId108" ref="Q147"/>
    <hyperlink r:id="rId109" ref="Q148"/>
    <hyperlink r:id="rId110" ref="Q149"/>
    <hyperlink r:id="rId111" ref="Q150"/>
    <hyperlink r:id="rId112" ref="Q151"/>
    <hyperlink r:id="rId113" ref="Q152"/>
    <hyperlink r:id="rId114" ref="Q154"/>
    <hyperlink r:id="rId115" ref="Q156"/>
    <hyperlink r:id="rId116" ref="Q157"/>
    <hyperlink r:id="rId117" ref="Q158"/>
    <hyperlink r:id="rId118" ref="Q159"/>
    <hyperlink r:id="rId119" ref="Q160"/>
    <hyperlink r:id="rId120" ref="Q161"/>
    <hyperlink r:id="rId121" ref="Q162"/>
    <hyperlink r:id="rId122" ref="Q163"/>
    <hyperlink r:id="rId123" ref="Q164"/>
    <hyperlink r:id="rId124" ref="Q165"/>
    <hyperlink r:id="rId125" location="bulk" ref="Q166"/>
    <hyperlink r:id="rId126" ref="Q168"/>
    <hyperlink r:id="rId127" ref="Q169"/>
    <hyperlink r:id="rId128" ref="Q172"/>
    <hyperlink r:id="rId129" ref="Q173"/>
    <hyperlink r:id="rId130" ref="Q174"/>
    <hyperlink r:id="rId131" ref="Q175"/>
    <hyperlink r:id="rId132" ref="Q176"/>
    <hyperlink r:id="rId133" ref="Q177"/>
    <hyperlink r:id="rId134" ref="Q178"/>
    <hyperlink r:id="rId135" ref="Q181"/>
    <hyperlink r:id="rId136" ref="Q182"/>
    <hyperlink r:id="rId137" ref="Q183"/>
    <hyperlink r:id="rId138" ref="Q184"/>
    <hyperlink r:id="rId139" ref="Q185"/>
    <hyperlink r:id="rId140" ref="Q186"/>
    <hyperlink r:id="rId141" ref="Q187"/>
    <hyperlink r:id="rId142" ref="Q188"/>
    <hyperlink r:id="rId143" ref="Q189"/>
    <hyperlink r:id="rId144" ref="Q190"/>
    <hyperlink r:id="rId145" ref="Q192"/>
    <hyperlink r:id="rId146" ref="Q193"/>
    <hyperlink r:id="rId147" ref="Q194"/>
    <hyperlink r:id="rId148" ref="Q195"/>
    <hyperlink r:id="rId149" ref="Q196"/>
    <hyperlink r:id="rId150" ref="Q199"/>
    <hyperlink r:id="rId151" ref="Q201"/>
    <hyperlink r:id="rId152" ref="Q202"/>
    <hyperlink r:id="rId153" ref="Q203"/>
    <hyperlink r:id="rId154" ref="Q204"/>
    <hyperlink r:id="rId155" ref="Q205"/>
    <hyperlink r:id="rId156" ref="Q206"/>
    <hyperlink r:id="rId157" ref="Q208"/>
    <hyperlink r:id="rId158" ref="Q210"/>
    <hyperlink r:id="rId159" ref="Q211"/>
    <hyperlink r:id="rId160" ref="Q212"/>
    <hyperlink r:id="rId161" ref="Q213"/>
    <hyperlink r:id="rId162" ref="Q214"/>
    <hyperlink r:id="rId163" ref="Q216"/>
    <hyperlink r:id="rId164" ref="Q219"/>
    <hyperlink r:id="rId165" ref="Q220"/>
    <hyperlink r:id="rId166" ref="Q221"/>
    <hyperlink r:id="rId167" ref="Q222"/>
    <hyperlink r:id="rId168" ref="Q223"/>
    <hyperlink r:id="rId169" ref="Q226"/>
    <hyperlink r:id="rId170" ref="Q227"/>
    <hyperlink r:id="rId171" ref="Q228"/>
    <hyperlink r:id="rId172" ref="Q229"/>
    <hyperlink r:id="rId173" ref="Q230"/>
    <hyperlink r:id="rId174" ref="Q231"/>
    <hyperlink r:id="rId175" ref="Q232"/>
    <hyperlink r:id="rId176" ref="Q233"/>
    <hyperlink r:id="rId177" ref="Q235"/>
    <hyperlink r:id="rId178" ref="Q238"/>
    <hyperlink r:id="rId179" ref="Q239"/>
    <hyperlink r:id="rId180" ref="Q240"/>
    <hyperlink r:id="rId181" ref="Q241"/>
    <hyperlink r:id="rId182" ref="Q244"/>
    <hyperlink r:id="rId183" ref="Q246"/>
    <hyperlink r:id="rId184" ref="Q247"/>
    <hyperlink r:id="rId185" ref="Q248"/>
    <hyperlink r:id="rId186" ref="Q249"/>
    <hyperlink r:id="rId187" ref="Q250"/>
    <hyperlink r:id="rId188" ref="Q251"/>
    <hyperlink r:id="rId189" ref="Q254"/>
    <hyperlink r:id="rId190" ref="Q255"/>
    <hyperlink r:id="rId191" ref="Q256"/>
    <hyperlink r:id="rId192" ref="Q257"/>
    <hyperlink r:id="rId193" ref="Q258"/>
    <hyperlink r:id="rId194" ref="Q259"/>
    <hyperlink r:id="rId195" ref="Q261"/>
    <hyperlink r:id="rId196" ref="Q264"/>
    <hyperlink r:id="rId197" ref="Q265"/>
    <hyperlink r:id="rId198" ref="Q266"/>
    <hyperlink r:id="rId199" ref="Q267"/>
    <hyperlink r:id="rId200" ref="Q268"/>
    <hyperlink r:id="rId201" ref="Q271"/>
    <hyperlink r:id="rId202" location="section=Purchases" ref="Q273"/>
    <hyperlink r:id="rId203" ref="Q274"/>
    <hyperlink r:id="rId204" ref="Q276"/>
    <hyperlink r:id="rId205" ref="Q277"/>
    <hyperlink r:id="rId206" ref="Q278"/>
    <hyperlink r:id="rId207" ref="Q280"/>
    <hyperlink r:id="rId208" ref="Q281"/>
    <hyperlink r:id="rId209" ref="Q282"/>
    <hyperlink r:id="rId210" ref="Q283"/>
    <hyperlink r:id="rId211" ref="Q284"/>
    <hyperlink r:id="rId212" ref="Q285"/>
    <hyperlink r:id="rId213" ref="Q286"/>
    <hyperlink r:id="rId214" ref="Q287"/>
    <hyperlink r:id="rId215" ref="Q288"/>
    <hyperlink r:id="rId216" ref="Q289"/>
    <hyperlink r:id="rId217" ref="Q290"/>
    <hyperlink r:id="rId218" ref="Q291"/>
    <hyperlink r:id="rId219" ref="Q292"/>
    <hyperlink r:id="rId220" ref="Q293"/>
    <hyperlink r:id="rId221" ref="Q294"/>
    <hyperlink r:id="rId222" ref="Q295"/>
    <hyperlink r:id="rId223" ref="Q296"/>
    <hyperlink r:id="rId224" ref="Q298"/>
    <hyperlink r:id="rId225" ref="Q300"/>
    <hyperlink r:id="rId226" ref="Q301"/>
    <hyperlink r:id="rId227" ref="Q302"/>
    <hyperlink r:id="rId228" ref="Q303"/>
    <hyperlink r:id="rId229" ref="Q307"/>
    <hyperlink r:id="rId230" ref="Q308"/>
    <hyperlink r:id="rId231" ref="Q309"/>
    <hyperlink r:id="rId232" ref="Q310"/>
    <hyperlink r:id="rId233" ref="Q311"/>
    <hyperlink r:id="rId234" ref="Q312"/>
    <hyperlink r:id="rId235" ref="Q313"/>
    <hyperlink r:id="rId236" ref="Q314"/>
    <hyperlink r:id="rId237" ref="Q316"/>
    <hyperlink r:id="rId238" ref="Q318"/>
    <hyperlink r:id="rId239" ref="Q319"/>
    <hyperlink r:id="rId240" ref="Q320"/>
    <hyperlink r:id="rId241" ref="Q321"/>
    <hyperlink r:id="rId242" ref="Q322"/>
    <hyperlink r:id="rId243" ref="Q323"/>
    <hyperlink r:id="rId244" ref="Q324"/>
    <hyperlink r:id="rId245" ref="Q325"/>
    <hyperlink r:id="rId246" ref="Q327"/>
    <hyperlink r:id="rId247" ref="Q328"/>
    <hyperlink r:id="rId248" ref="Q330"/>
    <hyperlink r:id="rId249" ref="Q331"/>
    <hyperlink r:id="rId250" ref="Q332"/>
    <hyperlink r:id="rId251" ref="Q334"/>
    <hyperlink r:id="rId252" ref="Q336"/>
    <hyperlink r:id="rId253" ref="Q337"/>
    <hyperlink r:id="rId254" ref="Q338"/>
    <hyperlink r:id="rId255" ref="Q339"/>
    <hyperlink r:id="rId256" ref="Q340"/>
    <hyperlink r:id="rId257" ref="Q341"/>
    <hyperlink r:id="rId258" ref="Q342"/>
    <hyperlink r:id="rId259" ref="Q343"/>
    <hyperlink r:id="rId260" ref="Q344"/>
    <hyperlink r:id="rId261" ref="Q346"/>
    <hyperlink r:id="rId262" ref="Q348"/>
    <hyperlink r:id="rId263" ref="Q349"/>
    <hyperlink r:id="rId264" ref="Q350"/>
    <hyperlink r:id="rId265" ref="Q353"/>
    <hyperlink r:id="rId266" ref="Q354"/>
    <hyperlink r:id="rId267" ref="Q355"/>
    <hyperlink r:id="rId268" ref="Q356"/>
    <hyperlink r:id="rId269" ref="Q357"/>
    <hyperlink r:id="rId270" ref="Q358"/>
    <hyperlink r:id="rId271" ref="Q360"/>
    <hyperlink r:id="rId272" ref="Q362"/>
    <hyperlink r:id="rId273" ref="Q363"/>
    <hyperlink r:id="rId274" ref="Q364"/>
    <hyperlink r:id="rId275" ref="Q365"/>
    <hyperlink r:id="rId276" ref="Q366"/>
    <hyperlink r:id="rId277" ref="Q367"/>
    <hyperlink r:id="rId278" ref="Q368"/>
    <hyperlink r:id="rId279" ref="Q369"/>
    <hyperlink r:id="rId280" ref="Q371"/>
    <hyperlink r:id="rId281" ref="Q372"/>
    <hyperlink r:id="rId282" ref="Q373"/>
    <hyperlink r:id="rId283" ref="Q374"/>
    <hyperlink r:id="rId284" ref="Q375"/>
    <hyperlink r:id="rId285" ref="Q378"/>
    <hyperlink r:id="rId286" ref="Q379"/>
    <hyperlink r:id="rId287" ref="Q381"/>
    <hyperlink r:id="rId288" ref="Q382"/>
    <hyperlink r:id="rId289" ref="Q383"/>
    <hyperlink r:id="rId290" ref="Q384"/>
    <hyperlink r:id="rId291" ref="Q385"/>
    <hyperlink r:id="rId292" ref="Q387"/>
    <hyperlink r:id="rId293" ref="Q388"/>
    <hyperlink r:id="rId294" ref="Q390"/>
    <hyperlink r:id="rId295" ref="Q391"/>
    <hyperlink r:id="rId296" ref="Q392"/>
    <hyperlink r:id="rId297" ref="Q393"/>
    <hyperlink r:id="rId298" ref="Q394"/>
    <hyperlink r:id="rId299" ref="Q395"/>
    <hyperlink r:id="rId300" ref="Q397"/>
    <hyperlink r:id="rId301" ref="Q398"/>
    <hyperlink r:id="rId302" ref="Q399"/>
    <hyperlink r:id="rId303" ref="Q400"/>
    <hyperlink r:id="rId304" ref="Q401"/>
    <hyperlink r:id="rId305" ref="Q402"/>
    <hyperlink r:id="rId306" ref="Q403"/>
    <hyperlink r:id="rId307" ref="Q406"/>
    <hyperlink r:id="rId308" ref="Q407"/>
    <hyperlink r:id="rId309" ref="Q408"/>
    <hyperlink r:id="rId310" ref="Q409"/>
    <hyperlink r:id="rId311" ref="Q410"/>
    <hyperlink r:id="rId312" ref="Q411"/>
    <hyperlink r:id="rId313" location="reports" ref="Q412"/>
    <hyperlink r:id="rId314" ref="Q414"/>
    <hyperlink r:id="rId315" ref="Q415"/>
    <hyperlink r:id="rId316" ref="Q416"/>
    <hyperlink r:id="rId317" ref="Q417"/>
    <hyperlink r:id="rId318" ref="Q418"/>
    <hyperlink r:id="rId319" ref="Q419"/>
    <hyperlink r:id="rId320" ref="Q420"/>
    <hyperlink r:id="rId321" ref="Q421"/>
    <hyperlink r:id="rId322" ref="Q422"/>
    <hyperlink r:id="rId323" ref="Q423"/>
    <hyperlink r:id="rId324" location="!/vizhome/Crashtools8_2/Main" ref="Q424"/>
    <hyperlink r:id="rId325" ref="Q425"/>
    <hyperlink r:id="rId326" ref="Q426"/>
    <hyperlink r:id="rId327" ref="Q427"/>
    <hyperlink r:id="rId328" ref="Q428"/>
    <hyperlink r:id="rId329" ref="Q429"/>
    <hyperlink r:id="rId330" ref="Q430"/>
    <hyperlink r:id="rId331" ref="Q431"/>
    <hyperlink r:id="rId332" ref="Q432"/>
    <hyperlink r:id="rId333" ref="Q433"/>
    <hyperlink r:id="rId334" ref="Q434"/>
    <hyperlink r:id="rId335" ref="Q435"/>
    <hyperlink r:id="rId336" ref="Q436"/>
    <hyperlink r:id="rId337" ref="Q437"/>
    <hyperlink r:id="rId338" ref="Q438"/>
    <hyperlink r:id="rId339" ref="Q439"/>
    <hyperlink r:id="rId340" ref="Q440"/>
    <hyperlink r:id="rId341" ref="Q441"/>
    <hyperlink r:id="rId342" ref="Q442"/>
    <hyperlink r:id="rId343" ref="Q443"/>
    <hyperlink r:id="rId344" ref="Q444"/>
    <hyperlink r:id="rId345" ref="Q445"/>
    <hyperlink r:id="rId346" ref="Q447"/>
    <hyperlink r:id="rId347" ref="Q449"/>
    <hyperlink r:id="rId348" ref="Q451"/>
    <hyperlink r:id="rId349" ref="Q452"/>
    <hyperlink r:id="rId350" ref="Q453"/>
    <hyperlink r:id="rId351" ref="Q454"/>
    <hyperlink r:id="rId352" ref="Q455"/>
    <hyperlink r:id="rId353" ref="Q456"/>
    <hyperlink r:id="rId354" ref="Q457"/>
    <hyperlink r:id="rId355" ref="Q459"/>
    <hyperlink r:id="rId356" ref="Q460"/>
    <hyperlink r:id="rId357" ref="Q462"/>
    <hyperlink r:id="rId358" ref="Q463"/>
    <hyperlink r:id="rId359" ref="Q465"/>
    <hyperlink r:id="rId360" ref="Q466"/>
    <hyperlink r:id="rId361" ref="Q469"/>
  </hyperlinks>
  <drawing r:id="rId36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1.0"/>
    <col customWidth="1" min="2" max="2" width="6.14"/>
    <col customWidth="1" min="4" max="4" width="19.57"/>
    <col customWidth="1" min="5" max="5" width="7.71"/>
  </cols>
  <sheetData>
    <row r="1">
      <c r="A1" s="26" t="s">
        <v>791</v>
      </c>
      <c r="B1" s="26" t="s">
        <v>19</v>
      </c>
      <c r="D1" s="26" t="s">
        <v>792</v>
      </c>
      <c r="E1" s="26" t="s">
        <v>793</v>
      </c>
    </row>
    <row r="2">
      <c r="A2" s="18">
        <v>0.0</v>
      </c>
      <c r="B2" s="18" t="s">
        <v>794</v>
      </c>
      <c r="D2" s="6" t="s">
        <v>4</v>
      </c>
      <c r="E2" s="18">
        <v>0.0</v>
      </c>
    </row>
    <row r="3">
      <c r="A3" s="18">
        <f>E14*0.6</f>
        <v>60</v>
      </c>
      <c r="B3" s="18" t="s">
        <v>795</v>
      </c>
      <c r="C3" s="18"/>
      <c r="D3" s="6" t="s">
        <v>5</v>
      </c>
      <c r="E3" s="18">
        <v>5.0</v>
      </c>
    </row>
    <row r="4">
      <c r="A4" s="18">
        <f>E14*0.63</f>
        <v>63</v>
      </c>
      <c r="B4" s="18" t="s">
        <v>796</v>
      </c>
      <c r="C4" s="27"/>
      <c r="D4" s="6" t="s">
        <v>6</v>
      </c>
      <c r="E4" s="18">
        <v>5.0</v>
      </c>
    </row>
    <row r="5">
      <c r="A5" s="18">
        <f>E14*0.67</f>
        <v>67</v>
      </c>
      <c r="B5" s="18" t="s">
        <v>797</v>
      </c>
      <c r="D5" s="6" t="s">
        <v>7</v>
      </c>
      <c r="E5" s="18">
        <v>15.0</v>
      </c>
    </row>
    <row r="6">
      <c r="A6" s="18">
        <f>E14*0.7</f>
        <v>70</v>
      </c>
      <c r="B6" s="18" t="s">
        <v>798</v>
      </c>
      <c r="D6" s="6" t="s">
        <v>8</v>
      </c>
      <c r="E6" s="18">
        <v>5.0</v>
      </c>
    </row>
    <row r="7">
      <c r="A7" s="18">
        <f>E14*0.73</f>
        <v>73</v>
      </c>
      <c r="B7" s="18" t="s">
        <v>799</v>
      </c>
      <c r="D7" s="6" t="s">
        <v>9</v>
      </c>
      <c r="E7" s="18">
        <v>40.0</v>
      </c>
    </row>
    <row r="8">
      <c r="A8" s="18">
        <f>E14*0.77</f>
        <v>77</v>
      </c>
      <c r="B8" s="18" t="s">
        <v>800</v>
      </c>
      <c r="D8" s="6" t="s">
        <v>10</v>
      </c>
      <c r="E8" s="18">
        <v>5.0</v>
      </c>
    </row>
    <row r="9">
      <c r="A9" s="18">
        <f>E14*0.8</f>
        <v>80</v>
      </c>
      <c r="B9" s="18" t="s">
        <v>801</v>
      </c>
      <c r="D9" s="6" t="s">
        <v>11</v>
      </c>
      <c r="E9" s="18">
        <v>5.0</v>
      </c>
    </row>
    <row r="10">
      <c r="A10" s="18">
        <f>E14*0.83</f>
        <v>83</v>
      </c>
      <c r="B10" s="18" t="s">
        <v>802</v>
      </c>
      <c r="D10" s="6" t="s">
        <v>12</v>
      </c>
      <c r="E10" s="18">
        <v>5.0</v>
      </c>
    </row>
    <row r="11">
      <c r="A11" s="18">
        <f>E14*0.87</f>
        <v>87</v>
      </c>
      <c r="B11" s="18" t="s">
        <v>803</v>
      </c>
      <c r="D11" s="6" t="s">
        <v>13</v>
      </c>
      <c r="E11" s="18">
        <v>5.0</v>
      </c>
    </row>
    <row r="12">
      <c r="A12" s="18">
        <f>E14*0.9</f>
        <v>90</v>
      </c>
      <c r="B12" s="18" t="s">
        <v>804</v>
      </c>
      <c r="D12" s="6" t="s">
        <v>14</v>
      </c>
      <c r="E12" s="18">
        <v>5.0</v>
      </c>
    </row>
    <row r="13">
      <c r="A13" s="18">
        <f>E14*0.93</f>
        <v>93</v>
      </c>
      <c r="B13" s="18" t="s">
        <v>805</v>
      </c>
      <c r="D13" s="6" t="s">
        <v>15</v>
      </c>
      <c r="E13" s="18">
        <v>5.0</v>
      </c>
    </row>
    <row r="14">
      <c r="A14" s="18">
        <f>E14*0.97</f>
        <v>97</v>
      </c>
      <c r="B14" s="18" t="s">
        <v>806</v>
      </c>
      <c r="E14" s="2">
        <f>SUM(E2:E13)</f>
        <v>100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0.14"/>
    <col customWidth="1" min="2" max="2" width="59.86"/>
  </cols>
  <sheetData>
    <row r="1">
      <c r="A1" s="26" t="s">
        <v>807</v>
      </c>
      <c r="B1" s="26" t="s">
        <v>3</v>
      </c>
    </row>
    <row r="2">
      <c r="A2" s="6" t="s">
        <v>28</v>
      </c>
      <c r="B2" s="18" t="s">
        <v>808</v>
      </c>
    </row>
    <row r="3">
      <c r="A3" s="6" t="s">
        <v>31</v>
      </c>
      <c r="B3" s="18" t="s">
        <v>809</v>
      </c>
    </row>
    <row r="4">
      <c r="A4" s="6" t="s">
        <v>40</v>
      </c>
      <c r="B4" s="18" t="s">
        <v>810</v>
      </c>
    </row>
    <row r="5">
      <c r="A5" s="6" t="s">
        <v>24</v>
      </c>
      <c r="B5" s="18" t="s">
        <v>811</v>
      </c>
    </row>
    <row r="6">
      <c r="A6" s="6" t="s">
        <v>21</v>
      </c>
      <c r="B6" s="18" t="s">
        <v>812</v>
      </c>
    </row>
    <row r="7">
      <c r="A7" s="6" t="s">
        <v>34</v>
      </c>
      <c r="B7" s="18" t="s">
        <v>813</v>
      </c>
    </row>
    <row r="8">
      <c r="A8" s="6" t="s">
        <v>43</v>
      </c>
      <c r="B8" s="18" t="s">
        <v>814</v>
      </c>
    </row>
    <row r="9">
      <c r="A9" s="6" t="s">
        <v>37</v>
      </c>
      <c r="B9" s="18" t="s">
        <v>815</v>
      </c>
    </row>
    <row r="10">
      <c r="A10" s="6" t="s">
        <v>46</v>
      </c>
      <c r="B10" s="18" t="s">
        <v>816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7.29"/>
    <col customWidth="1" min="3" max="3" width="7.71"/>
    <col customWidth="1" min="4" max="4" width="28.57"/>
  </cols>
  <sheetData>
    <row r="1">
      <c r="A1" s="28" t="s">
        <v>817</v>
      </c>
      <c r="B1" s="26" t="s">
        <v>18</v>
      </c>
      <c r="C1" s="26" t="s">
        <v>19</v>
      </c>
      <c r="D1" s="26" t="s">
        <v>818</v>
      </c>
      <c r="E1" s="26" t="s">
        <v>17</v>
      </c>
    </row>
    <row r="2">
      <c r="A2" s="29" t="str">
        <f t="array" ref="A2">INDEX('Census Data'!$B$2:$B$504, MATCH(0, COUNTIF($A$1:A1, 'Census Data'!$B$2:$B$504), 0))</f>
        <v>Alabama</v>
      </c>
      <c r="B2">
        <f>ROUND(AVERAGEIF('Census Data'!B$1:B$1004,A2,'Census Data'!S$1:S$1004),0)</f>
        <v>37</v>
      </c>
      <c r="C2" t="str">
        <f>VLOOKUP(B2,'Grading Scale'!$A$2:$B$14, 2)</f>
        <v>F</v>
      </c>
      <c r="D2" s="18"/>
    </row>
    <row r="3">
      <c r="A3" s="29" t="str">
        <f t="array" ref="A3">INDEX('Census Data'!$B$2:$B$504, MATCH(0, COUNTIF($A$1:A2, 'Census Data'!$B$2:$B$504), 0))</f>
        <v>Alaska</v>
      </c>
      <c r="B3">
        <f>ROUND(AVERAGEIF('Census Data'!B$1:B$1004,A3,'Census Data'!S$1:S$1004),0)</f>
        <v>47</v>
      </c>
      <c r="C3" t="str">
        <f>VLOOKUP(B3,'Grading Scale'!$A$2:$B$14, 2)</f>
        <v>F</v>
      </c>
    </row>
    <row r="4">
      <c r="A4" s="29" t="str">
        <f t="array" ref="A4">INDEX('Census Data'!$B$2:$B$504, MATCH(0, COUNTIF($A$1:A3, 'Census Data'!$B$2:$B$504), 0))</f>
        <v>Arizona</v>
      </c>
      <c r="B4">
        <f>ROUND(AVERAGEIF('Census Data'!B$1:B$1004,A4,'Census Data'!S$1:S$1004),0)</f>
        <v>40</v>
      </c>
      <c r="C4" t="str">
        <f>VLOOKUP(B4,'Grading Scale'!$A$2:$B$14, 2)</f>
        <v>F</v>
      </c>
    </row>
    <row r="5">
      <c r="A5" s="29" t="str">
        <f t="array" ref="A5">INDEX('Census Data'!$B$2:$B$504, MATCH(0, COUNTIF($A$1:A4, 'Census Data'!$B$2:$B$504), 0))</f>
        <v>Arkansas</v>
      </c>
      <c r="B5">
        <f>ROUND(AVERAGEIF('Census Data'!B$1:B$1004,A5,'Census Data'!S$1:S$1004),0)</f>
        <v>46</v>
      </c>
      <c r="C5" t="str">
        <f>VLOOKUP(B5,'Grading Scale'!$A$2:$B$14, 2)</f>
        <v>F</v>
      </c>
    </row>
    <row r="6">
      <c r="A6" s="29" t="str">
        <f t="array" ref="A6">INDEX('Census Data'!$B$2:$B$504, MATCH(0, COUNTIF($A$1:A5, 'Census Data'!$B$2:$B$504), 0))</f>
        <v>California</v>
      </c>
      <c r="B6">
        <f>ROUND(AVERAGEIF('Census Data'!B$1:B$1004,A6,'Census Data'!S$1:S$1004),0)</f>
        <v>42</v>
      </c>
      <c r="C6" t="str">
        <f>VLOOKUP(B6,'Grading Scale'!$A$2:$B$14, 2)</f>
        <v>F</v>
      </c>
      <c r="D6" s="25" t="s">
        <v>819</v>
      </c>
    </row>
    <row r="7">
      <c r="A7" s="29" t="str">
        <f t="array" ref="A7">INDEX('Census Data'!$B$2:$B$504, MATCH(0, COUNTIF($A$1:A6, 'Census Data'!$B$2:$B$504), 0))</f>
        <v>Colorado</v>
      </c>
      <c r="B7">
        <f>ROUND(AVERAGEIF('Census Data'!B$1:B$1004,A7,'Census Data'!S$1:S$1004),0)</f>
        <v>57</v>
      </c>
      <c r="C7" t="str">
        <f>VLOOKUP(B7,'Grading Scale'!$A$2:$B$14, 2)</f>
        <v>F</v>
      </c>
      <c r="D7" s="25" t="s">
        <v>820</v>
      </c>
    </row>
    <row r="8">
      <c r="A8" s="29" t="str">
        <f t="array" ref="A8">INDEX('Census Data'!$B$2:$B$504, MATCH(0, COUNTIF($A$1:A7, 'Census Data'!$B$2:$B$504), 0))</f>
        <v>Connecticut</v>
      </c>
      <c r="B8">
        <f>ROUND(AVERAGEIF('Census Data'!B$1:B$1004,A8,'Census Data'!S$1:S$1004),0)</f>
        <v>84</v>
      </c>
      <c r="C8" t="str">
        <f>VLOOKUP(B8,'Grading Scale'!$A$2:$B$14, 2)</f>
        <v>B</v>
      </c>
      <c r="D8" s="25" t="s">
        <v>821</v>
      </c>
    </row>
    <row r="9">
      <c r="A9" s="29" t="str">
        <f t="array" ref="A9">INDEX('Census Data'!$B$2:$B$504, MATCH(0, COUNTIF($A$1:A8, 'Census Data'!$B$2:$B$504), 0))</f>
        <v>Delaware</v>
      </c>
      <c r="B9">
        <f>ROUND(AVERAGEIF('Census Data'!B$1:B$1004,A9,'Census Data'!S$1:S$1004),0)</f>
        <v>48</v>
      </c>
      <c r="C9" t="str">
        <f>VLOOKUP(B9,'Grading Scale'!$A$2:$B$14, 2)</f>
        <v>F</v>
      </c>
      <c r="D9" s="25" t="s">
        <v>822</v>
      </c>
    </row>
    <row r="10">
      <c r="A10" s="29" t="str">
        <f t="array" ref="A10">INDEX('Census Data'!$B$2:$B$504, MATCH(0, COUNTIF($A$1:A9, 'Census Data'!$B$2:$B$504), 0))</f>
        <v>Florida</v>
      </c>
      <c r="B10">
        <f>ROUND(AVERAGEIF('Census Data'!B$1:B$1004,A10,'Census Data'!S$1:S$1004),0)</f>
        <v>43</v>
      </c>
      <c r="C10" t="str">
        <f>VLOOKUP(B10,'Grading Scale'!$A$2:$B$14, 2)</f>
        <v>F</v>
      </c>
    </row>
    <row r="11">
      <c r="A11" s="29" t="str">
        <f t="array" ref="A11">INDEX('Census Data'!$B$2:$B$504, MATCH(0, COUNTIF($A$1:A10, 'Census Data'!$B$2:$B$504), 0))</f>
        <v>Georgia</v>
      </c>
      <c r="B11">
        <f>ROUND(AVERAGEIF('Census Data'!B$1:B$1004,A11,'Census Data'!S$1:S$1004),0)</f>
        <v>39</v>
      </c>
      <c r="C11" t="str">
        <f>VLOOKUP(B11,'Grading Scale'!$A$2:$B$14, 2)</f>
        <v>F</v>
      </c>
      <c r="D11" s="25" t="s">
        <v>823</v>
      </c>
    </row>
    <row r="12">
      <c r="A12" s="29" t="str">
        <f t="array" ref="A12">INDEX('Census Data'!$B$2:$B$504, MATCH(0, COUNTIF($A$1:A11, 'Census Data'!$B$2:$B$504), 0))</f>
        <v>Hawaii</v>
      </c>
      <c r="B12">
        <f>ROUND(AVERAGEIF('Census Data'!B$1:B$1004,A12,'Census Data'!S$1:S$1004),0)</f>
        <v>34</v>
      </c>
      <c r="C12" t="str">
        <f>VLOOKUP(B12,'Grading Scale'!$A$2:$B$14, 2)</f>
        <v>F</v>
      </c>
      <c r="D12" s="25" t="s">
        <v>824</v>
      </c>
    </row>
    <row r="13">
      <c r="A13" s="29" t="str">
        <f t="array" ref="A13">INDEX('Census Data'!$B$2:$B$504, MATCH(0, COUNTIF($A$1:A12, 'Census Data'!$B$2:$B$504), 0))</f>
        <v>Idaho</v>
      </c>
      <c r="B13">
        <f>ROUND(AVERAGEIF('Census Data'!B$1:B$1004,A13,'Census Data'!S$1:S$1004),0)</f>
        <v>21</v>
      </c>
      <c r="C13" t="str">
        <f>VLOOKUP(B13,'Grading Scale'!$A$2:$B$14, 2)</f>
        <v>F</v>
      </c>
    </row>
    <row r="14">
      <c r="A14" s="29" t="str">
        <f t="array" ref="A14">INDEX('Census Data'!$B$2:$B$504, MATCH(0, COUNTIF($A$1:A13, 'Census Data'!$B$2:$B$504), 0))</f>
        <v>Illinois</v>
      </c>
      <c r="B14">
        <f>ROUND(AVERAGEIF('Census Data'!B$1:B$1004,A14,'Census Data'!S$1:S$1004),0)</f>
        <v>29</v>
      </c>
      <c r="C14" t="str">
        <f>VLOOKUP(B14,'Grading Scale'!$A$2:$B$14, 2)</f>
        <v>F</v>
      </c>
      <c r="D14" s="18" t="s">
        <v>825</v>
      </c>
    </row>
    <row r="15">
      <c r="A15" s="29" t="str">
        <f t="array" ref="A15">INDEX('Census Data'!$B$2:$B$504, MATCH(0, COUNTIF($A$1:A14, 'Census Data'!$B$2:$B$504), 0))</f>
        <v>Indiana</v>
      </c>
      <c r="B15">
        <f>ROUND(AVERAGEIF('Census Data'!B$1:B$1004,A15,'Census Data'!S$1:S$1004),0)</f>
        <v>56</v>
      </c>
      <c r="C15" t="str">
        <f>VLOOKUP(B15,'Grading Scale'!$A$2:$B$14, 2)</f>
        <v>F</v>
      </c>
    </row>
    <row r="16">
      <c r="A16" s="29" t="str">
        <f t="array" ref="A16">INDEX('Census Data'!$B$2:$B$504, MATCH(0, COUNTIF($A$1:A15, 'Census Data'!$B$2:$B$504), 0))</f>
        <v>Iowa</v>
      </c>
      <c r="B16">
        <f>ROUND(AVERAGEIF('Census Data'!B$1:B$1004,A16,'Census Data'!S$1:S$1004),0)</f>
        <v>61</v>
      </c>
      <c r="C16" t="str">
        <f>VLOOKUP(B16,'Grading Scale'!$A$2:$B$14, 2)</f>
        <v>D−</v>
      </c>
      <c r="D16" s="25" t="s">
        <v>826</v>
      </c>
    </row>
    <row r="17">
      <c r="A17" s="29" t="str">
        <f t="array" ref="A17">INDEX('Census Data'!$B$2:$B$504, MATCH(0, COUNTIF($A$1:A16, 'Census Data'!$B$2:$B$504), 0))</f>
        <v>Kansas</v>
      </c>
      <c r="B17">
        <f>ROUND(AVERAGEIF('Census Data'!B$1:B$1004,A17,'Census Data'!S$1:S$1004),0)</f>
        <v>37</v>
      </c>
      <c r="C17" t="str">
        <f>VLOOKUP(B17,'Grading Scale'!$A$2:$B$14, 2)</f>
        <v>F</v>
      </c>
    </row>
    <row r="18">
      <c r="A18" s="29" t="str">
        <f t="array" ref="A18">INDEX('Census Data'!$B$2:$B$504, MATCH(0, COUNTIF($A$1:A17, 'Census Data'!$B$2:$B$504), 0))</f>
        <v>Kentucky</v>
      </c>
      <c r="B18">
        <f>ROUND(AVERAGEIF('Census Data'!B$1:B$1004,A18,'Census Data'!S$1:S$1004),0)</f>
        <v>47</v>
      </c>
      <c r="C18" t="str">
        <f>VLOOKUP(B18,'Grading Scale'!$A$2:$B$14, 2)</f>
        <v>F</v>
      </c>
      <c r="D18" s="18"/>
    </row>
    <row r="19">
      <c r="A19" s="29" t="str">
        <f t="array" ref="A19">INDEX('Census Data'!$B$2:$B$504, MATCH(0, COUNTIF($A$1:A18, 'Census Data'!$B$2:$B$504), 0))</f>
        <v>Louisiana</v>
      </c>
      <c r="B19">
        <f>ROUND(AVERAGEIF('Census Data'!B$1:B$1004,A19,'Census Data'!S$1:S$1004),0)</f>
        <v>51</v>
      </c>
      <c r="C19" t="str">
        <f>VLOOKUP(B19,'Grading Scale'!$A$2:$B$14, 2)</f>
        <v>F</v>
      </c>
    </row>
    <row r="20">
      <c r="A20" s="29" t="str">
        <f t="array" ref="A20">INDEX('Census Data'!$B$2:$B$504, MATCH(0, COUNTIF($A$1:A19, 'Census Data'!$B$2:$B$504), 0))</f>
        <v>Maine</v>
      </c>
      <c r="B20">
        <f>ROUND(AVERAGEIF('Census Data'!B$1:B$1004,A20,'Census Data'!S$1:S$1004),0)</f>
        <v>47</v>
      </c>
      <c r="C20" t="str">
        <f>VLOOKUP(B20,'Grading Scale'!$A$2:$B$14, 2)</f>
        <v>F</v>
      </c>
      <c r="D20" s="25" t="s">
        <v>827</v>
      </c>
    </row>
    <row r="21">
      <c r="A21" s="29" t="str">
        <f t="array" ref="A21">INDEX('Census Data'!$B$2:$B$504, MATCH(0, COUNTIF($A$1:A20, 'Census Data'!$B$2:$B$504), 0))</f>
        <v>Maryland</v>
      </c>
      <c r="B21">
        <f>ROUND(AVERAGEIF('Census Data'!B$1:B$1004,A21,'Census Data'!S$1:S$1004),0)</f>
        <v>58</v>
      </c>
      <c r="C21" t="str">
        <f>VLOOKUP(B21,'Grading Scale'!$A$2:$B$14, 2)</f>
        <v>F</v>
      </c>
      <c r="D21" s="25" t="s">
        <v>828</v>
      </c>
    </row>
    <row r="22">
      <c r="A22" s="29" t="str">
        <f t="array" ref="A22">INDEX('Census Data'!$B$2:$B$504, MATCH(0, COUNTIF($A$1:A21, 'Census Data'!$B$2:$B$504), 0))</f>
        <v>Massachusetts</v>
      </c>
      <c r="B22">
        <f>ROUND(AVERAGEIF('Census Data'!B$1:B$1004,A22,'Census Data'!S$1:S$1004),0)</f>
        <v>53</v>
      </c>
      <c r="C22" t="str">
        <f>VLOOKUP(B22,'Grading Scale'!$A$2:$B$14, 2)</f>
        <v>F</v>
      </c>
      <c r="D22" s="25" t="s">
        <v>829</v>
      </c>
    </row>
    <row r="23">
      <c r="A23" s="29" t="str">
        <f t="array" ref="A23">INDEX('Census Data'!$B$2:$B$504, MATCH(0, COUNTIF($A$1:A22, 'Census Data'!$B$2:$B$504), 0))</f>
        <v>Michigan</v>
      </c>
      <c r="B23">
        <f>ROUND(AVERAGEIF('Census Data'!B$1:B$1004,A23,'Census Data'!S$1:S$1004),0)</f>
        <v>36</v>
      </c>
      <c r="C23" t="str">
        <f>VLOOKUP(B23,'Grading Scale'!$A$2:$B$14, 2)</f>
        <v>F</v>
      </c>
      <c r="D23" s="18" t="s">
        <v>830</v>
      </c>
    </row>
    <row r="24">
      <c r="A24" s="29" t="str">
        <f t="array" ref="A24">INDEX('Census Data'!$B$2:$B$504, MATCH(0, COUNTIF($A$1:A23, 'Census Data'!$B$2:$B$504), 0))</f>
        <v>Minnesota</v>
      </c>
      <c r="B24">
        <f>ROUND(AVERAGEIF('Census Data'!B$1:B$1004,A24,'Census Data'!S$1:S$1004),0)</f>
        <v>42</v>
      </c>
      <c r="C24" t="str">
        <f>VLOOKUP(B24,'Grading Scale'!$A$2:$B$14, 2)</f>
        <v>F</v>
      </c>
      <c r="D24" s="25" t="s">
        <v>831</v>
      </c>
    </row>
    <row r="25">
      <c r="A25" s="29" t="str">
        <f t="array" ref="A25">INDEX('Census Data'!$B$2:$B$504, MATCH(0, COUNTIF($A$1:A24, 'Census Data'!$B$2:$B$504), 0))</f>
        <v>Mississippi</v>
      </c>
      <c r="B25">
        <f>ROUND(AVERAGEIF('Census Data'!B$1:B$1004,A25,'Census Data'!S$1:S$1004),0)</f>
        <v>37</v>
      </c>
      <c r="C25" t="str">
        <f>VLOOKUP(B25,'Grading Scale'!$A$2:$B$14, 2)</f>
        <v>F</v>
      </c>
      <c r="D25" s="25" t="s">
        <v>832</v>
      </c>
    </row>
    <row r="26">
      <c r="A26" s="29" t="str">
        <f t="array" ref="A26">INDEX('Census Data'!$B$2:$B$504, MATCH(0, COUNTIF($A$1:A25, 'Census Data'!$B$2:$B$504), 0))</f>
        <v>Missouri</v>
      </c>
      <c r="B26">
        <f>ROUND(AVERAGEIF('Census Data'!B$1:B$1004,A26,'Census Data'!S$1:S$1004),0)</f>
        <v>46</v>
      </c>
      <c r="C26" t="str">
        <f>VLOOKUP(B26,'Grading Scale'!$A$2:$B$14, 2)</f>
        <v>F</v>
      </c>
      <c r="D26" s="25" t="s">
        <v>833</v>
      </c>
    </row>
    <row r="27">
      <c r="A27" s="29" t="str">
        <f t="array" ref="A27">INDEX('Census Data'!$B$2:$B$504, MATCH(0, COUNTIF($A$1:A26, 'Census Data'!$B$2:$B$504), 0))</f>
        <v>Montana</v>
      </c>
      <c r="B27">
        <f>ROUND(AVERAGEIF('Census Data'!B$1:B$1004,A27,'Census Data'!S$1:S$1004),0)</f>
        <v>66</v>
      </c>
      <c r="C27" t="str">
        <f>VLOOKUP(B27,'Grading Scale'!$A$2:$B$14, 2)</f>
        <v>D</v>
      </c>
    </row>
    <row r="28">
      <c r="A28" s="29" t="str">
        <f t="array" ref="A28">INDEX('Census Data'!$B$2:$B$504, MATCH(0, COUNTIF($A$1:A27, 'Census Data'!$B$2:$B$504), 0))</f>
        <v>Nebraska</v>
      </c>
      <c r="B28">
        <f>ROUND(AVERAGEIF('Census Data'!B$1:B$1004,A28,'Census Data'!S$1:S$1004),0)</f>
        <v>46</v>
      </c>
      <c r="C28" t="str">
        <f>VLOOKUP(B28,'Grading Scale'!$A$2:$B$14, 2)</f>
        <v>F</v>
      </c>
    </row>
    <row r="29">
      <c r="A29" s="29" t="str">
        <f t="array" ref="A29">INDEX('Census Data'!$B$2:$B$504, MATCH(0, COUNTIF($A$1:A28, 'Census Data'!$B$2:$B$504), 0))</f>
        <v>Nevada</v>
      </c>
      <c r="B29">
        <f>ROUND(AVERAGEIF('Census Data'!B$1:B$1004,A29,'Census Data'!S$1:S$1004),0)</f>
        <v>43</v>
      </c>
      <c r="C29" t="str">
        <f>VLOOKUP(B29,'Grading Scale'!$A$2:$B$14, 2)</f>
        <v>F</v>
      </c>
      <c r="D29" s="25" t="s">
        <v>834</v>
      </c>
      <c r="E29" s="18" t="s">
        <v>835</v>
      </c>
    </row>
    <row r="30">
      <c r="A30" s="29" t="str">
        <f t="array" ref="A30">INDEX('Census Data'!$B$2:$B$504, MATCH(0, COUNTIF($A$1:A29, 'Census Data'!$B$2:$B$504), 0))</f>
        <v>New Hampshire</v>
      </c>
      <c r="B30">
        <f>ROUND(AVERAGEIF('Census Data'!B$1:B$1004,A30,'Census Data'!S$1:S$1004),0)</f>
        <v>53</v>
      </c>
      <c r="C30" t="str">
        <f>VLOOKUP(B30,'Grading Scale'!$A$2:$B$14, 2)</f>
        <v>F</v>
      </c>
      <c r="D30" s="25" t="s">
        <v>836</v>
      </c>
    </row>
    <row r="31">
      <c r="A31" s="29" t="str">
        <f t="array" ref="A31">INDEX('Census Data'!$B$2:$B$504, MATCH(0, COUNTIF($A$1:A30, 'Census Data'!$B$2:$B$504), 0))</f>
        <v>New Jersey</v>
      </c>
      <c r="B31">
        <f>ROUND(AVERAGEIF('Census Data'!B$1:B$1004,A31,'Census Data'!S$1:S$1004),0)</f>
        <v>43</v>
      </c>
      <c r="C31" t="str">
        <f>VLOOKUP(B31,'Grading Scale'!$A$2:$B$14, 2)</f>
        <v>F</v>
      </c>
    </row>
    <row r="32">
      <c r="A32" s="29" t="str">
        <f t="array" ref="A32">INDEX('Census Data'!$B$2:$B$504, MATCH(0, COUNTIF($A$1:A31, 'Census Data'!$B$2:$B$504), 0))</f>
        <v>New Mexico</v>
      </c>
      <c r="B32">
        <f>ROUND(AVERAGEIF('Census Data'!B$1:B$1004,A32,'Census Data'!S$1:S$1004),0)</f>
        <v>40</v>
      </c>
      <c r="C32" t="str">
        <f>VLOOKUP(B32,'Grading Scale'!$A$2:$B$14, 2)</f>
        <v>F</v>
      </c>
      <c r="D32" s="25" t="s">
        <v>837</v>
      </c>
      <c r="E32" s="18" t="s">
        <v>838</v>
      </c>
    </row>
    <row r="33">
      <c r="A33" s="29" t="str">
        <f t="array" ref="A33">INDEX('Census Data'!$B$2:$B$504, MATCH(0, COUNTIF($A$1:A32, 'Census Data'!$B$2:$B$504), 0))</f>
        <v>New York</v>
      </c>
      <c r="B33">
        <f>ROUND(AVERAGEIF('Census Data'!B$1:B$1004,A33,'Census Data'!S$1:S$1004),0)</f>
        <v>74</v>
      </c>
      <c r="C33" t="str">
        <f>VLOOKUP(B33,'Grading Scale'!$A$2:$B$14, 2)</f>
        <v>C</v>
      </c>
    </row>
    <row r="34">
      <c r="A34" s="29" t="str">
        <f t="array" ref="A34">INDEX('Census Data'!$B$2:$B$504, MATCH(0, COUNTIF($A$1:A33, 'Census Data'!$B$2:$B$504), 0))</f>
        <v>North Carolina</v>
      </c>
      <c r="B34">
        <f>ROUND(AVERAGEIF('Census Data'!B$1:B$1004,A34,'Census Data'!S$1:S$1004),0)</f>
        <v>56</v>
      </c>
      <c r="C34" t="str">
        <f>VLOOKUP(B34,'Grading Scale'!$A$2:$B$14, 2)</f>
        <v>F</v>
      </c>
    </row>
    <row r="35">
      <c r="A35" s="29" t="str">
        <f t="array" ref="A35">INDEX('Census Data'!$B$2:$B$504, MATCH(0, COUNTIF($A$1:A34, 'Census Data'!$B$2:$B$504), 0))</f>
        <v>North Dakota</v>
      </c>
      <c r="B35">
        <f>ROUND(AVERAGEIF('Census Data'!B$1:B$1004,A35,'Census Data'!S$1:S$1004),0)</f>
        <v>28</v>
      </c>
      <c r="C35" t="str">
        <f>VLOOKUP(B35,'Grading Scale'!$A$2:$B$14, 2)</f>
        <v>F</v>
      </c>
    </row>
    <row r="36">
      <c r="A36" s="29" t="str">
        <f t="array" ref="A36">INDEX('Census Data'!$B$2:$B$504, MATCH(0, COUNTIF($A$1:A35, 'Census Data'!$B$2:$B$504), 0))</f>
        <v>Ohio</v>
      </c>
      <c r="B36">
        <f>ROUND(AVERAGEIF('Census Data'!B$1:B$1004,A36,'Census Data'!S$1:S$1004),0)</f>
        <v>67</v>
      </c>
      <c r="C36" t="str">
        <f>VLOOKUP(B36,'Grading Scale'!$A$2:$B$14, 2)</f>
        <v>D+</v>
      </c>
      <c r="D36" s="25" t="s">
        <v>839</v>
      </c>
    </row>
    <row r="37">
      <c r="A37" s="29" t="str">
        <f t="array" ref="A37">INDEX('Census Data'!$B$2:$B$504, MATCH(0, COUNTIF($A$1:A36, 'Census Data'!$B$2:$B$504), 0))</f>
        <v>Oklahoma</v>
      </c>
      <c r="B37">
        <f>ROUND(AVERAGEIF('Census Data'!B$1:B$1004,A37,'Census Data'!S$1:S$1004),0)</f>
        <v>58</v>
      </c>
      <c r="C37" t="str">
        <f>VLOOKUP(B37,'Grading Scale'!$A$2:$B$14, 2)</f>
        <v>F</v>
      </c>
      <c r="D37" s="25" t="s">
        <v>840</v>
      </c>
    </row>
    <row r="38">
      <c r="A38" s="29" t="str">
        <f t="array" ref="A38">INDEX('Census Data'!$B$2:$B$504, MATCH(0, COUNTIF($A$1:A37, 'Census Data'!$B$2:$B$504), 0))</f>
        <v>Oregon</v>
      </c>
      <c r="B38">
        <f>ROUND(AVERAGEIF('Census Data'!B$1:B$1004,A38,'Census Data'!S$1:S$1004),0)</f>
        <v>51</v>
      </c>
      <c r="C38" t="str">
        <f>VLOOKUP(B38,'Grading Scale'!$A$2:$B$14, 2)</f>
        <v>F</v>
      </c>
    </row>
    <row r="39">
      <c r="A39" s="29" t="str">
        <f t="array" ref="A39">INDEX('Census Data'!$B$2:$B$504, MATCH(0, COUNTIF($A$1:A38, 'Census Data'!$B$2:$B$504), 0))</f>
        <v>Pennsylvania</v>
      </c>
      <c r="B39">
        <f>ROUND(AVERAGEIF('Census Data'!B$1:B$1004,A39,'Census Data'!S$1:S$1004),0)</f>
        <v>39</v>
      </c>
      <c r="C39" t="str">
        <f>VLOOKUP(B39,'Grading Scale'!$A$2:$B$14, 2)</f>
        <v>F</v>
      </c>
      <c r="D39" s="25" t="s">
        <v>841</v>
      </c>
    </row>
    <row r="40">
      <c r="A40" s="29" t="str">
        <f t="array" ref="A40">INDEX('Census Data'!$B$2:$B$504, MATCH(0, COUNTIF($A$1:A39, 'Census Data'!$B$2:$B$504), 0))</f>
        <v>Puerto Rico</v>
      </c>
      <c r="B40">
        <f>ROUND(AVERAGEIF('Census Data'!B$1:B$1004,A40,'Census Data'!S$1:S$1004),0)</f>
        <v>43</v>
      </c>
      <c r="C40" t="str">
        <f>VLOOKUP(B40,'Grading Scale'!$A$2:$B$14, 2)</f>
        <v>F</v>
      </c>
      <c r="D40" s="25" t="s">
        <v>842</v>
      </c>
    </row>
    <row r="41">
      <c r="A41" s="29" t="str">
        <f t="array" ref="A41">INDEX('Census Data'!$B$2:$B$504, MATCH(0, COUNTIF($A$1:A40, 'Census Data'!$B$2:$B$504), 0))</f>
        <v>Rhode Island</v>
      </c>
      <c r="B41">
        <f>ROUND(AVERAGEIF('Census Data'!B$1:B$1004,A41,'Census Data'!S$1:S$1004),0)</f>
        <v>47</v>
      </c>
      <c r="C41" t="str">
        <f>VLOOKUP(B41,'Grading Scale'!$A$2:$B$14, 2)</f>
        <v>F</v>
      </c>
    </row>
    <row r="42">
      <c r="A42" s="29" t="str">
        <f t="array" ref="A42">INDEX('Census Data'!$B$2:$B$504, MATCH(0, COUNTIF($A$1:A41, 'Census Data'!$B$2:$B$504), 0))</f>
        <v>South Carolina</v>
      </c>
      <c r="B42">
        <f>ROUND(AVERAGEIF('Census Data'!B$1:B$1004,A42,'Census Data'!S$1:S$1004),0)</f>
        <v>58</v>
      </c>
      <c r="C42" t="str">
        <f>VLOOKUP(B42,'Grading Scale'!$A$2:$B$14, 2)</f>
        <v>F</v>
      </c>
    </row>
    <row r="43">
      <c r="A43" s="29" t="str">
        <f t="array" ref="A43">INDEX('Census Data'!$B$2:$B$504, MATCH(0, COUNTIF($A$1:A42, 'Census Data'!$B$2:$B$504), 0))</f>
        <v>South Dakota</v>
      </c>
      <c r="B43">
        <f>ROUND(AVERAGEIF('Census Data'!B$1:B$1004,A43,'Census Data'!S$1:S$1004),0)</f>
        <v>46</v>
      </c>
      <c r="C43" t="str">
        <f>VLOOKUP(B43,'Grading Scale'!$A$2:$B$14, 2)</f>
        <v>F</v>
      </c>
      <c r="D43" s="25" t="s">
        <v>843</v>
      </c>
    </row>
    <row r="44">
      <c r="A44" s="29" t="str">
        <f t="array" ref="A44">INDEX('Census Data'!$B$2:$B$504, MATCH(0, COUNTIF($A$1:A43, 'Census Data'!$B$2:$B$504), 0))</f>
        <v>Tennessee</v>
      </c>
      <c r="B44">
        <f>ROUND(AVERAGEIF('Census Data'!B$1:B$1004,A44,'Census Data'!S$1:S$1004),0)</f>
        <v>51</v>
      </c>
      <c r="C44" t="str">
        <f>VLOOKUP(B44,'Grading Scale'!$A$2:$B$14, 2)</f>
        <v>F</v>
      </c>
      <c r="D44" s="25" t="s">
        <v>844</v>
      </c>
    </row>
    <row r="45">
      <c r="A45" s="29" t="str">
        <f t="array" ref="A45">INDEX('Census Data'!$B$2:$B$504, MATCH(0, COUNTIF($A$1:A44, 'Census Data'!$B$2:$B$504), 0))</f>
        <v>Texas</v>
      </c>
      <c r="B45">
        <f>ROUND(AVERAGEIF('Census Data'!B$1:B$1004,A45,'Census Data'!S$1:S$1004),0)</f>
        <v>56</v>
      </c>
      <c r="C45" t="str">
        <f>VLOOKUP(B45,'Grading Scale'!$A$2:$B$14, 2)</f>
        <v>F</v>
      </c>
      <c r="D45" s="18" t="s">
        <v>845</v>
      </c>
    </row>
    <row r="46">
      <c r="A46" s="29" t="str">
        <f t="array" ref="A46">INDEX('Census Data'!$B$2:$B$504, MATCH(0, COUNTIF($A$1:A45, 'Census Data'!$B$2:$B$504), 0))</f>
        <v>Utah</v>
      </c>
      <c r="B46">
        <f>ROUND(AVERAGEIF('Census Data'!B$1:B$1004,A46,'Census Data'!S$1:S$1004),0)</f>
        <v>42</v>
      </c>
      <c r="C46" t="str">
        <f>VLOOKUP(B46,'Grading Scale'!$A$2:$B$14, 2)</f>
        <v>F</v>
      </c>
    </row>
    <row r="47">
      <c r="A47" s="29" t="str">
        <f t="array" ref="A47">INDEX('Census Data'!$B$2:$B$504, MATCH(0, COUNTIF($A$1:A46, 'Census Data'!$B$2:$B$504), 0))</f>
        <v>Vermont</v>
      </c>
      <c r="B47">
        <f>ROUND(AVERAGEIF('Census Data'!B$1:B$1004,A47,'Census Data'!S$1:S$1004),0)</f>
        <v>50</v>
      </c>
      <c r="C47" t="str">
        <f>VLOOKUP(B47,'Grading Scale'!$A$2:$B$14, 2)</f>
        <v>F</v>
      </c>
      <c r="D47" s="18" t="s">
        <v>846</v>
      </c>
    </row>
    <row r="48">
      <c r="A48" s="29" t="str">
        <f t="array" ref="A48">INDEX('Census Data'!$B$2:$B$504, MATCH(0, COUNTIF($A$1:A47, 'Census Data'!$B$2:$B$504), 0))</f>
        <v>Virginia</v>
      </c>
      <c r="B48">
        <f>ROUND(AVERAGEIF('Census Data'!B$1:B$1004,A48,'Census Data'!S$1:S$1004),0)</f>
        <v>74</v>
      </c>
      <c r="C48" t="str">
        <f>VLOOKUP(B48,'Grading Scale'!$A$2:$B$14, 2)</f>
        <v>C</v>
      </c>
      <c r="D48" s="25" t="s">
        <v>847</v>
      </c>
    </row>
    <row r="49">
      <c r="A49" s="29" t="str">
        <f t="array" ref="A49">INDEX('Census Data'!$B$2:$B$504, MATCH(0, COUNTIF($A$1:A48, 'Census Data'!$B$2:$B$504), 0))</f>
        <v>Washington</v>
      </c>
      <c r="B49">
        <f>ROUND(AVERAGEIF('Census Data'!B$1:B$1004,A49,'Census Data'!S$1:S$1004),0)</f>
        <v>79</v>
      </c>
      <c r="C49" t="str">
        <f>VLOOKUP(B49,'Grading Scale'!$A$2:$B$14, 2)</f>
        <v>C+</v>
      </c>
      <c r="D49" s="25" t="s">
        <v>848</v>
      </c>
    </row>
    <row r="50">
      <c r="A50" s="29" t="str">
        <f t="array" ref="A50">INDEX('Census Data'!$B$2:$B$504, MATCH(0, COUNTIF($A$1:A49, 'Census Data'!$B$2:$B$504), 0))</f>
        <v>Washington DC</v>
      </c>
      <c r="B50">
        <f>ROUND(AVERAGEIF('Census Data'!B$1:B$1004,A50,'Census Data'!S$1:S$1004),0)</f>
        <v>78</v>
      </c>
      <c r="C50" t="str">
        <f>VLOOKUP(B50,'Grading Scale'!$A$2:$B$14, 2)</f>
        <v>C+</v>
      </c>
    </row>
    <row r="51">
      <c r="A51" s="29" t="str">
        <f t="array" ref="A51">INDEX('Census Data'!$B$2:$B$504, MATCH(0, COUNTIF($A$1:A50, 'Census Data'!$B$2:$B$504), 0))</f>
        <v>West Virginia</v>
      </c>
      <c r="B51">
        <f>ROUND(AVERAGEIF('Census Data'!B$1:B$1004,A51,'Census Data'!S$1:S$1004),0)</f>
        <v>34</v>
      </c>
      <c r="C51" t="str">
        <f>VLOOKUP(B51,'Grading Scale'!$A$2:$B$14, 2)</f>
        <v>F</v>
      </c>
    </row>
    <row r="52">
      <c r="A52" s="29" t="str">
        <f t="array" ref="A52">INDEX('Census Data'!$B$2:$B$504, MATCH(0, COUNTIF($A$1:A51, 'Census Data'!$B$2:$B$504), 0))</f>
        <v>Wisconsin</v>
      </c>
      <c r="B52">
        <f>ROUND(AVERAGEIF('Census Data'!B$1:B$1004,A52,'Census Data'!S$1:S$1004),0)</f>
        <v>49</v>
      </c>
      <c r="C52" t="str">
        <f>VLOOKUP(B52,'Grading Scale'!$A$2:$B$14, 2)</f>
        <v>F</v>
      </c>
    </row>
    <row r="53">
      <c r="A53" s="29" t="str">
        <f t="array" ref="A53">INDEX('Census Data'!$B$2:$B$504, MATCH(0, COUNTIF($A$1:A52, 'Census Data'!$B$2:$B$504), 0))</f>
        <v>Wyoming</v>
      </c>
      <c r="B53">
        <f>ROUND(AVERAGEIF('Census Data'!B$1:B$1004,A53,'Census Data'!S$1:S$1004),0)</f>
        <v>31</v>
      </c>
      <c r="C53" t="str">
        <f>VLOOKUP(B53,'Grading Scale'!$A$2:$B$14, 2)</f>
        <v>F</v>
      </c>
    </row>
  </sheetData>
  <hyperlinks>
    <hyperlink r:id="rId1" ref="D6"/>
    <hyperlink r:id="rId2" ref="D7"/>
    <hyperlink r:id="rId3" ref="D8"/>
    <hyperlink r:id="rId4" ref="D9"/>
    <hyperlink r:id="rId5" ref="D11"/>
    <hyperlink r:id="rId6" ref="D12"/>
    <hyperlink r:id="rId7" ref="D16"/>
    <hyperlink r:id="rId8" ref="D20"/>
    <hyperlink r:id="rId9" ref="D21"/>
    <hyperlink r:id="rId10" ref="D22"/>
    <hyperlink r:id="rId11" ref="D24"/>
    <hyperlink r:id="rId12" ref="D25"/>
    <hyperlink r:id="rId13" ref="D26"/>
    <hyperlink r:id="rId14" ref="D29"/>
    <hyperlink r:id="rId15" ref="D30"/>
    <hyperlink r:id="rId16" ref="D32"/>
    <hyperlink r:id="rId17" ref="D36"/>
    <hyperlink r:id="rId18" ref="D37"/>
    <hyperlink r:id="rId19" ref="D39"/>
    <hyperlink r:id="rId20" ref="D40"/>
    <hyperlink r:id="rId21" ref="D43"/>
    <hyperlink r:id="rId22" ref="D44"/>
    <hyperlink r:id="rId23" ref="D48"/>
    <hyperlink r:id="rId24" ref="D49"/>
  </hyperlinks>
  <drawing r:id="rId25"/>
</worksheet>
</file>